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AD459\"/>
    </mc:Choice>
  </mc:AlternateContent>
  <xr:revisionPtr revIDLastSave="0" documentId="13_ncr:1_{299AB919-9CD8-498C-8F11-7536B2CBFD77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AD07\_dark_profiles_AD07_DARK" localSheetId="0">BRIGHT!$A$2:$F$96</definedName>
    <definedName name="OCT_RAW___\AD07\_fovea_dark_profiles_AD07_DARK" localSheetId="0">BRIGHT!#REF!</definedName>
    <definedName name="OCT_RAW___\AD07\_fovea_light_profiles_AD07_LIGHT" localSheetId="0">BRIGHT!#REF!</definedName>
    <definedName name="OCT_RAW___\AD07\_light_profiles_AD07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963F3-9B0C-401B-932F-5C7E854C267B}" name="[[[OCT RAW]]]\AD07\_dark_profiles_AD07_DARK" type="6" refreshedVersion="6" background="1" saveData="1">
    <textPr codePage="437" sourceFile="E:\[Documents]\[[[OCT RAW]]]\AD07\_dark_profiles_AD07_DARK.txt" space="1" consecutive="1">
      <textFields count="6">
        <textField/>
        <textField/>
        <textField/>
        <textField/>
        <textField/>
        <textField/>
      </textFields>
    </textPr>
  </connection>
  <connection id="2" xr16:uid="{BCA92E10-E1F1-4FAD-A7A4-9C08570012D1}" name="[[[OCT RAW]]]\AD07\_light_profiles_AD07_LIGHT" type="6" refreshedVersion="6" background="1" saveData="1">
    <textPr codePage="437" sourceFile="E:\[Documents]\[[[OCT RAW]]]\AD07\_light_profiles_AD07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<sst xmlns="http://schemas.openxmlformats.org/spreadsheetml/2006/main" count="12" uniqueCount="8">
  <si>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</si>
  <si>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</si>
  <si>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</si>
  <si>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</si>
  <si>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</si>
  <si>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</si>
  <si>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AD459_DARK</t>
  </si>
  <si>
    <t>AD459_LIGHT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</si>
</sst>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1001.9710000000001</c:v>
                </c:pt>
                <c:pt idx="1">
                  <c:v>1162.2182</c:v>
                </c:pt>
                <c:pt idx="2">
                  <c:v>1579.3999999999999</c:v>
                </c:pt>
                <c:pt idx="3">
                  <c:v>2195.0634</c:v>
                </c:pt>
                <c:pt idx="4">
                  <c:v>2751.3527999999997</c:v>
                </c:pt>
                <c:pt idx="5">
                  <c:v>3082.8257999999996</c:v>
                </c:pt>
                <c:pt idx="6">
                  <c:v>3272.5322000000001</c:v>
                </c:pt>
                <c:pt idx="7">
                  <c:v>3395.7944000000002</c:v>
                </c:pt>
                <c:pt idx="8">
                  <c:v>3435.7198000000003</c:v>
                </c:pt>
                <c:pt idx="9">
                  <c:v>3365.9402</c:v>
                </c:pt>
                <c:pt idx="10">
                  <c:v>3110.2465999999999</c:v>
                </c:pt>
                <c:pt idx="11">
                  <c:v>2705.9628000000002</c:v>
                </c:pt>
                <c:pt idx="12">
                  <c:v>2416.5746000000004</c:v>
                </c:pt>
                <c:pt idx="13">
                  <c:v>2286.9556000000002</c:v>
                </c:pt>
                <c:pt idx="14">
                  <c:v>2247.5991999999997</c:v>
                </c:pt>
                <c:pt idx="15">
                  <c:v>2238.0237999999999</c:v>
                </c:pt>
                <c:pt idx="16">
                  <c:v>2245.0584000000003</c:v>
                </c:pt>
                <c:pt idx="17">
                  <c:v>2250.6342</c:v>
                </c:pt>
                <c:pt idx="18">
                  <c:v>2251.3672000000001</c:v>
                </c:pt>
                <c:pt idx="19">
                  <c:v>2258.3433999999997</c:v>
                </c:pt>
                <c:pt idx="20">
                  <c:v>2269.5914000000002</c:v>
                </c:pt>
                <c:pt idx="21">
                  <c:v>2281.7364000000002</c:v>
                </c:pt>
                <c:pt idx="22">
                  <c:v>2283.5765999999999</c:v>
                </c:pt>
                <c:pt idx="23">
                  <c:v>2279.4795999999997</c:v>
                </c:pt>
                <c:pt idx="24">
                  <c:v>2285.1487999999999</c:v>
                </c:pt>
                <c:pt idx="25">
                  <c:v>2293.9686000000002</c:v>
                </c:pt>
                <c:pt idx="26">
                  <c:v>2302.9115999999999</c:v>
                </c:pt>
                <c:pt idx="27">
                  <c:v>2319.3344000000002</c:v>
                </c:pt>
                <c:pt idx="28">
                  <c:v>2338.1816000000003</c:v>
                </c:pt>
                <c:pt idx="29">
                  <c:v>2346.5995999999996</c:v>
                </c:pt>
                <c:pt idx="30">
                  <c:v>2340.3478</c:v>
                </c:pt>
                <c:pt idx="31">
                  <c:v>2297.1936000000001</c:v>
                </c:pt>
                <c:pt idx="32">
                  <c:v>2195.3044</c:v>
                </c:pt>
                <c:pt idx="33">
                  <c:v>2046.0198</c:v>
                </c:pt>
                <c:pt idx="34">
                  <c:v>1895.914</c:v>
                </c:pt>
                <c:pt idx="35">
                  <c:v>1794.5426</c:v>
                </c:pt>
                <c:pt idx="36">
                  <c:v>1747.6646000000001</c:v>
                </c:pt>
                <c:pt idx="37">
                  <c:v>1736.4263999999998</c:v>
                </c:pt>
                <c:pt idx="38">
                  <c:v>1745.0934000000002</c:v>
                </c:pt>
                <c:pt idx="39">
                  <c:v>1770.6089999999999</c:v>
                </c:pt>
                <c:pt idx="40">
                  <c:v>1819.8781999999999</c:v>
                </c:pt>
                <c:pt idx="41">
                  <c:v>1893.0765999999999</c:v>
                </c:pt>
                <c:pt idx="42">
                  <c:v>1964.1889999999999</c:v>
                </c:pt>
                <c:pt idx="43">
                  <c:v>2012.6586000000002</c:v>
                </c:pt>
                <c:pt idx="44">
                  <c:v>2041.3247999999999</c:v>
                </c:pt>
                <c:pt idx="45">
                  <c:v>2069.4662000000003</c:v>
                </c:pt>
                <c:pt idx="46">
                  <c:v>2069.2745999999997</c:v>
                </c:pt>
                <c:pt idx="47">
                  <c:v>2008.1922</c:v>
                </c:pt>
                <c:pt idx="48">
                  <c:v>1885.6536000000001</c:v>
                </c:pt>
                <c:pt idx="49">
                  <c:v>1715.8861999999997</c:v>
                </c:pt>
                <c:pt idx="50">
                  <c:v>1507.8708000000001</c:v>
                </c:pt>
                <c:pt idx="51">
                  <c:v>1390.7162000000001</c:v>
                </c:pt>
                <c:pt idx="52">
                  <c:v>1329.5931999999998</c:v>
                </c:pt>
                <c:pt idx="53">
                  <c:v>1300.6522</c:v>
                </c:pt>
                <c:pt idx="54">
                  <c:v>1291.0463999999999</c:v>
                </c:pt>
                <c:pt idx="55">
                  <c:v>1281.9911999999999</c:v>
                </c:pt>
                <c:pt idx="56">
                  <c:v>1288.1654000000001</c:v>
                </c:pt>
                <c:pt idx="57">
                  <c:v>1295.0672</c:v>
                </c:pt>
                <c:pt idx="58">
                  <c:v>1300.4232</c:v>
                </c:pt>
                <c:pt idx="59">
                  <c:v>1289.7912000000001</c:v>
                </c:pt>
                <c:pt idx="60">
                  <c:v>1273.3208</c:v>
                </c:pt>
                <c:pt idx="61">
                  <c:v>1261.2918</c:v>
                </c:pt>
                <c:pt idx="62">
                  <c:v>1246.0246000000002</c:v>
                </c:pt>
                <c:pt idx="63">
                  <c:v>1268.2469999999998</c:v>
                </c:pt>
                <c:pt idx="64">
                  <c:v>1413.1020000000001</c:v>
                </c:pt>
                <c:pt idx="65">
                  <c:v>1526.7038</c:v>
                </c:pt>
                <c:pt idx="66">
                  <c:v>1464.4292</c:v>
                </c:pt>
                <c:pt idx="67">
                  <c:v>1368.6966</c:v>
                </c:pt>
                <c:pt idx="68">
                  <c:v>1373.3696</c:v>
                </c:pt>
                <c:pt idx="69">
                  <c:v>1698.8911999999996</c:v>
                </c:pt>
                <c:pt idx="70">
                  <c:v>2412.2058000000006</c:v>
                </c:pt>
                <c:pt idx="71">
                  <c:v>3185.5468000000001</c:v>
                </c:pt>
                <c:pt idx="72">
                  <c:v>3544.7372000000005</c:v>
                </c:pt>
                <c:pt idx="73">
                  <c:v>3297.5455999999999</c:v>
                </c:pt>
                <c:pt idx="74">
                  <c:v>2735.3656000000001</c:v>
                </c:pt>
                <c:pt idx="75">
                  <c:v>2452.5577999999996</c:v>
                </c:pt>
                <c:pt idx="76">
                  <c:v>2659.3789999999999</c:v>
                </c:pt>
                <c:pt idx="77">
                  <c:v>3003.9214000000002</c:v>
                </c:pt>
                <c:pt idx="78">
                  <c:v>3274.5431999999996</c:v>
                </c:pt>
                <c:pt idx="79">
                  <c:v>3364.6426000000001</c:v>
                </c:pt>
                <c:pt idx="80">
                  <c:v>3379.5618000000004</c:v>
                </c:pt>
                <c:pt idx="81">
                  <c:v>3565.8172</c:v>
                </c:pt>
                <c:pt idx="82">
                  <c:v>3867.3081999999995</c:v>
                </c:pt>
                <c:pt idx="83">
                  <c:v>3978.4515999999994</c:v>
                </c:pt>
                <c:pt idx="84">
                  <c:v>3821.5250000000001</c:v>
                </c:pt>
                <c:pt idx="85">
                  <c:v>3457.3222000000001</c:v>
                </c:pt>
                <c:pt idx="86">
                  <c:v>3001.6814000000004</c:v>
                </c:pt>
                <c:pt idx="87">
                  <c:v>2640.4792000000002</c:v>
                </c:pt>
                <c:pt idx="88">
                  <c:v>2432.9125999999997</c:v>
                </c:pt>
                <c:pt idx="89">
                  <c:v>2298.3733999999995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1157.2249999999999</c:v>
                </c:pt>
                <c:pt idx="1">
                  <c:v>1389.3708000000001</c:v>
                </c:pt>
                <c:pt idx="2">
                  <c:v>1831.5618000000002</c:v>
                </c:pt>
                <c:pt idx="3">
                  <c:v>2420.7428</c:v>
                </c:pt>
                <c:pt idx="4">
                  <c:v>2947.0093999999999</c:v>
                </c:pt>
                <c:pt idx="5">
                  <c:v>3355.6727999999994</c:v>
                </c:pt>
                <c:pt idx="6">
                  <c:v>3611.3422000000005</c:v>
                </c:pt>
                <c:pt idx="7">
                  <c:v>3754.6673999999998</c:v>
                </c:pt>
                <c:pt idx="8">
                  <c:v>3785.6879999999996</c:v>
                </c:pt>
                <c:pt idx="9">
                  <c:v>3682.1891999999998</c:v>
                </c:pt>
                <c:pt idx="10">
                  <c:v>3397.1796000000004</c:v>
                </c:pt>
                <c:pt idx="11">
                  <c:v>2959.4380000000001</c:v>
                </c:pt>
                <c:pt idx="12">
                  <c:v>2638.5224000000003</c:v>
                </c:pt>
                <c:pt idx="13">
                  <c:v>2489.8000000000002</c:v>
                </c:pt>
                <c:pt idx="14">
                  <c:v>2442.0421999999999</c:v>
                </c:pt>
                <c:pt idx="15">
                  <c:v>2433.6188000000002</c:v>
                </c:pt>
                <c:pt idx="16">
                  <c:v>2441.2014000000004</c:v>
                </c:pt>
                <c:pt idx="17">
                  <c:v>2446.1006000000002</c:v>
                </c:pt>
                <c:pt idx="18">
                  <c:v>2449.0358000000001</c:v>
                </c:pt>
                <c:pt idx="19">
                  <c:v>2457.1202000000003</c:v>
                </c:pt>
                <c:pt idx="20">
                  <c:v>2469.3270000000002</c:v>
                </c:pt>
                <c:pt idx="21">
                  <c:v>2479.8577999999998</c:v>
                </c:pt>
                <c:pt idx="22">
                  <c:v>2481.194</c:v>
                </c:pt>
                <c:pt idx="23">
                  <c:v>2475.8474000000001</c:v>
                </c:pt>
                <c:pt idx="24">
                  <c:v>2480.5853999999999</c:v>
                </c:pt>
                <c:pt idx="25">
                  <c:v>2496.7897999999996</c:v>
                </c:pt>
                <c:pt idx="26">
                  <c:v>2513.6258000000003</c:v>
                </c:pt>
                <c:pt idx="27">
                  <c:v>2528.7552000000001</c:v>
                </c:pt>
                <c:pt idx="28">
                  <c:v>2546.6294000000003</c:v>
                </c:pt>
                <c:pt idx="29">
                  <c:v>2553.2687999999998</c:v>
                </c:pt>
                <c:pt idx="30">
                  <c:v>2550.0413999999996</c:v>
                </c:pt>
                <c:pt idx="31">
                  <c:v>2503.7259999999997</c:v>
                </c:pt>
                <c:pt idx="32">
                  <c:v>2392.4846000000002</c:v>
                </c:pt>
                <c:pt idx="33">
                  <c:v>2240.3304000000003</c:v>
                </c:pt>
                <c:pt idx="34">
                  <c:v>2080.6374000000001</c:v>
                </c:pt>
                <c:pt idx="35">
                  <c:v>1971.8966</c:v>
                </c:pt>
                <c:pt idx="36">
                  <c:v>1911.9027999999998</c:v>
                </c:pt>
                <c:pt idx="37">
                  <c:v>1895.4991999999997</c:v>
                </c:pt>
                <c:pt idx="38">
                  <c:v>1901.2768000000001</c:v>
                </c:pt>
                <c:pt idx="39">
                  <c:v>1921.3255999999997</c:v>
                </c:pt>
                <c:pt idx="40">
                  <c:v>1973.6576</c:v>
                </c:pt>
                <c:pt idx="41">
                  <c:v>2055.5555999999997</c:v>
                </c:pt>
                <c:pt idx="42">
                  <c:v>2130.4301999999998</c:v>
                </c:pt>
                <c:pt idx="43">
                  <c:v>2173.4574000000002</c:v>
                </c:pt>
                <c:pt idx="44">
                  <c:v>2206.2048000000004</c:v>
                </c:pt>
                <c:pt idx="45">
                  <c:v>2236.4453999999996</c:v>
                </c:pt>
                <c:pt idx="46">
                  <c:v>2236.0798</c:v>
                </c:pt>
                <c:pt idx="47">
                  <c:v>2175.7619999999997</c:v>
                </c:pt>
                <c:pt idx="48">
                  <c:v>2046.1104</c:v>
                </c:pt>
                <c:pt idx="49">
                  <c:v>1860.3715999999999</c:v>
                </c:pt>
                <c:pt idx="50">
                  <c:v>1629.877</c:v>
                </c:pt>
                <c:pt idx="51">
                  <c:v>1511.4392</c:v>
                </c:pt>
                <c:pt idx="52">
                  <c:v>1458.0222000000001</c:v>
                </c:pt>
                <c:pt idx="53">
                  <c:v>1428.2099999999998</c:v>
                </c:pt>
                <c:pt idx="54">
                  <c:v>1412.069</c:v>
                </c:pt>
                <c:pt idx="55">
                  <c:v>1412.9308000000001</c:v>
                </c:pt>
                <c:pt idx="56">
                  <c:v>1419.1637999999998</c:v>
                </c:pt>
                <c:pt idx="57">
                  <c:v>1428.4412</c:v>
                </c:pt>
                <c:pt idx="58">
                  <c:v>1435.5628000000002</c:v>
                </c:pt>
                <c:pt idx="59">
                  <c:v>1430.5074</c:v>
                </c:pt>
                <c:pt idx="60">
                  <c:v>1419.4922000000001</c:v>
                </c:pt>
                <c:pt idx="61">
                  <c:v>1403.9902</c:v>
                </c:pt>
                <c:pt idx="62">
                  <c:v>1385.2878000000001</c:v>
                </c:pt>
                <c:pt idx="63">
                  <c:v>1388.9295999999999</c:v>
                </c:pt>
                <c:pt idx="64">
                  <c:v>1544.0009999999997</c:v>
                </c:pt>
                <c:pt idx="65">
                  <c:v>1670.1482000000001</c:v>
                </c:pt>
                <c:pt idx="66">
                  <c:v>1597.6973999999998</c:v>
                </c:pt>
                <c:pt idx="67">
                  <c:v>1495.0463999999999</c:v>
                </c:pt>
                <c:pt idx="68">
                  <c:v>1512.3586</c:v>
                </c:pt>
                <c:pt idx="69">
                  <c:v>1894.6754000000001</c:v>
                </c:pt>
                <c:pt idx="70">
                  <c:v>2727.6381999999999</c:v>
                </c:pt>
                <c:pt idx="71">
                  <c:v>3569.9694000000004</c:v>
                </c:pt>
                <c:pt idx="72">
                  <c:v>3940.3820000000001</c:v>
                </c:pt>
                <c:pt idx="73">
                  <c:v>3625.826</c:v>
                </c:pt>
                <c:pt idx="74">
                  <c:v>2981.8384000000001</c:v>
                </c:pt>
                <c:pt idx="75">
                  <c:v>2685.2784000000001</c:v>
                </c:pt>
                <c:pt idx="76">
                  <c:v>2901.5766000000003</c:v>
                </c:pt>
                <c:pt idx="77">
                  <c:v>3239.297</c:v>
                </c:pt>
                <c:pt idx="78">
                  <c:v>3506.2235999999998</c:v>
                </c:pt>
                <c:pt idx="79">
                  <c:v>3612.2915999999996</c:v>
                </c:pt>
                <c:pt idx="80">
                  <c:v>3655.0853999999999</c:v>
                </c:pt>
                <c:pt idx="81">
                  <c:v>3883.8422000000005</c:v>
                </c:pt>
                <c:pt idx="82">
                  <c:v>4233.7126000000007</c:v>
                </c:pt>
                <c:pt idx="83">
                  <c:v>4361.6422000000002</c:v>
                </c:pt>
                <c:pt idx="84">
                  <c:v>4185.7064000000009</c:v>
                </c:pt>
                <c:pt idx="85">
                  <c:v>3779.9144000000001</c:v>
                </c:pt>
                <c:pt idx="86">
                  <c:v>3269.2496000000001</c:v>
                </c:pt>
                <c:pt idx="87">
                  <c:v>2876.029</c:v>
                </c:pt>
                <c:pt idx="88">
                  <c:v>2653.2277999999997</c:v>
                </c:pt>
                <c:pt idx="89">
                  <c:v>2497.9091999999996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7\_dark_profiles_AD07_DARK" connectionId="1" xr16:uid="{F817BA37-025F-4329-A3DD-0CF5AF8C651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7\_light_profiles_AD07_LIGHT" connectionId="2" xr16:uid="{1CCDFC66-D94D-4FE2-B77F-2A89A312F54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3" sqref="K3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6.0469999999999997</v>
      </c>
      <c r="C3">
        <v>3.5979999999999999</v>
      </c>
      <c r="D3">
        <v>0.50700000000000001</v>
      </c>
      <c r="E3">
        <v>6.2439999999999998</v>
      </c>
      <c r="F3">
        <v>0.60199999999999998</v>
      </c>
      <c r="K3" t="s">
        <v>0</v>
      </c>
      <c r="L3">
        <v>3.1890000000000001</v>
      </c>
      <c r="M3">
        <v>4.4219999999999997</v>
      </c>
      <c r="N3">
        <v>4.2930000000000001</v>
      </c>
      <c r="O3">
        <v>4.2850000000000001</v>
      </c>
      <c r="P3">
        <v>3.6579999999999999</v>
      </c>
    </row>
    <row r="4" spans="1:19" x14ac:dyDescent="0.25">
      <c r="A4" t="s">
        <v>1</v>
      </c>
      <c r="B4">
        <v>317.64</v>
      </c>
      <c r="C4">
        <v>319.25599999999997</v>
      </c>
      <c r="D4">
        <v>320.154</v>
      </c>
      <c r="E4">
        <v>318.06900000000002</v>
      </c>
      <c r="F4">
        <v>321.06</v>
      </c>
      <c r="H4" s="2">
        <f>AVERAGE(B4:F4)</f>
        <v>319.23579999999998</v>
      </c>
      <c r="I4" s="2">
        <f>STDEV(B4:F4)/SQRT(COUNT(B4:F4))</f>
        <v>0.63557866546950759</v>
      </c>
      <c r="K4" t="s">
        <v>1</v>
      </c>
      <c r="L4">
        <v>316.14999999999998</v>
      </c>
      <c r="M4">
        <v>317.92899999999997</v>
      </c>
      <c r="N4">
        <v>315.529</v>
      </c>
      <c r="O4">
        <v>316.58699999999999</v>
      </c>
      <c r="P4">
        <v>319.16199999999998</v>
      </c>
      <c r="R4" s="3">
        <f>AVERAGE(L4:P4)</f>
        <v>317.07139999999998</v>
      </c>
      <c r="S4" s="3">
        <f>STDEV(L4:P4)/SQRT(COUNT(L4:P4))</f>
        <v>0.65454966198142384</v>
      </c>
    </row>
    <row r="5" spans="1:19" x14ac:dyDescent="0.25">
      <c r="A5" t="s">
        <v>2</v>
      </c>
      <c r="B5">
        <v>72.23</v>
      </c>
      <c r="C5">
        <v>73.031000000000006</v>
      </c>
      <c r="D5">
        <v>72.266999999999996</v>
      </c>
      <c r="E5">
        <v>72.447000000000003</v>
      </c>
      <c r="F5">
        <v>72.438999999999993</v>
      </c>
      <c r="H5" s="2">
        <f t="shared" ref="H5:H68" si="0">AVERAGE(B5:F5)</f>
        <v>72.482799999999997</v>
      </c>
      <c r="I5" s="2">
        <f t="shared" ref="I5:I68" si="1">STDEV(B5:F5)/SQRT(COUNT(B5:F5))</f>
        <v>0.14390983288156628</v>
      </c>
      <c r="K5" t="s">
        <v>2</v>
      </c>
      <c r="L5">
        <v>72.483000000000004</v>
      </c>
      <c r="M5">
        <v>73.150999999999996</v>
      </c>
      <c r="N5">
        <v>72.67</v>
      </c>
      <c r="O5">
        <v>72.13</v>
      </c>
      <c r="P5">
        <v>72.228999999999999</v>
      </c>
      <c r="R5" s="3">
        <f t="shared" ref="R5:R68" si="2">AVERAGE(L5:P5)</f>
        <v>72.532600000000002</v>
      </c>
      <c r="S5" s="3">
        <f t="shared" ref="S5:S68" si="3">STDEV(L5:P5)/SQRT(COUNT(L5:P5))</f>
        <v>0.18138594212341808</v>
      </c>
    </row>
    <row r="6" spans="1:19" x14ac:dyDescent="0.25">
      <c r="A6" t="s">
        <v>3</v>
      </c>
      <c r="B6">
        <v>27.908999999999999</v>
      </c>
      <c r="C6">
        <v>28.373999999999999</v>
      </c>
      <c r="D6">
        <v>32.756999999999998</v>
      </c>
      <c r="E6">
        <v>27.786000000000001</v>
      </c>
      <c r="F6">
        <v>31.984000000000002</v>
      </c>
      <c r="H6" s="2">
        <f t="shared" si="0"/>
        <v>29.762</v>
      </c>
      <c r="I6" s="2">
        <f t="shared" si="1"/>
        <v>1.0763837141094248</v>
      </c>
      <c r="K6" t="s">
        <v>3</v>
      </c>
      <c r="L6">
        <v>28.06</v>
      </c>
      <c r="M6">
        <v>27.855</v>
      </c>
      <c r="N6">
        <v>27.992999999999999</v>
      </c>
      <c r="O6">
        <v>27.861000000000001</v>
      </c>
      <c r="P6">
        <v>27.701000000000001</v>
      </c>
      <c r="R6" s="3">
        <f t="shared" si="2"/>
        <v>27.893999999999998</v>
      </c>
      <c r="S6" s="3">
        <f t="shared" si="3"/>
        <v>6.2135336162283297E-2</v>
      </c>
    </row>
    <row r="7" spans="1:19" x14ac:dyDescent="0.25">
      <c r="A7">
        <v>-3.75</v>
      </c>
      <c r="B7">
        <v>1098.19</v>
      </c>
      <c r="C7">
        <v>763.02499999999998</v>
      </c>
      <c r="D7">
        <v>1161.1030000000001</v>
      </c>
      <c r="E7">
        <v>827.06899999999996</v>
      </c>
      <c r="F7">
        <v>1160.4680000000001</v>
      </c>
      <c r="H7" s="2">
        <f t="shared" si="0"/>
        <v>1001.9710000000001</v>
      </c>
      <c r="I7" s="2">
        <f t="shared" si="1"/>
        <v>85.845293672396409</v>
      </c>
      <c r="K7">
        <v>-3.75</v>
      </c>
      <c r="L7">
        <v>1159.5709999999999</v>
      </c>
      <c r="M7">
        <v>1254.0550000000001</v>
      </c>
      <c r="N7">
        <v>803.28099999999995</v>
      </c>
      <c r="O7">
        <v>1176.896</v>
      </c>
      <c r="P7">
        <v>1392.3219999999999</v>
      </c>
      <c r="R7" s="3">
        <f t="shared" si="2"/>
        <v>1157.2249999999999</v>
      </c>
      <c r="S7" s="3">
        <f t="shared" si="3"/>
        <v>97.548822494687201</v>
      </c>
    </row>
    <row r="8" spans="1:19" x14ac:dyDescent="0.25">
      <c r="A8">
        <v>-2.5</v>
      </c>
      <c r="B8">
        <v>1251.835</v>
      </c>
      <c r="C8">
        <v>921.322</v>
      </c>
      <c r="D8">
        <v>1315.6559999999999</v>
      </c>
      <c r="E8">
        <v>934.43799999999999</v>
      </c>
      <c r="F8">
        <v>1387.84</v>
      </c>
      <c r="H8" s="2">
        <f t="shared" si="0"/>
        <v>1162.2182</v>
      </c>
      <c r="I8" s="2">
        <f t="shared" si="1"/>
        <v>98.08015207798141</v>
      </c>
      <c r="K8">
        <v>-2.5</v>
      </c>
      <c r="L8">
        <v>1398.4290000000001</v>
      </c>
      <c r="M8">
        <v>1483.1369999999999</v>
      </c>
      <c r="N8">
        <v>988.19299999999998</v>
      </c>
      <c r="O8">
        <v>1392.4870000000001</v>
      </c>
      <c r="P8">
        <v>1684.6079999999999</v>
      </c>
      <c r="R8" s="3">
        <f t="shared" si="2"/>
        <v>1389.3708000000001</v>
      </c>
      <c r="S8" s="3">
        <f t="shared" si="3"/>
        <v>113.3561849721488</v>
      </c>
    </row>
    <row r="9" spans="1:19" x14ac:dyDescent="0.25">
      <c r="A9">
        <v>-1.25</v>
      </c>
      <c r="B9">
        <v>1633.0429999999999</v>
      </c>
      <c r="C9">
        <v>1348.2950000000001</v>
      </c>
      <c r="D9">
        <v>1777.231</v>
      </c>
      <c r="E9">
        <v>1211.173</v>
      </c>
      <c r="F9">
        <v>1927.258</v>
      </c>
      <c r="H9" s="2">
        <f t="shared" si="0"/>
        <v>1579.3999999999999</v>
      </c>
      <c r="I9" s="2">
        <f t="shared" si="1"/>
        <v>132.66885631677113</v>
      </c>
      <c r="K9">
        <v>-1.25</v>
      </c>
      <c r="L9">
        <v>1870.8140000000001</v>
      </c>
      <c r="M9">
        <v>1944.518</v>
      </c>
      <c r="N9">
        <v>1306.5709999999999</v>
      </c>
      <c r="O9">
        <v>1812.761</v>
      </c>
      <c r="P9">
        <v>2223.145</v>
      </c>
      <c r="R9" s="3">
        <f t="shared" si="2"/>
        <v>1831.5618000000002</v>
      </c>
      <c r="S9" s="3">
        <f t="shared" si="3"/>
        <v>148.93052927636984</v>
      </c>
    </row>
    <row r="10" spans="1:19" x14ac:dyDescent="0.25">
      <c r="A10">
        <v>0</v>
      </c>
      <c r="B10">
        <v>2189.9029999999998</v>
      </c>
      <c r="C10">
        <v>1850.422</v>
      </c>
      <c r="D10">
        <v>2537.3180000000002</v>
      </c>
      <c r="E10">
        <v>1679.31</v>
      </c>
      <c r="F10">
        <v>2718.364</v>
      </c>
      <c r="H10" s="2">
        <f t="shared" si="0"/>
        <v>2195.0634</v>
      </c>
      <c r="I10" s="2">
        <f t="shared" si="1"/>
        <v>196.95019968448932</v>
      </c>
      <c r="K10">
        <v>0</v>
      </c>
      <c r="L10">
        <v>2441.5419999999999</v>
      </c>
      <c r="M10">
        <v>2590.37</v>
      </c>
      <c r="N10">
        <v>1737.54</v>
      </c>
      <c r="O10">
        <v>2418.924</v>
      </c>
      <c r="P10">
        <v>2915.3380000000002</v>
      </c>
      <c r="R10" s="3">
        <f t="shared" si="2"/>
        <v>2420.7428</v>
      </c>
      <c r="S10" s="3">
        <f t="shared" si="3"/>
        <v>192.43177745954529</v>
      </c>
    </row>
    <row r="11" spans="1:19" x14ac:dyDescent="0.25">
      <c r="A11">
        <v>1.25</v>
      </c>
      <c r="B11">
        <v>2681.768</v>
      </c>
      <c r="C11">
        <v>2315.0909999999999</v>
      </c>
      <c r="D11">
        <v>3242.8119999999999</v>
      </c>
      <c r="E11">
        <v>2080.1480000000001</v>
      </c>
      <c r="F11">
        <v>3436.9450000000002</v>
      </c>
      <c r="H11" s="2">
        <f t="shared" si="0"/>
        <v>2751.3527999999997</v>
      </c>
      <c r="I11" s="2">
        <f t="shared" si="1"/>
        <v>260.50442376654598</v>
      </c>
      <c r="K11">
        <v>1.25</v>
      </c>
      <c r="L11">
        <v>2911.2739999999999</v>
      </c>
      <c r="M11">
        <v>3179.6779999999999</v>
      </c>
      <c r="N11">
        <v>2149.5430000000001</v>
      </c>
      <c r="O11">
        <v>2981.9079999999999</v>
      </c>
      <c r="P11">
        <v>3512.6439999999998</v>
      </c>
      <c r="R11" s="3">
        <f t="shared" si="2"/>
        <v>2947.0093999999999</v>
      </c>
      <c r="S11" s="3">
        <f t="shared" si="3"/>
        <v>225.00275202397063</v>
      </c>
    </row>
    <row r="12" spans="1:19" x14ac:dyDescent="0.25">
      <c r="A12">
        <v>2.5</v>
      </c>
      <c r="B12">
        <v>3023.8890000000001</v>
      </c>
      <c r="C12">
        <v>2670.8240000000001</v>
      </c>
      <c r="D12">
        <v>3529.694</v>
      </c>
      <c r="E12">
        <v>2377.346</v>
      </c>
      <c r="F12">
        <v>3812.3760000000002</v>
      </c>
      <c r="H12" s="2">
        <f t="shared" si="0"/>
        <v>3082.8257999999996</v>
      </c>
      <c r="I12" s="2">
        <f t="shared" si="1"/>
        <v>264.84480930318512</v>
      </c>
      <c r="K12">
        <v>2.5</v>
      </c>
      <c r="L12">
        <v>3296.6819999999998</v>
      </c>
      <c r="M12">
        <v>3599.01</v>
      </c>
      <c r="N12">
        <v>2471.2020000000002</v>
      </c>
      <c r="O12">
        <v>3385.1559999999999</v>
      </c>
      <c r="P12">
        <v>4026.3139999999999</v>
      </c>
      <c r="R12" s="3">
        <f t="shared" si="2"/>
        <v>3355.6727999999994</v>
      </c>
      <c r="S12" s="3">
        <f t="shared" si="3"/>
        <v>254.52017421619169</v>
      </c>
    </row>
    <row r="13" spans="1:19" x14ac:dyDescent="0.25">
      <c r="A13">
        <v>3.75</v>
      </c>
      <c r="B13">
        <v>3219.0520000000001</v>
      </c>
      <c r="C13">
        <v>2896.82</v>
      </c>
      <c r="D13">
        <v>3668.096</v>
      </c>
      <c r="E13">
        <v>2563.9290000000001</v>
      </c>
      <c r="F13">
        <v>4014.7640000000001</v>
      </c>
      <c r="H13" s="2">
        <f t="shared" si="0"/>
        <v>3272.5322000000001</v>
      </c>
      <c r="I13" s="2">
        <f t="shared" si="1"/>
        <v>260.14582918747766</v>
      </c>
      <c r="K13">
        <v>3.75</v>
      </c>
      <c r="L13">
        <v>3568.1610000000001</v>
      </c>
      <c r="M13">
        <v>3857.3319999999999</v>
      </c>
      <c r="N13">
        <v>2674.6379999999999</v>
      </c>
      <c r="O13">
        <v>3615.02</v>
      </c>
      <c r="P13">
        <v>4341.5600000000004</v>
      </c>
      <c r="R13" s="3">
        <f t="shared" si="2"/>
        <v>3611.3422000000005</v>
      </c>
      <c r="S13" s="3">
        <f t="shared" si="3"/>
        <v>271.38735395047297</v>
      </c>
    </row>
    <row r="14" spans="1:19" x14ac:dyDescent="0.25">
      <c r="A14">
        <v>5</v>
      </c>
      <c r="B14">
        <v>3330.3290000000002</v>
      </c>
      <c r="C14">
        <v>3023.6759999999999</v>
      </c>
      <c r="D14">
        <v>3823.88</v>
      </c>
      <c r="E14">
        <v>2657.2809999999999</v>
      </c>
      <c r="F14">
        <v>4143.8059999999996</v>
      </c>
      <c r="H14" s="2">
        <f t="shared" si="0"/>
        <v>3395.7944000000002</v>
      </c>
      <c r="I14" s="2">
        <f t="shared" si="1"/>
        <v>267.48256941875599</v>
      </c>
      <c r="K14">
        <v>5</v>
      </c>
      <c r="L14">
        <v>3744.337</v>
      </c>
      <c r="M14">
        <v>4014.8130000000001</v>
      </c>
      <c r="N14">
        <v>2789.2460000000001</v>
      </c>
      <c r="O14">
        <v>3737.2440000000001</v>
      </c>
      <c r="P14">
        <v>4487.6970000000001</v>
      </c>
      <c r="R14" s="3">
        <f t="shared" si="2"/>
        <v>3754.6673999999998</v>
      </c>
      <c r="S14" s="3">
        <f t="shared" si="3"/>
        <v>277.25952637242352</v>
      </c>
    </row>
    <row r="15" spans="1:19" x14ac:dyDescent="0.25">
      <c r="A15">
        <v>6.25</v>
      </c>
      <c r="B15">
        <v>3366.1869999999999</v>
      </c>
      <c r="C15">
        <v>3088.7640000000001</v>
      </c>
      <c r="D15">
        <v>3885.7730000000001</v>
      </c>
      <c r="E15">
        <v>2670.8339999999998</v>
      </c>
      <c r="F15">
        <v>4167.0410000000002</v>
      </c>
      <c r="H15" s="2">
        <f t="shared" si="0"/>
        <v>3435.7198000000003</v>
      </c>
      <c r="I15" s="2">
        <f t="shared" si="1"/>
        <v>269.03921692485602</v>
      </c>
      <c r="K15">
        <v>6.25</v>
      </c>
      <c r="L15">
        <v>3807.6570000000002</v>
      </c>
      <c r="M15">
        <v>4037.9740000000002</v>
      </c>
      <c r="N15">
        <v>2811.0450000000001</v>
      </c>
      <c r="O15">
        <v>3760.067</v>
      </c>
      <c r="P15">
        <v>4511.6970000000001</v>
      </c>
      <c r="R15" s="3">
        <f t="shared" si="2"/>
        <v>3785.6879999999996</v>
      </c>
      <c r="S15" s="3">
        <f t="shared" si="3"/>
        <v>277.65134106717585</v>
      </c>
    </row>
    <row r="16" spans="1:19" x14ac:dyDescent="0.25">
      <c r="A16">
        <v>7.5</v>
      </c>
      <c r="B16">
        <v>3287.6390000000001</v>
      </c>
      <c r="C16">
        <v>3016.5630000000001</v>
      </c>
      <c r="D16">
        <v>3817.88</v>
      </c>
      <c r="E16">
        <v>2611.1320000000001</v>
      </c>
      <c r="F16">
        <v>4096.4870000000001</v>
      </c>
      <c r="H16" s="2">
        <f t="shared" si="0"/>
        <v>3365.9402</v>
      </c>
      <c r="I16" s="2">
        <f t="shared" si="1"/>
        <v>267.94394324212561</v>
      </c>
      <c r="K16">
        <v>7.5</v>
      </c>
      <c r="L16">
        <v>3729.306</v>
      </c>
      <c r="M16">
        <v>3927.558</v>
      </c>
      <c r="N16">
        <v>2729.8850000000002</v>
      </c>
      <c r="O16">
        <v>3658.2220000000002</v>
      </c>
      <c r="P16">
        <v>4365.9750000000004</v>
      </c>
      <c r="R16" s="3">
        <f t="shared" si="2"/>
        <v>3682.1891999999998</v>
      </c>
      <c r="S16" s="3">
        <f t="shared" si="3"/>
        <v>268.09015061643038</v>
      </c>
    </row>
    <row r="17" spans="1:19" x14ac:dyDescent="0.25">
      <c r="A17">
        <v>8.75</v>
      </c>
      <c r="B17">
        <v>3055.953</v>
      </c>
      <c r="C17">
        <v>2768.8809999999999</v>
      </c>
      <c r="D17">
        <v>3517.45</v>
      </c>
      <c r="E17">
        <v>2444.9650000000001</v>
      </c>
      <c r="F17">
        <v>3763.9839999999999</v>
      </c>
      <c r="H17" s="2">
        <f t="shared" si="0"/>
        <v>3110.2465999999999</v>
      </c>
      <c r="I17" s="2">
        <f t="shared" si="1"/>
        <v>240.33987104652439</v>
      </c>
      <c r="K17">
        <v>8.75</v>
      </c>
      <c r="L17">
        <v>3422.8829999999998</v>
      </c>
      <c r="M17">
        <v>3623.8870000000002</v>
      </c>
      <c r="N17">
        <v>2529.431</v>
      </c>
      <c r="O17">
        <v>3382.67</v>
      </c>
      <c r="P17">
        <v>4027.027</v>
      </c>
      <c r="R17" s="3">
        <f t="shared" si="2"/>
        <v>3397.1796000000004</v>
      </c>
      <c r="S17" s="3">
        <f t="shared" si="3"/>
        <v>245.14922175760483</v>
      </c>
    </row>
    <row r="18" spans="1:19" x14ac:dyDescent="0.25">
      <c r="A18">
        <v>10</v>
      </c>
      <c r="B18">
        <v>2712.2280000000001</v>
      </c>
      <c r="C18">
        <v>2412.6509999999998</v>
      </c>
      <c r="D18">
        <v>2977.0059999999999</v>
      </c>
      <c r="E18">
        <v>2179.2060000000001</v>
      </c>
      <c r="F18">
        <v>3248.723</v>
      </c>
      <c r="H18" s="2">
        <f t="shared" si="0"/>
        <v>2705.9628000000002</v>
      </c>
      <c r="I18" s="2">
        <f t="shared" si="1"/>
        <v>191.25857393418923</v>
      </c>
      <c r="K18">
        <v>10</v>
      </c>
      <c r="L18">
        <v>2951.4229999999998</v>
      </c>
      <c r="M18">
        <v>3173.7289999999998</v>
      </c>
      <c r="N18">
        <v>2224.192</v>
      </c>
      <c r="O18">
        <v>2947.5970000000002</v>
      </c>
      <c r="P18">
        <v>3500.2489999999998</v>
      </c>
      <c r="R18" s="3">
        <f t="shared" si="2"/>
        <v>2959.4380000000001</v>
      </c>
      <c r="S18" s="3">
        <f t="shared" si="3"/>
        <v>209.66500666825576</v>
      </c>
    </row>
    <row r="19" spans="1:19" x14ac:dyDescent="0.25">
      <c r="A19">
        <v>11.25</v>
      </c>
      <c r="B19">
        <v>2456.9160000000002</v>
      </c>
      <c r="C19">
        <v>2159.1849999999999</v>
      </c>
      <c r="D19">
        <v>2649.502</v>
      </c>
      <c r="E19">
        <v>1969.4059999999999</v>
      </c>
      <c r="F19">
        <v>2847.864</v>
      </c>
      <c r="H19" s="2">
        <f t="shared" si="0"/>
        <v>2416.5746000000004</v>
      </c>
      <c r="I19" s="2">
        <f t="shared" si="1"/>
        <v>159.38982272892969</v>
      </c>
      <c r="K19">
        <v>11.25</v>
      </c>
      <c r="L19">
        <v>2605.0439999999999</v>
      </c>
      <c r="M19">
        <v>2837.366</v>
      </c>
      <c r="N19">
        <v>1993.6020000000001</v>
      </c>
      <c r="O19">
        <v>2642.7730000000001</v>
      </c>
      <c r="P19">
        <v>3113.8270000000002</v>
      </c>
      <c r="R19" s="3">
        <f t="shared" si="2"/>
        <v>2638.5224000000003</v>
      </c>
      <c r="S19" s="3">
        <f t="shared" si="3"/>
        <v>184.73148530301887</v>
      </c>
    </row>
    <row r="20" spans="1:19" x14ac:dyDescent="0.25">
      <c r="A20">
        <v>12.5</v>
      </c>
      <c r="B20">
        <v>2341.3670000000002</v>
      </c>
      <c r="C20">
        <v>2050.797</v>
      </c>
      <c r="D20">
        <v>2476.7440000000001</v>
      </c>
      <c r="E20">
        <v>1886.999</v>
      </c>
      <c r="F20">
        <v>2678.8710000000001</v>
      </c>
      <c r="H20" s="2">
        <f t="shared" si="0"/>
        <v>2286.9556000000002</v>
      </c>
      <c r="I20" s="2">
        <f t="shared" si="1"/>
        <v>142.88353372925707</v>
      </c>
      <c r="K20">
        <v>12.5</v>
      </c>
      <c r="L20">
        <v>2449.2199999999998</v>
      </c>
      <c r="M20">
        <v>2672.0450000000001</v>
      </c>
      <c r="N20">
        <v>1878.444</v>
      </c>
      <c r="O20">
        <v>2498.5639999999999</v>
      </c>
      <c r="P20">
        <v>2950.7269999999999</v>
      </c>
      <c r="R20" s="3">
        <f t="shared" si="2"/>
        <v>2489.8000000000002</v>
      </c>
      <c r="S20" s="3">
        <f t="shared" si="3"/>
        <v>176.2309056587404</v>
      </c>
    </row>
    <row r="21" spans="1:19" x14ac:dyDescent="0.25">
      <c r="A21">
        <v>13.75</v>
      </c>
      <c r="B21">
        <v>2299.7350000000001</v>
      </c>
      <c r="C21">
        <v>2023.4159999999999</v>
      </c>
      <c r="D21">
        <v>2443.549</v>
      </c>
      <c r="E21">
        <v>1872.9480000000001</v>
      </c>
      <c r="F21">
        <v>2598.348</v>
      </c>
      <c r="H21" s="2">
        <f t="shared" si="0"/>
        <v>2247.5991999999997</v>
      </c>
      <c r="I21" s="2">
        <f t="shared" si="1"/>
        <v>133.18423617057763</v>
      </c>
      <c r="K21">
        <v>13.75</v>
      </c>
      <c r="L21">
        <v>2412.7280000000001</v>
      </c>
      <c r="M21">
        <v>2609.59</v>
      </c>
      <c r="N21">
        <v>1841.0640000000001</v>
      </c>
      <c r="O21">
        <v>2456.4229999999998</v>
      </c>
      <c r="P21">
        <v>2890.4059999999999</v>
      </c>
      <c r="R21" s="3">
        <f t="shared" si="2"/>
        <v>2442.0421999999999</v>
      </c>
      <c r="S21" s="3">
        <f t="shared" si="3"/>
        <v>171.95105248889928</v>
      </c>
    </row>
    <row r="22" spans="1:19" x14ac:dyDescent="0.25">
      <c r="A22">
        <v>15</v>
      </c>
      <c r="B22">
        <v>2292.1129999999998</v>
      </c>
      <c r="C22">
        <v>2017.049</v>
      </c>
      <c r="D22">
        <v>2437.9409999999998</v>
      </c>
      <c r="E22">
        <v>1871.883</v>
      </c>
      <c r="F22">
        <v>2571.1329999999998</v>
      </c>
      <c r="H22" s="2">
        <f t="shared" si="0"/>
        <v>2238.0237999999999</v>
      </c>
      <c r="I22" s="2">
        <f t="shared" si="1"/>
        <v>129.75808552779972</v>
      </c>
      <c r="K22">
        <v>15</v>
      </c>
      <c r="L22">
        <v>2408.902</v>
      </c>
      <c r="M22">
        <v>2601.134</v>
      </c>
      <c r="N22">
        <v>1831.03</v>
      </c>
      <c r="O22">
        <v>2461.076</v>
      </c>
      <c r="P22">
        <v>2865.9520000000002</v>
      </c>
      <c r="R22" s="3">
        <f t="shared" si="2"/>
        <v>2433.6188000000002</v>
      </c>
      <c r="S22" s="3">
        <f t="shared" si="3"/>
        <v>170.21330999260888</v>
      </c>
    </row>
    <row r="23" spans="1:19" x14ac:dyDescent="0.25">
      <c r="A23">
        <v>16.25</v>
      </c>
      <c r="B23">
        <v>2310.578</v>
      </c>
      <c r="C23">
        <v>2016.499</v>
      </c>
      <c r="D23">
        <v>2449.7629999999999</v>
      </c>
      <c r="E23">
        <v>1885.201</v>
      </c>
      <c r="F23">
        <v>2563.2510000000002</v>
      </c>
      <c r="H23" s="2">
        <f t="shared" si="0"/>
        <v>2245.0584000000003</v>
      </c>
      <c r="I23" s="2">
        <f t="shared" si="1"/>
        <v>128.29264780243591</v>
      </c>
      <c r="K23">
        <v>16.25</v>
      </c>
      <c r="L23">
        <v>2413.2649999999999</v>
      </c>
      <c r="M23">
        <v>2611.808</v>
      </c>
      <c r="N23">
        <v>1827.5519999999999</v>
      </c>
      <c r="O23">
        <v>2470.5120000000002</v>
      </c>
      <c r="P23">
        <v>2882.87</v>
      </c>
      <c r="R23" s="3">
        <f t="shared" si="2"/>
        <v>2441.2014000000004</v>
      </c>
      <c r="S23" s="3">
        <f t="shared" si="3"/>
        <v>173.54868251116079</v>
      </c>
    </row>
    <row r="24" spans="1:19" x14ac:dyDescent="0.25">
      <c r="A24">
        <v>17.5</v>
      </c>
      <c r="B24">
        <v>2334.4070000000002</v>
      </c>
      <c r="C24">
        <v>2009.7739999999999</v>
      </c>
      <c r="D24">
        <v>2460.8560000000002</v>
      </c>
      <c r="E24">
        <v>1884.0360000000001</v>
      </c>
      <c r="F24">
        <v>2564.098</v>
      </c>
      <c r="H24" s="2">
        <f t="shared" si="0"/>
        <v>2250.6342</v>
      </c>
      <c r="I24" s="2">
        <f t="shared" si="1"/>
        <v>130.74374121020071</v>
      </c>
      <c r="K24">
        <v>17.5</v>
      </c>
      <c r="L24">
        <v>2425.4650000000001</v>
      </c>
      <c r="M24">
        <v>2632.0830000000001</v>
      </c>
      <c r="N24">
        <v>1825.4559999999999</v>
      </c>
      <c r="O24">
        <v>2468.7930000000001</v>
      </c>
      <c r="P24">
        <v>2878.7060000000001</v>
      </c>
      <c r="R24" s="3">
        <f t="shared" si="2"/>
        <v>2446.1006000000002</v>
      </c>
      <c r="S24" s="3">
        <f t="shared" si="3"/>
        <v>174.33837468170924</v>
      </c>
    </row>
    <row r="25" spans="1:19" x14ac:dyDescent="0.25">
      <c r="A25">
        <v>18.75</v>
      </c>
      <c r="B25">
        <v>2337.6260000000002</v>
      </c>
      <c r="C25">
        <v>2013.492</v>
      </c>
      <c r="D25">
        <v>2467.7820000000002</v>
      </c>
      <c r="E25">
        <v>1880.097</v>
      </c>
      <c r="F25">
        <v>2557.8389999999999</v>
      </c>
      <c r="H25" s="2">
        <f t="shared" si="0"/>
        <v>2251.3672000000001</v>
      </c>
      <c r="I25" s="2">
        <f t="shared" si="1"/>
        <v>130.88679891700201</v>
      </c>
      <c r="K25">
        <v>18.75</v>
      </c>
      <c r="L25">
        <v>2429.69</v>
      </c>
      <c r="M25">
        <v>2636.5450000000001</v>
      </c>
      <c r="N25">
        <v>1821.423</v>
      </c>
      <c r="O25">
        <v>2485.145</v>
      </c>
      <c r="P25">
        <v>2872.3760000000002</v>
      </c>
      <c r="R25" s="3">
        <f t="shared" si="2"/>
        <v>2449.0358000000001</v>
      </c>
      <c r="S25" s="3">
        <f t="shared" si="3"/>
        <v>174.63570454617806</v>
      </c>
    </row>
    <row r="26" spans="1:19" x14ac:dyDescent="0.25">
      <c r="A26">
        <v>20</v>
      </c>
      <c r="B26">
        <v>2339.5369999999998</v>
      </c>
      <c r="C26">
        <v>2023.202</v>
      </c>
      <c r="D26">
        <v>2477.2649999999999</v>
      </c>
      <c r="E26">
        <v>1884.069</v>
      </c>
      <c r="F26">
        <v>2567.6439999999998</v>
      </c>
      <c r="H26" s="2">
        <f t="shared" si="0"/>
        <v>2258.3433999999997</v>
      </c>
      <c r="I26" s="2">
        <f t="shared" si="1"/>
        <v>131.4455654020328</v>
      </c>
      <c r="K26">
        <v>20</v>
      </c>
      <c r="L26">
        <v>2439.752</v>
      </c>
      <c r="M26">
        <v>2632.8890000000001</v>
      </c>
      <c r="N26">
        <v>1828.413</v>
      </c>
      <c r="O26">
        <v>2503.0729999999999</v>
      </c>
      <c r="P26">
        <v>2881.4740000000002</v>
      </c>
      <c r="R26" s="3">
        <f t="shared" si="2"/>
        <v>2457.1202000000003</v>
      </c>
      <c r="S26" s="3">
        <f t="shared" si="3"/>
        <v>174.45011839474233</v>
      </c>
    </row>
    <row r="27" spans="1:19" x14ac:dyDescent="0.25">
      <c r="A27">
        <v>21.25</v>
      </c>
      <c r="B27">
        <v>2345.7109999999998</v>
      </c>
      <c r="C27">
        <v>2033.2809999999999</v>
      </c>
      <c r="D27">
        <v>2486.8809999999999</v>
      </c>
      <c r="E27">
        <v>1898.951</v>
      </c>
      <c r="F27">
        <v>2583.1329999999998</v>
      </c>
      <c r="H27" s="2">
        <f t="shared" si="0"/>
        <v>2269.5914000000002</v>
      </c>
      <c r="I27" s="2">
        <f t="shared" si="1"/>
        <v>131.25056380130241</v>
      </c>
      <c r="K27">
        <v>21.25</v>
      </c>
      <c r="L27">
        <v>2461.37</v>
      </c>
      <c r="M27">
        <v>2637.703</v>
      </c>
      <c r="N27">
        <v>1838.0150000000001</v>
      </c>
      <c r="O27">
        <v>2509.89</v>
      </c>
      <c r="P27">
        <v>2899.6570000000002</v>
      </c>
      <c r="R27" s="3">
        <f t="shared" si="2"/>
        <v>2469.3270000000002</v>
      </c>
      <c r="S27" s="3">
        <f t="shared" si="3"/>
        <v>175.18531594257433</v>
      </c>
    </row>
    <row r="28" spans="1:19" x14ac:dyDescent="0.25">
      <c r="A28">
        <v>22.5</v>
      </c>
      <c r="B28">
        <v>2350.181</v>
      </c>
      <c r="C28">
        <v>2047.0170000000001</v>
      </c>
      <c r="D28">
        <v>2496.8319999999999</v>
      </c>
      <c r="E28">
        <v>1902.8109999999999</v>
      </c>
      <c r="F28">
        <v>2611.8409999999999</v>
      </c>
      <c r="H28" s="2">
        <f t="shared" si="0"/>
        <v>2281.7364000000002</v>
      </c>
      <c r="I28" s="2">
        <f t="shared" si="1"/>
        <v>133.90247997165625</v>
      </c>
      <c r="K28">
        <v>22.5</v>
      </c>
      <c r="L28">
        <v>2474.64</v>
      </c>
      <c r="M28">
        <v>2647.56</v>
      </c>
      <c r="N28">
        <v>1850.1079999999999</v>
      </c>
      <c r="O28">
        <v>2509.5639999999999</v>
      </c>
      <c r="P28">
        <v>2917.4169999999999</v>
      </c>
      <c r="R28" s="3">
        <f t="shared" si="2"/>
        <v>2479.8577999999998</v>
      </c>
      <c r="S28" s="3">
        <f t="shared" si="3"/>
        <v>175.65257979101924</v>
      </c>
    </row>
    <row r="29" spans="1:19" x14ac:dyDescent="0.25">
      <c r="A29">
        <v>23.75</v>
      </c>
      <c r="B29">
        <v>2363.8739999999998</v>
      </c>
      <c r="C29">
        <v>2045.923</v>
      </c>
      <c r="D29">
        <v>2505.6909999999998</v>
      </c>
      <c r="E29">
        <v>1900.366</v>
      </c>
      <c r="F29">
        <v>2602.029</v>
      </c>
      <c r="H29" s="2">
        <f t="shared" si="0"/>
        <v>2283.5765999999999</v>
      </c>
      <c r="I29" s="2">
        <f t="shared" si="1"/>
        <v>134.26168622231714</v>
      </c>
      <c r="K29">
        <v>23.75</v>
      </c>
      <c r="L29">
        <v>2488.2979999999998</v>
      </c>
      <c r="M29">
        <v>2658.1379999999999</v>
      </c>
      <c r="N29">
        <v>1846.4459999999999</v>
      </c>
      <c r="O29">
        <v>2506.8910000000001</v>
      </c>
      <c r="P29">
        <v>2906.1970000000001</v>
      </c>
      <c r="R29" s="3">
        <f t="shared" si="2"/>
        <v>2481.194</v>
      </c>
      <c r="S29" s="3">
        <f t="shared" si="3"/>
        <v>175.43553734548851</v>
      </c>
    </row>
    <row r="30" spans="1:19" x14ac:dyDescent="0.25">
      <c r="A30">
        <v>25</v>
      </c>
      <c r="B30">
        <v>2377.0149999999999</v>
      </c>
      <c r="C30">
        <v>2026.817</v>
      </c>
      <c r="D30">
        <v>2506.5079999999998</v>
      </c>
      <c r="E30">
        <v>1888.925</v>
      </c>
      <c r="F30">
        <v>2598.1329999999998</v>
      </c>
      <c r="H30" s="2">
        <f t="shared" si="0"/>
        <v>2279.4795999999997</v>
      </c>
      <c r="I30" s="2">
        <f t="shared" si="1"/>
        <v>137.65288282691307</v>
      </c>
      <c r="K30">
        <v>25</v>
      </c>
      <c r="L30">
        <v>2491.837</v>
      </c>
      <c r="M30">
        <v>2662.8490000000002</v>
      </c>
      <c r="N30">
        <v>1850.241</v>
      </c>
      <c r="O30">
        <v>2503.8760000000002</v>
      </c>
      <c r="P30">
        <v>2870.4340000000002</v>
      </c>
      <c r="R30" s="3">
        <f t="shared" si="2"/>
        <v>2475.8474000000001</v>
      </c>
      <c r="S30" s="3">
        <f t="shared" si="3"/>
        <v>170.74730169891424</v>
      </c>
    </row>
    <row r="31" spans="1:19" x14ac:dyDescent="0.25">
      <c r="A31">
        <v>26.25</v>
      </c>
      <c r="B31">
        <v>2376.5479999999998</v>
      </c>
      <c r="C31">
        <v>2027.8889999999999</v>
      </c>
      <c r="D31">
        <v>2521.0079999999998</v>
      </c>
      <c r="E31">
        <v>1889.222</v>
      </c>
      <c r="F31">
        <v>2611.0770000000002</v>
      </c>
      <c r="H31" s="2">
        <f t="shared" si="0"/>
        <v>2285.1487999999999</v>
      </c>
      <c r="I31" s="2">
        <f t="shared" si="1"/>
        <v>140.20577791139789</v>
      </c>
      <c r="K31">
        <v>26.25</v>
      </c>
      <c r="L31">
        <v>2498.8679999999999</v>
      </c>
      <c r="M31">
        <v>2668.7640000000001</v>
      </c>
      <c r="N31">
        <v>1856.5820000000001</v>
      </c>
      <c r="O31">
        <v>2525.9189999999999</v>
      </c>
      <c r="P31">
        <v>2852.7939999999999</v>
      </c>
      <c r="R31" s="3">
        <f t="shared" si="2"/>
        <v>2480.5853999999999</v>
      </c>
      <c r="S31" s="3">
        <f t="shared" si="3"/>
        <v>168.18443141016414</v>
      </c>
    </row>
    <row r="32" spans="1:19" x14ac:dyDescent="0.25">
      <c r="A32">
        <v>27.5</v>
      </c>
      <c r="B32">
        <v>2375.0329999999999</v>
      </c>
      <c r="C32">
        <v>2033.454</v>
      </c>
      <c r="D32">
        <v>2540.308</v>
      </c>
      <c r="E32">
        <v>1899.46</v>
      </c>
      <c r="F32">
        <v>2621.5880000000002</v>
      </c>
      <c r="H32" s="2">
        <f t="shared" si="0"/>
        <v>2293.9686000000002</v>
      </c>
      <c r="I32" s="2">
        <f t="shared" si="1"/>
        <v>141.08399988715914</v>
      </c>
      <c r="K32">
        <v>27.5</v>
      </c>
      <c r="L32">
        <v>2516.877</v>
      </c>
      <c r="M32">
        <v>2674.5439999999999</v>
      </c>
      <c r="N32">
        <v>1854.837</v>
      </c>
      <c r="O32">
        <v>2546.4160000000002</v>
      </c>
      <c r="P32">
        <v>2891.2750000000001</v>
      </c>
      <c r="R32" s="3">
        <f t="shared" si="2"/>
        <v>2496.7897999999996</v>
      </c>
      <c r="S32" s="3">
        <f t="shared" si="3"/>
        <v>173.52014024239512</v>
      </c>
    </row>
    <row r="33" spans="1:19" x14ac:dyDescent="0.25">
      <c r="A33">
        <v>28.75</v>
      </c>
      <c r="B33">
        <v>2379.627</v>
      </c>
      <c r="C33">
        <v>2037.7670000000001</v>
      </c>
      <c r="D33">
        <v>2566.8209999999999</v>
      </c>
      <c r="E33">
        <v>1913.818</v>
      </c>
      <c r="F33">
        <v>2616.5250000000001</v>
      </c>
      <c r="H33" s="2">
        <f t="shared" si="0"/>
        <v>2302.9115999999999</v>
      </c>
      <c r="I33" s="2">
        <f t="shared" si="1"/>
        <v>140.63823753432146</v>
      </c>
      <c r="K33">
        <v>28.75</v>
      </c>
      <c r="L33">
        <v>2535.384</v>
      </c>
      <c r="M33">
        <v>2700.625</v>
      </c>
      <c r="N33">
        <v>1859.442</v>
      </c>
      <c r="O33">
        <v>2554.221</v>
      </c>
      <c r="P33">
        <v>2918.4569999999999</v>
      </c>
      <c r="R33" s="3">
        <f t="shared" si="2"/>
        <v>2513.6258000000003</v>
      </c>
      <c r="S33" s="3">
        <f t="shared" si="3"/>
        <v>177.33229189952908</v>
      </c>
    </row>
    <row r="34" spans="1:19" x14ac:dyDescent="0.25">
      <c r="A34">
        <v>30</v>
      </c>
      <c r="B34">
        <v>2386.5639999999999</v>
      </c>
      <c r="C34">
        <v>2048.6660000000002</v>
      </c>
      <c r="D34">
        <v>2587.7890000000002</v>
      </c>
      <c r="E34">
        <v>1941.7619999999999</v>
      </c>
      <c r="F34">
        <v>2631.8910000000001</v>
      </c>
      <c r="H34" s="2">
        <f t="shared" si="0"/>
        <v>2319.3344000000002</v>
      </c>
      <c r="I34" s="2">
        <f t="shared" si="1"/>
        <v>139.66059207614725</v>
      </c>
      <c r="K34">
        <v>30</v>
      </c>
      <c r="L34">
        <v>2537.6579999999999</v>
      </c>
      <c r="M34">
        <v>2729.03</v>
      </c>
      <c r="N34">
        <v>1877.817</v>
      </c>
      <c r="O34">
        <v>2567.44</v>
      </c>
      <c r="P34">
        <v>2931.8310000000001</v>
      </c>
      <c r="R34" s="3">
        <f t="shared" si="2"/>
        <v>2528.7552000000001</v>
      </c>
      <c r="S34" s="3">
        <f t="shared" si="3"/>
        <v>177.18301412364582</v>
      </c>
    </row>
    <row r="35" spans="1:19" x14ac:dyDescent="0.25">
      <c r="A35">
        <v>31.25</v>
      </c>
      <c r="B35">
        <v>2403.212</v>
      </c>
      <c r="C35">
        <v>2069.3139999999999</v>
      </c>
      <c r="D35">
        <v>2594.6640000000002</v>
      </c>
      <c r="E35">
        <v>1958.5820000000001</v>
      </c>
      <c r="F35">
        <v>2665.136</v>
      </c>
      <c r="H35" s="2">
        <f t="shared" si="0"/>
        <v>2338.1816000000003</v>
      </c>
      <c r="I35" s="2">
        <f t="shared" si="1"/>
        <v>140.2314153039888</v>
      </c>
      <c r="K35">
        <v>31.25</v>
      </c>
      <c r="L35">
        <v>2548.2020000000002</v>
      </c>
      <c r="M35">
        <v>2738.5540000000001</v>
      </c>
      <c r="N35">
        <v>1891.5740000000001</v>
      </c>
      <c r="O35">
        <v>2604.627</v>
      </c>
      <c r="P35">
        <v>2950.19</v>
      </c>
      <c r="R35" s="3">
        <f t="shared" si="2"/>
        <v>2546.6294000000003</v>
      </c>
      <c r="S35" s="3">
        <f t="shared" si="3"/>
        <v>177.78638610748564</v>
      </c>
    </row>
    <row r="36" spans="1:19" x14ac:dyDescent="0.25">
      <c r="A36">
        <v>32.5</v>
      </c>
      <c r="B36">
        <v>2407.8249999999998</v>
      </c>
      <c r="C36">
        <v>2096.1089999999999</v>
      </c>
      <c r="D36">
        <v>2605.5340000000001</v>
      </c>
      <c r="E36">
        <v>1950.076</v>
      </c>
      <c r="F36">
        <v>2673.4540000000002</v>
      </c>
      <c r="H36" s="2">
        <f t="shared" si="0"/>
        <v>2346.5995999999996</v>
      </c>
      <c r="I36" s="2">
        <f t="shared" si="1"/>
        <v>140.99749606876162</v>
      </c>
      <c r="K36">
        <v>32.5</v>
      </c>
      <c r="L36">
        <v>2551.7930000000001</v>
      </c>
      <c r="M36">
        <v>2728.71</v>
      </c>
      <c r="N36">
        <v>1899.2840000000001</v>
      </c>
      <c r="O36">
        <v>2631.2109999999998</v>
      </c>
      <c r="P36">
        <v>2955.346</v>
      </c>
      <c r="R36" s="3">
        <f t="shared" si="2"/>
        <v>2553.2687999999998</v>
      </c>
      <c r="S36" s="3">
        <f t="shared" si="3"/>
        <v>176.94900007838419</v>
      </c>
    </row>
    <row r="37" spans="1:19" x14ac:dyDescent="0.25">
      <c r="A37">
        <v>33.75</v>
      </c>
      <c r="B37">
        <v>2406.0169999999998</v>
      </c>
      <c r="C37">
        <v>2107.7069999999999</v>
      </c>
      <c r="D37">
        <v>2595.8829999999998</v>
      </c>
      <c r="E37">
        <v>1923.018</v>
      </c>
      <c r="F37">
        <v>2669.114</v>
      </c>
      <c r="H37" s="2">
        <f t="shared" si="0"/>
        <v>2340.3478</v>
      </c>
      <c r="I37" s="2">
        <f t="shared" si="1"/>
        <v>142.47522597328998</v>
      </c>
      <c r="K37">
        <v>33.75</v>
      </c>
      <c r="L37">
        <v>2569.357</v>
      </c>
      <c r="M37">
        <v>2701.779</v>
      </c>
      <c r="N37">
        <v>1888.2750000000001</v>
      </c>
      <c r="O37">
        <v>2637.319</v>
      </c>
      <c r="P37">
        <v>2953.4769999999999</v>
      </c>
      <c r="R37" s="3">
        <f t="shared" si="2"/>
        <v>2550.0413999999996</v>
      </c>
      <c r="S37" s="3">
        <f t="shared" si="3"/>
        <v>177.72307428063522</v>
      </c>
    </row>
    <row r="38" spans="1:19" x14ac:dyDescent="0.25">
      <c r="A38">
        <v>35</v>
      </c>
      <c r="B38">
        <v>2370.7130000000002</v>
      </c>
      <c r="C38">
        <v>2067.5650000000001</v>
      </c>
      <c r="D38">
        <v>2548.0070000000001</v>
      </c>
      <c r="E38">
        <v>1878.297</v>
      </c>
      <c r="F38">
        <v>2621.386</v>
      </c>
      <c r="H38" s="2">
        <f t="shared" si="0"/>
        <v>2297.1936000000001</v>
      </c>
      <c r="I38" s="2">
        <f t="shared" si="1"/>
        <v>141.70688611411902</v>
      </c>
      <c r="K38">
        <v>35</v>
      </c>
      <c r="L38">
        <v>2539.3049999999998</v>
      </c>
      <c r="M38">
        <v>2654.9569999999999</v>
      </c>
      <c r="N38">
        <v>1849.59</v>
      </c>
      <c r="O38">
        <v>2578.3690000000001</v>
      </c>
      <c r="P38">
        <v>2896.4090000000001</v>
      </c>
      <c r="R38" s="3">
        <f t="shared" si="2"/>
        <v>2503.7259999999997</v>
      </c>
      <c r="S38" s="3">
        <f t="shared" si="3"/>
        <v>174.9002720175136</v>
      </c>
    </row>
    <row r="39" spans="1:19" x14ac:dyDescent="0.25">
      <c r="A39">
        <v>36.25</v>
      </c>
      <c r="B39">
        <v>2265.6350000000002</v>
      </c>
      <c r="C39">
        <v>1974.0640000000001</v>
      </c>
      <c r="D39">
        <v>2430.6039999999998</v>
      </c>
      <c r="E39">
        <v>1805.5540000000001</v>
      </c>
      <c r="F39">
        <v>2500.665</v>
      </c>
      <c r="H39" s="2">
        <f t="shared" si="0"/>
        <v>2195.3044</v>
      </c>
      <c r="I39" s="2">
        <f t="shared" si="1"/>
        <v>133.1183834001136</v>
      </c>
      <c r="K39">
        <v>36.25</v>
      </c>
      <c r="L39">
        <v>2418.8000000000002</v>
      </c>
      <c r="M39">
        <v>2548.2339999999999</v>
      </c>
      <c r="N39">
        <v>1769.809</v>
      </c>
      <c r="O39">
        <v>2456.7739999999999</v>
      </c>
      <c r="P39">
        <v>2768.806</v>
      </c>
      <c r="R39" s="3">
        <f t="shared" si="2"/>
        <v>2392.4846000000002</v>
      </c>
      <c r="S39" s="3">
        <f t="shared" si="3"/>
        <v>167.09670878913116</v>
      </c>
    </row>
    <row r="40" spans="1:19" x14ac:dyDescent="0.25">
      <c r="A40">
        <v>37.5</v>
      </c>
      <c r="B40">
        <v>2102.8829999999998</v>
      </c>
      <c r="C40">
        <v>1833.5319999999999</v>
      </c>
      <c r="D40">
        <v>2263.9499999999998</v>
      </c>
      <c r="E40">
        <v>1690.665</v>
      </c>
      <c r="F40">
        <v>2339.069</v>
      </c>
      <c r="H40" s="2">
        <f t="shared" si="0"/>
        <v>2046.0198</v>
      </c>
      <c r="I40" s="2">
        <f t="shared" si="1"/>
        <v>124.10336986536626</v>
      </c>
      <c r="K40">
        <v>37.5</v>
      </c>
      <c r="L40">
        <v>2254.8110000000001</v>
      </c>
      <c r="M40">
        <v>2391.9250000000002</v>
      </c>
      <c r="N40">
        <v>1655.0340000000001</v>
      </c>
      <c r="O40">
        <v>2297.7249999999999</v>
      </c>
      <c r="P40">
        <v>2602.1570000000002</v>
      </c>
      <c r="R40" s="3">
        <f t="shared" si="2"/>
        <v>2240.3304000000003</v>
      </c>
      <c r="S40" s="3">
        <f t="shared" si="3"/>
        <v>158.10994828839802</v>
      </c>
    </row>
    <row r="41" spans="1:19" x14ac:dyDescent="0.25">
      <c r="A41">
        <v>38.75</v>
      </c>
      <c r="B41">
        <v>1948.8019999999999</v>
      </c>
      <c r="C41">
        <v>1687.98</v>
      </c>
      <c r="D41">
        <v>2093.1039999999998</v>
      </c>
      <c r="E41">
        <v>1571.4870000000001</v>
      </c>
      <c r="F41">
        <v>2178.1970000000001</v>
      </c>
      <c r="H41" s="2">
        <f t="shared" si="0"/>
        <v>1895.914</v>
      </c>
      <c r="I41" s="2">
        <f t="shared" si="1"/>
        <v>116.15811538975761</v>
      </c>
      <c r="K41">
        <v>38.75</v>
      </c>
      <c r="L41">
        <v>2094.7840000000001</v>
      </c>
      <c r="M41">
        <v>2232.942</v>
      </c>
      <c r="N41">
        <v>1535.335</v>
      </c>
      <c r="O41">
        <v>2129.2080000000001</v>
      </c>
      <c r="P41">
        <v>2410.9180000000001</v>
      </c>
      <c r="R41" s="3">
        <f t="shared" si="2"/>
        <v>2080.6374000000001</v>
      </c>
      <c r="S41" s="3">
        <f t="shared" si="3"/>
        <v>147.00270453961085</v>
      </c>
    </row>
    <row r="42" spans="1:19" x14ac:dyDescent="0.25">
      <c r="A42">
        <v>40</v>
      </c>
      <c r="B42">
        <v>1848.0619999999999</v>
      </c>
      <c r="C42">
        <v>1595.5350000000001</v>
      </c>
      <c r="D42">
        <v>1984.241</v>
      </c>
      <c r="E42">
        <v>1490.895</v>
      </c>
      <c r="F42">
        <v>2053.98</v>
      </c>
      <c r="H42" s="2">
        <f t="shared" si="0"/>
        <v>1794.5426</v>
      </c>
      <c r="I42" s="2">
        <f t="shared" si="1"/>
        <v>109.07874758659453</v>
      </c>
      <c r="K42">
        <v>40</v>
      </c>
      <c r="L42">
        <v>1994.9760000000001</v>
      </c>
      <c r="M42">
        <v>2115.4180000000001</v>
      </c>
      <c r="N42">
        <v>1448.2860000000001</v>
      </c>
      <c r="O42">
        <v>2024.059</v>
      </c>
      <c r="P42">
        <v>2276.7440000000001</v>
      </c>
      <c r="R42" s="3">
        <f t="shared" si="2"/>
        <v>1971.8966</v>
      </c>
      <c r="S42" s="3">
        <f t="shared" si="3"/>
        <v>139.81272557517821</v>
      </c>
    </row>
    <row r="43" spans="1:19" x14ac:dyDescent="0.25">
      <c r="A43">
        <v>41.25</v>
      </c>
      <c r="B43">
        <v>1794.4939999999999</v>
      </c>
      <c r="C43">
        <v>1561.32</v>
      </c>
      <c r="D43">
        <v>1943.414</v>
      </c>
      <c r="E43">
        <v>1447.848</v>
      </c>
      <c r="F43">
        <v>1991.2470000000001</v>
      </c>
      <c r="H43" s="2">
        <f t="shared" si="0"/>
        <v>1747.6646000000001</v>
      </c>
      <c r="I43" s="2">
        <f t="shared" si="1"/>
        <v>105.93807376934852</v>
      </c>
      <c r="K43">
        <v>41.25</v>
      </c>
      <c r="L43">
        <v>1939.027</v>
      </c>
      <c r="M43">
        <v>2051.4360000000001</v>
      </c>
      <c r="N43">
        <v>1398.59</v>
      </c>
      <c r="O43">
        <v>1965.364</v>
      </c>
      <c r="P43">
        <v>2205.0970000000002</v>
      </c>
      <c r="R43" s="3">
        <f t="shared" si="2"/>
        <v>1911.9027999999998</v>
      </c>
      <c r="S43" s="3">
        <f t="shared" si="3"/>
        <v>136.47640924181789</v>
      </c>
    </row>
    <row r="44" spans="1:19" x14ac:dyDescent="0.25">
      <c r="A44">
        <v>42.5</v>
      </c>
      <c r="B44">
        <v>1781.739</v>
      </c>
      <c r="C44">
        <v>1554.0719999999999</v>
      </c>
      <c r="D44">
        <v>1935.482</v>
      </c>
      <c r="E44">
        <v>1430.3630000000001</v>
      </c>
      <c r="F44">
        <v>1980.4760000000001</v>
      </c>
      <c r="H44" s="2">
        <f t="shared" si="0"/>
        <v>1736.4263999999998</v>
      </c>
      <c r="I44" s="2">
        <f t="shared" si="1"/>
        <v>106.80929334313674</v>
      </c>
      <c r="K44">
        <v>42.5</v>
      </c>
      <c r="L44">
        <v>1913.5170000000001</v>
      </c>
      <c r="M44">
        <v>2039.521</v>
      </c>
      <c r="N44">
        <v>1386.367</v>
      </c>
      <c r="O44">
        <v>1944.086</v>
      </c>
      <c r="P44">
        <v>2194.0050000000001</v>
      </c>
      <c r="R44" s="3">
        <f t="shared" si="2"/>
        <v>1895.4991999999997</v>
      </c>
      <c r="S44" s="3">
        <f t="shared" si="3"/>
        <v>136.3357815903081</v>
      </c>
    </row>
    <row r="45" spans="1:19" x14ac:dyDescent="0.25">
      <c r="A45">
        <v>43.75</v>
      </c>
      <c r="B45">
        <v>1792.694</v>
      </c>
      <c r="C45">
        <v>1561.5119999999999</v>
      </c>
      <c r="D45">
        <v>1951.8</v>
      </c>
      <c r="E45">
        <v>1428.8820000000001</v>
      </c>
      <c r="F45">
        <v>1990.579</v>
      </c>
      <c r="H45" s="2">
        <f t="shared" si="0"/>
        <v>1745.0934000000002</v>
      </c>
      <c r="I45" s="2">
        <f t="shared" si="1"/>
        <v>109.30425319428274</v>
      </c>
      <c r="K45">
        <v>43.75</v>
      </c>
      <c r="L45">
        <v>1907.8789999999999</v>
      </c>
      <c r="M45">
        <v>2040.922</v>
      </c>
      <c r="N45">
        <v>1393.3389999999999</v>
      </c>
      <c r="O45">
        <v>1954.33</v>
      </c>
      <c r="P45">
        <v>2209.9140000000002</v>
      </c>
      <c r="R45" s="3">
        <f t="shared" si="2"/>
        <v>1901.2768000000001</v>
      </c>
      <c r="S45" s="3">
        <f t="shared" si="3"/>
        <v>137.04319444080446</v>
      </c>
    </row>
    <row r="46" spans="1:19" x14ac:dyDescent="0.25">
      <c r="A46">
        <v>45</v>
      </c>
      <c r="B46">
        <v>1819.2729999999999</v>
      </c>
      <c r="C46">
        <v>1583.9960000000001</v>
      </c>
      <c r="D46">
        <v>1988.06</v>
      </c>
      <c r="E46">
        <v>1455.5519999999999</v>
      </c>
      <c r="F46">
        <v>2006.164</v>
      </c>
      <c r="H46" s="2">
        <f t="shared" si="0"/>
        <v>1770.6089999999999</v>
      </c>
      <c r="I46" s="2">
        <f t="shared" si="1"/>
        <v>109.3674095286156</v>
      </c>
      <c r="K46">
        <v>45</v>
      </c>
      <c r="L46">
        <v>1925.087</v>
      </c>
      <c r="M46">
        <v>2065.4650000000001</v>
      </c>
      <c r="N46">
        <v>1409.8389999999999</v>
      </c>
      <c r="O46">
        <v>1971.8689999999999</v>
      </c>
      <c r="P46">
        <v>2234.3679999999999</v>
      </c>
      <c r="R46" s="3">
        <f t="shared" si="2"/>
        <v>1921.3255999999997</v>
      </c>
      <c r="S46" s="3">
        <f t="shared" si="3"/>
        <v>138.37612442600181</v>
      </c>
    </row>
    <row r="47" spans="1:19" x14ac:dyDescent="0.25">
      <c r="A47">
        <v>46.25</v>
      </c>
      <c r="B47">
        <v>1852.7909999999999</v>
      </c>
      <c r="C47">
        <v>1640.0219999999999</v>
      </c>
      <c r="D47">
        <v>2043.873</v>
      </c>
      <c r="E47">
        <v>1505.74</v>
      </c>
      <c r="F47">
        <v>2056.9650000000001</v>
      </c>
      <c r="H47" s="2">
        <f t="shared" si="0"/>
        <v>1819.8781999999999</v>
      </c>
      <c r="I47" s="2">
        <f t="shared" si="1"/>
        <v>109.20122136285833</v>
      </c>
      <c r="K47">
        <v>46.25</v>
      </c>
      <c r="L47">
        <v>1981.1849999999999</v>
      </c>
      <c r="M47">
        <v>2111.114</v>
      </c>
      <c r="N47">
        <v>1455.47</v>
      </c>
      <c r="O47">
        <v>2013.1220000000001</v>
      </c>
      <c r="P47">
        <v>2307.3969999999999</v>
      </c>
      <c r="R47" s="3">
        <f t="shared" si="2"/>
        <v>1973.6576</v>
      </c>
      <c r="S47" s="3">
        <f t="shared" si="3"/>
        <v>141.49359321629993</v>
      </c>
    </row>
    <row r="48" spans="1:19" x14ac:dyDescent="0.25">
      <c r="A48">
        <v>47.5</v>
      </c>
      <c r="B48">
        <v>1910.3979999999999</v>
      </c>
      <c r="C48">
        <v>1714.079</v>
      </c>
      <c r="D48">
        <v>2126.7150000000001</v>
      </c>
      <c r="E48">
        <v>1570.0350000000001</v>
      </c>
      <c r="F48">
        <v>2144.1559999999999</v>
      </c>
      <c r="H48" s="2">
        <f t="shared" si="0"/>
        <v>1893.0765999999999</v>
      </c>
      <c r="I48" s="2">
        <f t="shared" si="1"/>
        <v>112.76608845153729</v>
      </c>
      <c r="K48">
        <v>47.5</v>
      </c>
      <c r="L48">
        <v>2082.96</v>
      </c>
      <c r="M48">
        <v>2173.5549999999998</v>
      </c>
      <c r="N48">
        <v>1516.5719999999999</v>
      </c>
      <c r="O48">
        <v>2085.107</v>
      </c>
      <c r="P48">
        <v>2419.5839999999998</v>
      </c>
      <c r="R48" s="3">
        <f t="shared" si="2"/>
        <v>2055.5555999999997</v>
      </c>
      <c r="S48" s="3">
        <f t="shared" si="3"/>
        <v>148.08243343779893</v>
      </c>
    </row>
    <row r="49" spans="1:19" x14ac:dyDescent="0.25">
      <c r="A49">
        <v>48.75</v>
      </c>
      <c r="B49">
        <v>1984.357</v>
      </c>
      <c r="C49">
        <v>1769.9929999999999</v>
      </c>
      <c r="D49">
        <v>2211.1170000000002</v>
      </c>
      <c r="E49">
        <v>1625.8579999999999</v>
      </c>
      <c r="F49">
        <v>2229.62</v>
      </c>
      <c r="H49" s="2">
        <f t="shared" si="0"/>
        <v>1964.1889999999999</v>
      </c>
      <c r="I49" s="2">
        <f t="shared" si="1"/>
        <v>119.16663818913418</v>
      </c>
      <c r="K49">
        <v>48.75</v>
      </c>
      <c r="L49">
        <v>2181.1959999999999</v>
      </c>
      <c r="M49">
        <v>2235.6419999999998</v>
      </c>
      <c r="N49">
        <v>1565.847</v>
      </c>
      <c r="O49">
        <v>2162.11</v>
      </c>
      <c r="P49">
        <v>2507.3560000000002</v>
      </c>
      <c r="R49" s="3">
        <f t="shared" si="2"/>
        <v>2130.4301999999998</v>
      </c>
      <c r="S49" s="3">
        <f t="shared" si="3"/>
        <v>154.18779904142855</v>
      </c>
    </row>
    <row r="50" spans="1:19" x14ac:dyDescent="0.25">
      <c r="A50">
        <v>50</v>
      </c>
      <c r="B50">
        <v>2035.1110000000001</v>
      </c>
      <c r="C50">
        <v>1803.346</v>
      </c>
      <c r="D50">
        <v>2270.5819999999999</v>
      </c>
      <c r="E50">
        <v>1662.3920000000001</v>
      </c>
      <c r="F50">
        <v>2291.8620000000001</v>
      </c>
      <c r="H50" s="2">
        <f t="shared" si="0"/>
        <v>2012.6586000000002</v>
      </c>
      <c r="I50" s="2">
        <f t="shared" si="1"/>
        <v>124.79615072172669</v>
      </c>
      <c r="K50">
        <v>50</v>
      </c>
      <c r="L50">
        <v>2230.6889999999999</v>
      </c>
      <c r="M50">
        <v>2278.6489999999999</v>
      </c>
      <c r="N50">
        <v>1593.1289999999999</v>
      </c>
      <c r="O50">
        <v>2220.279</v>
      </c>
      <c r="P50">
        <v>2544.5410000000002</v>
      </c>
      <c r="R50" s="3">
        <f t="shared" si="2"/>
        <v>2173.4574000000002</v>
      </c>
      <c r="S50" s="3">
        <f t="shared" si="3"/>
        <v>156.68712152107375</v>
      </c>
    </row>
    <row r="51" spans="1:19" x14ac:dyDescent="0.25">
      <c r="A51">
        <v>51.25</v>
      </c>
      <c r="B51">
        <v>2067.2190000000001</v>
      </c>
      <c r="C51">
        <v>1825.145</v>
      </c>
      <c r="D51">
        <v>2302.0909999999999</v>
      </c>
      <c r="E51">
        <v>1684.72</v>
      </c>
      <c r="F51">
        <v>2327.4490000000001</v>
      </c>
      <c r="H51" s="2">
        <f t="shared" si="0"/>
        <v>2041.3247999999999</v>
      </c>
      <c r="I51" s="2">
        <f t="shared" si="1"/>
        <v>127.36507916081281</v>
      </c>
      <c r="K51">
        <v>51.25</v>
      </c>
      <c r="L51">
        <v>2257.8429999999998</v>
      </c>
      <c r="M51">
        <v>2332.819</v>
      </c>
      <c r="N51">
        <v>1609.0719999999999</v>
      </c>
      <c r="O51">
        <v>2257.098</v>
      </c>
      <c r="P51">
        <v>2574.192</v>
      </c>
      <c r="R51" s="3">
        <f t="shared" si="2"/>
        <v>2206.2048000000004</v>
      </c>
      <c r="S51" s="3">
        <f t="shared" si="3"/>
        <v>160.19830482043028</v>
      </c>
    </row>
    <row r="52" spans="1:19" x14ac:dyDescent="0.25">
      <c r="A52">
        <v>52.5</v>
      </c>
      <c r="B52">
        <v>2112.88</v>
      </c>
      <c r="C52">
        <v>1846.845</v>
      </c>
      <c r="D52">
        <v>2328.009</v>
      </c>
      <c r="E52">
        <v>1703.9580000000001</v>
      </c>
      <c r="F52">
        <v>2355.6390000000001</v>
      </c>
      <c r="H52" s="2">
        <f t="shared" si="0"/>
        <v>2069.4662000000003</v>
      </c>
      <c r="I52" s="2">
        <f t="shared" si="1"/>
        <v>129.18599999202647</v>
      </c>
      <c r="K52">
        <v>52.5</v>
      </c>
      <c r="L52">
        <v>2284.924</v>
      </c>
      <c r="M52">
        <v>2392.7910000000002</v>
      </c>
      <c r="N52">
        <v>1623.0129999999999</v>
      </c>
      <c r="O52">
        <v>2285.576</v>
      </c>
      <c r="P52">
        <v>2595.9229999999998</v>
      </c>
      <c r="R52" s="3">
        <f t="shared" si="2"/>
        <v>2236.4453999999996</v>
      </c>
      <c r="S52" s="3">
        <f t="shared" si="3"/>
        <v>163.51320916445974</v>
      </c>
    </row>
    <row r="53" spans="1:19" x14ac:dyDescent="0.25">
      <c r="A53">
        <v>53.75</v>
      </c>
      <c r="B53">
        <v>2122.1640000000002</v>
      </c>
      <c r="C53">
        <v>1838.0719999999999</v>
      </c>
      <c r="D53">
        <v>2326.66</v>
      </c>
      <c r="E53">
        <v>1689.682</v>
      </c>
      <c r="F53">
        <v>2369.7950000000001</v>
      </c>
      <c r="H53" s="2">
        <f t="shared" si="0"/>
        <v>2069.2745999999997</v>
      </c>
      <c r="I53" s="2">
        <f t="shared" si="1"/>
        <v>133.58559574355323</v>
      </c>
      <c r="K53">
        <v>53.75</v>
      </c>
      <c r="L53">
        <v>2290.7449999999999</v>
      </c>
      <c r="M53">
        <v>2401.5949999999998</v>
      </c>
      <c r="N53">
        <v>1615.8979999999999</v>
      </c>
      <c r="O53">
        <v>2286.7440000000001</v>
      </c>
      <c r="P53">
        <v>2585.4169999999999</v>
      </c>
      <c r="R53" s="3">
        <f t="shared" si="2"/>
        <v>2236.0798</v>
      </c>
      <c r="S53" s="3">
        <f t="shared" si="3"/>
        <v>164.25778079573612</v>
      </c>
    </row>
    <row r="54" spans="1:19" x14ac:dyDescent="0.25">
      <c r="A54">
        <v>55</v>
      </c>
      <c r="B54">
        <v>2060.8000000000002</v>
      </c>
      <c r="C54">
        <v>1767.326</v>
      </c>
      <c r="D54">
        <v>2272.8719999999998</v>
      </c>
      <c r="E54">
        <v>1614.3409999999999</v>
      </c>
      <c r="F54">
        <v>2325.6219999999998</v>
      </c>
      <c r="H54" s="2">
        <f t="shared" si="0"/>
        <v>2008.1922</v>
      </c>
      <c r="I54" s="2">
        <f t="shared" si="1"/>
        <v>139.05393721876433</v>
      </c>
      <c r="K54">
        <v>55</v>
      </c>
      <c r="L54">
        <v>2235.3470000000002</v>
      </c>
      <c r="M54">
        <v>2335.5349999999999</v>
      </c>
      <c r="N54">
        <v>1561.463</v>
      </c>
      <c r="O54">
        <v>2231.5300000000002</v>
      </c>
      <c r="P54">
        <v>2514.9349999999999</v>
      </c>
      <c r="R54" s="3">
        <f t="shared" si="2"/>
        <v>2175.7619999999997</v>
      </c>
      <c r="S54" s="3">
        <f t="shared" si="3"/>
        <v>161.95515411804641</v>
      </c>
    </row>
    <row r="55" spans="1:19" x14ac:dyDescent="0.25">
      <c r="A55">
        <v>56.25</v>
      </c>
      <c r="B55">
        <v>1918.963</v>
      </c>
      <c r="C55">
        <v>1645.4359999999999</v>
      </c>
      <c r="D55">
        <v>2166.616</v>
      </c>
      <c r="E55">
        <v>1472.135</v>
      </c>
      <c r="F55">
        <v>2225.1179999999999</v>
      </c>
      <c r="H55" s="2">
        <f t="shared" si="0"/>
        <v>1885.6536000000001</v>
      </c>
      <c r="I55" s="2">
        <f t="shared" si="1"/>
        <v>145.60006749744261</v>
      </c>
      <c r="K55">
        <v>56.25</v>
      </c>
      <c r="L55">
        <v>2112.0419999999999</v>
      </c>
      <c r="M55">
        <v>2180.3609999999999</v>
      </c>
      <c r="N55">
        <v>1464.7639999999999</v>
      </c>
      <c r="O55">
        <v>2097.067</v>
      </c>
      <c r="P55">
        <v>2376.3180000000002</v>
      </c>
      <c r="R55" s="3">
        <f t="shared" si="2"/>
        <v>2046.1104</v>
      </c>
      <c r="S55" s="3">
        <f t="shared" si="3"/>
        <v>153.61762113331903</v>
      </c>
    </row>
    <row r="56" spans="1:19" x14ac:dyDescent="0.25">
      <c r="A56">
        <v>57.5</v>
      </c>
      <c r="B56">
        <v>1714.9829999999999</v>
      </c>
      <c r="C56">
        <v>1482.913</v>
      </c>
      <c r="D56">
        <v>1998.7370000000001</v>
      </c>
      <c r="E56">
        <v>1303.8009999999999</v>
      </c>
      <c r="F56">
        <v>2078.9969999999998</v>
      </c>
      <c r="H56" s="2">
        <f t="shared" si="0"/>
        <v>1715.8861999999997</v>
      </c>
      <c r="I56" s="2">
        <f t="shared" si="1"/>
        <v>147.63901379459341</v>
      </c>
      <c r="K56">
        <v>57.5</v>
      </c>
      <c r="L56">
        <v>1924.864</v>
      </c>
      <c r="M56">
        <v>1963.31</v>
      </c>
      <c r="N56">
        <v>1330.1289999999999</v>
      </c>
      <c r="O56">
        <v>1911.0319999999999</v>
      </c>
      <c r="P56">
        <v>2172.5230000000001</v>
      </c>
      <c r="R56" s="3">
        <f t="shared" si="2"/>
        <v>1860.3715999999999</v>
      </c>
      <c r="S56" s="3">
        <f t="shared" si="3"/>
        <v>140.69786269826579</v>
      </c>
    </row>
    <row r="57" spans="1:19" x14ac:dyDescent="0.25">
      <c r="A57">
        <v>58.75</v>
      </c>
      <c r="B57">
        <v>1476.4359999999999</v>
      </c>
      <c r="C57">
        <v>1300.6610000000001</v>
      </c>
      <c r="D57">
        <v>1790.913</v>
      </c>
      <c r="E57">
        <v>1110.154</v>
      </c>
      <c r="F57">
        <v>1861.19</v>
      </c>
      <c r="H57" s="2">
        <f t="shared" si="0"/>
        <v>1507.8708000000001</v>
      </c>
      <c r="I57" s="2">
        <f t="shared" si="1"/>
        <v>142.66219627827044</v>
      </c>
      <c r="K57">
        <v>58.75</v>
      </c>
      <c r="L57">
        <v>1684.703</v>
      </c>
      <c r="M57">
        <v>1719.684</v>
      </c>
      <c r="N57">
        <v>1166.4459999999999</v>
      </c>
      <c r="O57">
        <v>1688.134</v>
      </c>
      <c r="P57">
        <v>1890.4179999999999</v>
      </c>
      <c r="R57" s="3">
        <f t="shared" si="2"/>
        <v>1629.877</v>
      </c>
      <c r="S57" s="3">
        <f t="shared" si="3"/>
        <v>121.88416017186209</v>
      </c>
    </row>
    <row r="58" spans="1:19" x14ac:dyDescent="0.25">
      <c r="A58">
        <v>60</v>
      </c>
      <c r="B58">
        <v>1363.1759999999999</v>
      </c>
      <c r="C58">
        <v>1207.4059999999999</v>
      </c>
      <c r="D58">
        <v>1669.329</v>
      </c>
      <c r="E58">
        <v>999.63199999999995</v>
      </c>
      <c r="F58">
        <v>1714.038</v>
      </c>
      <c r="H58" s="2">
        <f t="shared" si="0"/>
        <v>1390.7162000000001</v>
      </c>
      <c r="I58" s="2">
        <f t="shared" si="1"/>
        <v>135.9172583244675</v>
      </c>
      <c r="K58">
        <v>60</v>
      </c>
      <c r="L58">
        <v>1574.251</v>
      </c>
      <c r="M58">
        <v>1606.172</v>
      </c>
      <c r="N58">
        <v>1076.039</v>
      </c>
      <c r="O58">
        <v>1557.7360000000001</v>
      </c>
      <c r="P58">
        <v>1742.998</v>
      </c>
      <c r="R58" s="3">
        <f t="shared" si="2"/>
        <v>1511.4392</v>
      </c>
      <c r="S58" s="3">
        <f t="shared" si="3"/>
        <v>113.63446469333198</v>
      </c>
    </row>
    <row r="59" spans="1:19" x14ac:dyDescent="0.25">
      <c r="A59">
        <v>61.25</v>
      </c>
      <c r="B59">
        <v>1316.8969999999999</v>
      </c>
      <c r="C59">
        <v>1119.904</v>
      </c>
      <c r="D59">
        <v>1599.0150000000001</v>
      </c>
      <c r="E59">
        <v>971.72299999999996</v>
      </c>
      <c r="F59">
        <v>1640.4269999999999</v>
      </c>
      <c r="H59" s="2">
        <f t="shared" si="0"/>
        <v>1329.5931999999998</v>
      </c>
      <c r="I59" s="2">
        <f t="shared" si="1"/>
        <v>130.65366272646196</v>
      </c>
      <c r="K59">
        <v>61.25</v>
      </c>
      <c r="L59">
        <v>1522.4960000000001</v>
      </c>
      <c r="M59">
        <v>1539.6980000000001</v>
      </c>
      <c r="N59">
        <v>1037.577</v>
      </c>
      <c r="O59">
        <v>1512.9190000000001</v>
      </c>
      <c r="P59">
        <v>1677.421</v>
      </c>
      <c r="R59" s="3">
        <f t="shared" si="2"/>
        <v>1458.0222000000001</v>
      </c>
      <c r="S59" s="3">
        <f t="shared" si="3"/>
        <v>109.25920224100126</v>
      </c>
    </row>
    <row r="60" spans="1:19" x14ac:dyDescent="0.25">
      <c r="A60">
        <v>62.5</v>
      </c>
      <c r="B60">
        <v>1299.2460000000001</v>
      </c>
      <c r="C60">
        <v>1099.5329999999999</v>
      </c>
      <c r="D60">
        <v>1555.7460000000001</v>
      </c>
      <c r="E60">
        <v>947.11400000000003</v>
      </c>
      <c r="F60">
        <v>1601.6220000000001</v>
      </c>
      <c r="H60" s="2">
        <f t="shared" si="0"/>
        <v>1300.6522</v>
      </c>
      <c r="I60" s="2">
        <f t="shared" si="1"/>
        <v>126.70750494284025</v>
      </c>
      <c r="K60">
        <v>62.5</v>
      </c>
      <c r="L60">
        <v>1476.83</v>
      </c>
      <c r="M60">
        <v>1513.905</v>
      </c>
      <c r="N60">
        <v>1026.816</v>
      </c>
      <c r="O60">
        <v>1484.8610000000001</v>
      </c>
      <c r="P60">
        <v>1638.6379999999999</v>
      </c>
      <c r="R60" s="3">
        <f t="shared" si="2"/>
        <v>1428.2099999999998</v>
      </c>
      <c r="S60" s="3">
        <f t="shared" si="3"/>
        <v>104.47821774082854</v>
      </c>
    </row>
    <row r="61" spans="1:19" x14ac:dyDescent="0.25">
      <c r="A61">
        <v>63.75</v>
      </c>
      <c r="B61">
        <v>1288.25</v>
      </c>
      <c r="C61">
        <v>1103.576</v>
      </c>
      <c r="D61">
        <v>1541.2539999999999</v>
      </c>
      <c r="E61">
        <v>944.8</v>
      </c>
      <c r="F61">
        <v>1577.3520000000001</v>
      </c>
      <c r="H61" s="2">
        <f t="shared" si="0"/>
        <v>1291.0463999999999</v>
      </c>
      <c r="I61" s="2">
        <f t="shared" si="1"/>
        <v>122.39572703554678</v>
      </c>
      <c r="K61">
        <v>63.75</v>
      </c>
      <c r="L61">
        <v>1449.6130000000001</v>
      </c>
      <c r="M61">
        <v>1506.932</v>
      </c>
      <c r="N61">
        <v>1024.0719999999999</v>
      </c>
      <c r="O61">
        <v>1466.1369999999999</v>
      </c>
      <c r="P61">
        <v>1613.5909999999999</v>
      </c>
      <c r="R61" s="3">
        <f t="shared" si="2"/>
        <v>1412.069</v>
      </c>
      <c r="S61" s="3">
        <f t="shared" si="3"/>
        <v>101.11495384511662</v>
      </c>
    </row>
    <row r="62" spans="1:19" x14ac:dyDescent="0.25">
      <c r="A62">
        <v>65</v>
      </c>
      <c r="B62">
        <v>1292.509</v>
      </c>
      <c r="C62">
        <v>1087.703</v>
      </c>
      <c r="D62">
        <v>1527.566</v>
      </c>
      <c r="E62">
        <v>946.53700000000003</v>
      </c>
      <c r="F62">
        <v>1555.6410000000001</v>
      </c>
      <c r="H62" s="2">
        <f t="shared" si="0"/>
        <v>1281.9911999999999</v>
      </c>
      <c r="I62" s="2">
        <f t="shared" si="1"/>
        <v>119.49461170044428</v>
      </c>
      <c r="K62">
        <v>65</v>
      </c>
      <c r="L62">
        <v>1447.973</v>
      </c>
      <c r="M62">
        <v>1506.7639999999999</v>
      </c>
      <c r="N62">
        <v>1027.306</v>
      </c>
      <c r="O62">
        <v>1471.433</v>
      </c>
      <c r="P62">
        <v>1611.1780000000001</v>
      </c>
      <c r="R62" s="3">
        <f t="shared" si="2"/>
        <v>1412.9308000000001</v>
      </c>
      <c r="S62" s="3">
        <f t="shared" si="3"/>
        <v>100.3652258730085</v>
      </c>
    </row>
    <row r="63" spans="1:19" x14ac:dyDescent="0.25">
      <c r="A63">
        <v>66.25</v>
      </c>
      <c r="B63">
        <v>1294.308</v>
      </c>
      <c r="C63">
        <v>1104.8109999999999</v>
      </c>
      <c r="D63">
        <v>1512.6790000000001</v>
      </c>
      <c r="E63">
        <v>979.83199999999999</v>
      </c>
      <c r="F63">
        <v>1549.1969999999999</v>
      </c>
      <c r="H63" s="2">
        <f t="shared" si="0"/>
        <v>1288.1654000000001</v>
      </c>
      <c r="I63" s="2">
        <f t="shared" si="1"/>
        <v>111.19125547299099</v>
      </c>
      <c r="K63">
        <v>66.25</v>
      </c>
      <c r="L63">
        <v>1455.7819999999999</v>
      </c>
      <c r="M63">
        <v>1519.047</v>
      </c>
      <c r="N63">
        <v>1028.453</v>
      </c>
      <c r="O63">
        <v>1476.587</v>
      </c>
      <c r="P63">
        <v>1615.95</v>
      </c>
      <c r="R63" s="3">
        <f t="shared" si="2"/>
        <v>1419.1637999999998</v>
      </c>
      <c r="S63" s="3">
        <f t="shared" si="3"/>
        <v>101.48761201713263</v>
      </c>
    </row>
    <row r="64" spans="1:19" x14ac:dyDescent="0.25">
      <c r="A64">
        <v>67.5</v>
      </c>
      <c r="B64">
        <v>1310.6790000000001</v>
      </c>
      <c r="C64">
        <v>1102.7929999999999</v>
      </c>
      <c r="D64">
        <v>1507.1389999999999</v>
      </c>
      <c r="E64">
        <v>1014.956</v>
      </c>
      <c r="F64">
        <v>1539.769</v>
      </c>
      <c r="H64" s="2">
        <f t="shared" si="0"/>
        <v>1295.0672</v>
      </c>
      <c r="I64" s="2">
        <f t="shared" si="1"/>
        <v>105.00685690201361</v>
      </c>
      <c r="K64">
        <v>67.5</v>
      </c>
      <c r="L64">
        <v>1459.9949999999999</v>
      </c>
      <c r="M64">
        <v>1529.0630000000001</v>
      </c>
      <c r="N64">
        <v>1031.587</v>
      </c>
      <c r="O64">
        <v>1487.278</v>
      </c>
      <c r="P64">
        <v>1634.2829999999999</v>
      </c>
      <c r="R64" s="3">
        <f t="shared" si="2"/>
        <v>1428.4412</v>
      </c>
      <c r="S64" s="3">
        <f t="shared" si="3"/>
        <v>103.54860227178303</v>
      </c>
    </row>
    <row r="65" spans="1:19" x14ac:dyDescent="0.25">
      <c r="A65">
        <v>68.75</v>
      </c>
      <c r="B65">
        <v>1327.9939999999999</v>
      </c>
      <c r="C65">
        <v>1113.316</v>
      </c>
      <c r="D65">
        <v>1509.308</v>
      </c>
      <c r="E65">
        <v>1041.886</v>
      </c>
      <c r="F65">
        <v>1509.6120000000001</v>
      </c>
      <c r="H65" s="2">
        <f t="shared" si="0"/>
        <v>1300.4232</v>
      </c>
      <c r="I65" s="2">
        <f t="shared" si="1"/>
        <v>97.468854206048661</v>
      </c>
      <c r="K65">
        <v>68.75</v>
      </c>
      <c r="L65">
        <v>1458.42</v>
      </c>
      <c r="M65">
        <v>1536.52</v>
      </c>
      <c r="N65">
        <v>1036.5260000000001</v>
      </c>
      <c r="O65">
        <v>1499.818</v>
      </c>
      <c r="P65">
        <v>1646.53</v>
      </c>
      <c r="R65" s="3">
        <f t="shared" si="2"/>
        <v>1435.5628000000002</v>
      </c>
      <c r="S65" s="3">
        <f t="shared" si="3"/>
        <v>104.54211251471772</v>
      </c>
    </row>
    <row r="66" spans="1:19" x14ac:dyDescent="0.25">
      <c r="A66">
        <v>70</v>
      </c>
      <c r="B66">
        <v>1333.732</v>
      </c>
      <c r="C66">
        <v>1110.635</v>
      </c>
      <c r="D66">
        <v>1497.6510000000001</v>
      </c>
      <c r="E66">
        <v>1014.598</v>
      </c>
      <c r="F66">
        <v>1492.34</v>
      </c>
      <c r="H66" s="2">
        <f t="shared" si="0"/>
        <v>1289.7912000000001</v>
      </c>
      <c r="I66" s="2">
        <f t="shared" si="1"/>
        <v>98.486229511236672</v>
      </c>
      <c r="K66">
        <v>70</v>
      </c>
      <c r="L66">
        <v>1450.95</v>
      </c>
      <c r="M66">
        <v>1529.6320000000001</v>
      </c>
      <c r="N66">
        <v>1037.636</v>
      </c>
      <c r="O66">
        <v>1495.0060000000001</v>
      </c>
      <c r="P66">
        <v>1639.3130000000001</v>
      </c>
      <c r="R66" s="3">
        <f t="shared" si="2"/>
        <v>1430.5074</v>
      </c>
      <c r="S66" s="3">
        <f t="shared" si="3"/>
        <v>103.04158654426897</v>
      </c>
    </row>
    <row r="67" spans="1:19" x14ac:dyDescent="0.25">
      <c r="A67">
        <v>71.25</v>
      </c>
      <c r="B67">
        <v>1317.3409999999999</v>
      </c>
      <c r="C67">
        <v>1062.9760000000001</v>
      </c>
      <c r="D67">
        <v>1480.528</v>
      </c>
      <c r="E67">
        <v>1031.3209999999999</v>
      </c>
      <c r="F67">
        <v>1474.4380000000001</v>
      </c>
      <c r="H67" s="2">
        <f t="shared" si="0"/>
        <v>1273.3208</v>
      </c>
      <c r="I67" s="2">
        <f t="shared" si="1"/>
        <v>96.987001181292371</v>
      </c>
      <c r="K67">
        <v>71.25</v>
      </c>
      <c r="L67">
        <v>1446.816</v>
      </c>
      <c r="M67">
        <v>1515.758</v>
      </c>
      <c r="N67">
        <v>1025.896</v>
      </c>
      <c r="O67">
        <v>1475.126</v>
      </c>
      <c r="P67">
        <v>1633.865</v>
      </c>
      <c r="R67" s="3">
        <f t="shared" si="2"/>
        <v>1419.4922000000001</v>
      </c>
      <c r="S67" s="3">
        <f t="shared" si="3"/>
        <v>103.43656994332318</v>
      </c>
    </row>
    <row r="68" spans="1:19" x14ac:dyDescent="0.25">
      <c r="A68">
        <v>72.5</v>
      </c>
      <c r="B68">
        <v>1297.52</v>
      </c>
      <c r="C68">
        <v>1071.7739999999999</v>
      </c>
      <c r="D68">
        <v>1463.4559999999999</v>
      </c>
      <c r="E68">
        <v>1017.008</v>
      </c>
      <c r="F68">
        <v>1456.701</v>
      </c>
      <c r="H68" s="2">
        <f t="shared" si="0"/>
        <v>1261.2918</v>
      </c>
      <c r="I68" s="2">
        <f t="shared" si="1"/>
        <v>93.797434170877125</v>
      </c>
      <c r="K68">
        <v>72.5</v>
      </c>
      <c r="L68">
        <v>1436.57</v>
      </c>
      <c r="M68">
        <v>1498.528</v>
      </c>
      <c r="N68">
        <v>1015.425</v>
      </c>
      <c r="O68">
        <v>1461.61</v>
      </c>
      <c r="P68">
        <v>1607.818</v>
      </c>
      <c r="R68" s="3">
        <f t="shared" si="2"/>
        <v>1403.9902</v>
      </c>
      <c r="S68" s="3">
        <f t="shared" si="3"/>
        <v>101.45135954061931</v>
      </c>
    </row>
    <row r="69" spans="1:19" x14ac:dyDescent="0.25">
      <c r="A69">
        <v>73.75</v>
      </c>
      <c r="B69">
        <v>1291.923</v>
      </c>
      <c r="C69">
        <v>1050.854</v>
      </c>
      <c r="D69">
        <v>1448.864</v>
      </c>
      <c r="E69">
        <v>999.351</v>
      </c>
      <c r="F69">
        <v>1439.1310000000001</v>
      </c>
      <c r="H69" s="2">
        <f t="shared" ref="H69:H96" si="4">AVERAGE(B69:F69)</f>
        <v>1246.0246000000002</v>
      </c>
      <c r="I69" s="2">
        <f t="shared" ref="I69:I96" si="5">STDEV(B69:F69)/SQRT(COUNT(B69:F69))</f>
        <v>94.731197363170764</v>
      </c>
      <c r="K69">
        <v>73.75</v>
      </c>
      <c r="L69">
        <v>1421.712</v>
      </c>
      <c r="M69">
        <v>1483.982</v>
      </c>
      <c r="N69">
        <v>998.73099999999999</v>
      </c>
      <c r="O69">
        <v>1444.9949999999999</v>
      </c>
      <c r="P69">
        <v>1577.019</v>
      </c>
      <c r="R69" s="3">
        <f t="shared" ref="R69:R96" si="6">AVERAGE(L69:P69)</f>
        <v>1385.2878000000001</v>
      </c>
      <c r="S69" s="3">
        <f t="shared" ref="S69:S96" si="7">STDEV(L69:P69)/SQRT(COUNT(L69:P69))</f>
        <v>100.20459816565304</v>
      </c>
    </row>
    <row r="70" spans="1:19" x14ac:dyDescent="0.25">
      <c r="A70">
        <v>75</v>
      </c>
      <c r="B70">
        <v>1302.414</v>
      </c>
      <c r="C70">
        <v>1071.2760000000001</v>
      </c>
      <c r="D70">
        <v>1468.184</v>
      </c>
      <c r="E70">
        <v>1040.9939999999999</v>
      </c>
      <c r="F70">
        <v>1458.367</v>
      </c>
      <c r="H70" s="2">
        <f t="shared" si="4"/>
        <v>1268.2469999999998</v>
      </c>
      <c r="I70" s="2">
        <f t="shared" si="5"/>
        <v>91.577645500416551</v>
      </c>
      <c r="K70">
        <v>75</v>
      </c>
      <c r="L70">
        <v>1425.402</v>
      </c>
      <c r="M70">
        <v>1485.779</v>
      </c>
      <c r="N70">
        <v>998.59500000000003</v>
      </c>
      <c r="O70">
        <v>1451.5029999999999</v>
      </c>
      <c r="P70">
        <v>1583.3689999999999</v>
      </c>
      <c r="R70" s="3">
        <f t="shared" si="6"/>
        <v>1388.9295999999999</v>
      </c>
      <c r="S70" s="3">
        <f t="shared" si="7"/>
        <v>101.19121821067313</v>
      </c>
    </row>
    <row r="71" spans="1:19" x14ac:dyDescent="0.25">
      <c r="A71">
        <v>76.25</v>
      </c>
      <c r="B71">
        <v>1432.6479999999999</v>
      </c>
      <c r="C71">
        <v>1210.3399999999999</v>
      </c>
      <c r="D71">
        <v>1637.32</v>
      </c>
      <c r="E71">
        <v>1145.4359999999999</v>
      </c>
      <c r="F71">
        <v>1639.7660000000001</v>
      </c>
      <c r="H71" s="2">
        <f t="shared" si="4"/>
        <v>1413.1020000000001</v>
      </c>
      <c r="I71" s="2">
        <f t="shared" si="5"/>
        <v>103.63152096152943</v>
      </c>
      <c r="K71">
        <v>76.25</v>
      </c>
      <c r="L71">
        <v>1600.126</v>
      </c>
      <c r="M71">
        <v>1656.127</v>
      </c>
      <c r="N71">
        <v>1090.405</v>
      </c>
      <c r="O71">
        <v>1618.854</v>
      </c>
      <c r="P71">
        <v>1754.4929999999999</v>
      </c>
      <c r="R71" s="3">
        <f t="shared" si="6"/>
        <v>1544.0009999999997</v>
      </c>
      <c r="S71" s="3">
        <f t="shared" si="7"/>
        <v>116.48635980019334</v>
      </c>
    </row>
    <row r="72" spans="1:19" x14ac:dyDescent="0.25">
      <c r="A72">
        <v>77.5</v>
      </c>
      <c r="B72">
        <v>1526.8520000000001</v>
      </c>
      <c r="C72">
        <v>1303.9670000000001</v>
      </c>
      <c r="D72">
        <v>1782.9169999999999</v>
      </c>
      <c r="E72">
        <v>1225</v>
      </c>
      <c r="F72">
        <v>1794.7829999999999</v>
      </c>
      <c r="H72" s="2">
        <f t="shared" si="4"/>
        <v>1526.7038</v>
      </c>
      <c r="I72" s="2">
        <f t="shared" si="5"/>
        <v>117.92975627440266</v>
      </c>
      <c r="K72">
        <v>77.5</v>
      </c>
      <c r="L72">
        <v>1734.473</v>
      </c>
      <c r="M72">
        <v>1802.239</v>
      </c>
      <c r="N72">
        <v>1179.354</v>
      </c>
      <c r="O72">
        <v>1750.4449999999999</v>
      </c>
      <c r="P72">
        <v>1884.23</v>
      </c>
      <c r="R72" s="3">
        <f t="shared" si="6"/>
        <v>1670.1482000000001</v>
      </c>
      <c r="S72" s="3">
        <f t="shared" si="7"/>
        <v>125.44783762082129</v>
      </c>
    </row>
    <row r="73" spans="1:19" x14ac:dyDescent="0.25">
      <c r="A73">
        <v>78.75</v>
      </c>
      <c r="B73">
        <v>1470.337</v>
      </c>
      <c r="C73">
        <v>1249.7260000000001</v>
      </c>
      <c r="D73">
        <v>1709.018</v>
      </c>
      <c r="E73">
        <v>1182.607</v>
      </c>
      <c r="F73">
        <v>1710.4580000000001</v>
      </c>
      <c r="H73" s="2">
        <f t="shared" si="4"/>
        <v>1464.4292</v>
      </c>
      <c r="I73" s="2">
        <f t="shared" si="5"/>
        <v>110.88506890442876</v>
      </c>
      <c r="K73">
        <v>78.75</v>
      </c>
      <c r="L73">
        <v>1655.636</v>
      </c>
      <c r="M73">
        <v>1720.0409999999999</v>
      </c>
      <c r="N73">
        <v>1135.076</v>
      </c>
      <c r="O73">
        <v>1671.5350000000001</v>
      </c>
      <c r="P73">
        <v>1806.1990000000001</v>
      </c>
      <c r="R73" s="3">
        <f t="shared" si="6"/>
        <v>1597.6973999999998</v>
      </c>
      <c r="S73" s="3">
        <f t="shared" si="7"/>
        <v>118.58927142562283</v>
      </c>
    </row>
    <row r="74" spans="1:19" x14ac:dyDescent="0.25">
      <c r="A74">
        <v>80</v>
      </c>
      <c r="B74">
        <v>1391.3130000000001</v>
      </c>
      <c r="C74">
        <v>1176.123</v>
      </c>
      <c r="D74">
        <v>1579.819</v>
      </c>
      <c r="E74">
        <v>1123.636</v>
      </c>
      <c r="F74">
        <v>1572.5920000000001</v>
      </c>
      <c r="H74" s="2">
        <f t="shared" si="4"/>
        <v>1368.6966</v>
      </c>
      <c r="I74" s="2">
        <f t="shared" si="5"/>
        <v>95.86365123476142</v>
      </c>
      <c r="K74">
        <v>80</v>
      </c>
      <c r="L74">
        <v>1543.8679999999999</v>
      </c>
      <c r="M74">
        <v>1590.5540000000001</v>
      </c>
      <c r="N74">
        <v>1068.203</v>
      </c>
      <c r="O74">
        <v>1573.2840000000001</v>
      </c>
      <c r="P74">
        <v>1699.3230000000001</v>
      </c>
      <c r="R74" s="3">
        <f t="shared" si="6"/>
        <v>1495.0463999999999</v>
      </c>
      <c r="S74" s="3">
        <f t="shared" si="7"/>
        <v>109.89781384750138</v>
      </c>
    </row>
    <row r="75" spans="1:19" x14ac:dyDescent="0.25">
      <c r="A75">
        <v>81.25</v>
      </c>
      <c r="B75">
        <v>1383.124</v>
      </c>
      <c r="C75">
        <v>1195.4739999999999</v>
      </c>
      <c r="D75">
        <v>1589.7249999999999</v>
      </c>
      <c r="E75">
        <v>1125.5719999999999</v>
      </c>
      <c r="F75">
        <v>1572.953</v>
      </c>
      <c r="H75" s="2">
        <f t="shared" si="4"/>
        <v>1373.3696</v>
      </c>
      <c r="I75" s="2">
        <f t="shared" si="5"/>
        <v>94.81266688823834</v>
      </c>
      <c r="K75">
        <v>81.25</v>
      </c>
      <c r="L75">
        <v>1549.981</v>
      </c>
      <c r="M75">
        <v>1585.509</v>
      </c>
      <c r="N75">
        <v>1080.3309999999999</v>
      </c>
      <c r="O75">
        <v>1606.0730000000001</v>
      </c>
      <c r="P75">
        <v>1739.8989999999999</v>
      </c>
      <c r="R75" s="3">
        <f t="shared" si="6"/>
        <v>1512.3586</v>
      </c>
      <c r="S75" s="3">
        <f t="shared" si="7"/>
        <v>112.6879087487212</v>
      </c>
    </row>
    <row r="76" spans="1:19" x14ac:dyDescent="0.25">
      <c r="A76">
        <v>82.5</v>
      </c>
      <c r="B76">
        <v>1629.646</v>
      </c>
      <c r="C76">
        <v>1518.759</v>
      </c>
      <c r="D76">
        <v>2042.3420000000001</v>
      </c>
      <c r="E76">
        <v>1350.748</v>
      </c>
      <c r="F76">
        <v>1952.961</v>
      </c>
      <c r="H76" s="2">
        <f t="shared" si="4"/>
        <v>1698.8911999999996</v>
      </c>
      <c r="I76" s="2">
        <f t="shared" si="5"/>
        <v>130.56724516485883</v>
      </c>
      <c r="K76">
        <v>82.5</v>
      </c>
      <c r="L76">
        <v>1961.3889999999999</v>
      </c>
      <c r="M76">
        <v>1933.4849999999999</v>
      </c>
      <c r="N76">
        <v>1333.809</v>
      </c>
      <c r="O76">
        <v>2000.8219999999999</v>
      </c>
      <c r="P76">
        <v>2243.8719999999998</v>
      </c>
      <c r="R76" s="3">
        <f t="shared" si="6"/>
        <v>1894.6754000000001</v>
      </c>
      <c r="S76" s="3">
        <f t="shared" si="7"/>
        <v>150.62094380749227</v>
      </c>
    </row>
    <row r="77" spans="1:19" x14ac:dyDescent="0.25">
      <c r="A77">
        <v>83.75</v>
      </c>
      <c r="B77">
        <v>2230.1320000000001</v>
      </c>
      <c r="C77">
        <v>2079.0839999999998</v>
      </c>
      <c r="D77">
        <v>3056.6480000000001</v>
      </c>
      <c r="E77">
        <v>1770.633</v>
      </c>
      <c r="F77">
        <v>2924.5320000000002</v>
      </c>
      <c r="H77" s="2">
        <f t="shared" si="4"/>
        <v>2412.2058000000006</v>
      </c>
      <c r="I77" s="2">
        <f t="shared" si="5"/>
        <v>248.34658688300735</v>
      </c>
      <c r="K77">
        <v>83.75</v>
      </c>
      <c r="L77">
        <v>2890.248</v>
      </c>
      <c r="M77">
        <v>2790.1610000000001</v>
      </c>
      <c r="N77">
        <v>1874.8219999999999</v>
      </c>
      <c r="O77">
        <v>2813.1170000000002</v>
      </c>
      <c r="P77">
        <v>3269.8429999999998</v>
      </c>
      <c r="R77" s="3">
        <f t="shared" si="6"/>
        <v>2727.6381999999999</v>
      </c>
      <c r="S77" s="3">
        <f t="shared" si="7"/>
        <v>230.10206311013454</v>
      </c>
    </row>
    <row r="78" spans="1:19" x14ac:dyDescent="0.25">
      <c r="A78">
        <v>85</v>
      </c>
      <c r="B78">
        <v>2847.88</v>
      </c>
      <c r="C78">
        <v>2639.3960000000002</v>
      </c>
      <c r="D78">
        <v>4147.491</v>
      </c>
      <c r="E78">
        <v>2193.1350000000002</v>
      </c>
      <c r="F78">
        <v>4099.8320000000003</v>
      </c>
      <c r="H78" s="2">
        <f t="shared" si="4"/>
        <v>3185.5468000000001</v>
      </c>
      <c r="I78" s="2">
        <f t="shared" si="5"/>
        <v>397.3936848891031</v>
      </c>
      <c r="K78">
        <v>85</v>
      </c>
      <c r="L78">
        <v>3810.4690000000001</v>
      </c>
      <c r="M78">
        <v>3692.0140000000001</v>
      </c>
      <c r="N78">
        <v>2399.8069999999998</v>
      </c>
      <c r="O78">
        <v>3652.328</v>
      </c>
      <c r="P78">
        <v>4295.2290000000003</v>
      </c>
      <c r="R78" s="3">
        <f t="shared" si="6"/>
        <v>3569.9694000000004</v>
      </c>
      <c r="S78" s="3">
        <f t="shared" si="7"/>
        <v>314.22916882024151</v>
      </c>
    </row>
    <row r="79" spans="1:19" x14ac:dyDescent="0.25">
      <c r="A79">
        <v>86.25</v>
      </c>
      <c r="B79">
        <v>3113.7190000000001</v>
      </c>
      <c r="C79">
        <v>2853.7440000000001</v>
      </c>
      <c r="D79">
        <v>4686.5029999999997</v>
      </c>
      <c r="E79">
        <v>2374.9650000000001</v>
      </c>
      <c r="F79">
        <v>4694.7550000000001</v>
      </c>
      <c r="H79" s="2">
        <f t="shared" si="4"/>
        <v>3544.7372000000005</v>
      </c>
      <c r="I79" s="2">
        <f t="shared" si="5"/>
        <v>482.58602204357271</v>
      </c>
      <c r="K79">
        <v>86.25</v>
      </c>
      <c r="L79">
        <v>4235.9610000000002</v>
      </c>
      <c r="M79">
        <v>4132.9709999999995</v>
      </c>
      <c r="N79">
        <v>2579.3989999999999</v>
      </c>
      <c r="O79">
        <v>4016.1190000000001</v>
      </c>
      <c r="P79">
        <v>4737.46</v>
      </c>
      <c r="R79" s="3">
        <f t="shared" si="6"/>
        <v>3940.3820000000001</v>
      </c>
      <c r="S79" s="3">
        <f t="shared" si="7"/>
        <v>361.78734262712879</v>
      </c>
    </row>
    <row r="80" spans="1:19" x14ac:dyDescent="0.25">
      <c r="A80">
        <v>87.5</v>
      </c>
      <c r="B80">
        <v>2907.66</v>
      </c>
      <c r="C80">
        <v>2591.4989999999998</v>
      </c>
      <c r="D80">
        <v>4367.9189999999999</v>
      </c>
      <c r="E80">
        <v>2231.7660000000001</v>
      </c>
      <c r="F80">
        <v>4388.884</v>
      </c>
      <c r="H80" s="2">
        <f t="shared" si="4"/>
        <v>3297.5455999999999</v>
      </c>
      <c r="I80" s="2">
        <f t="shared" si="5"/>
        <v>454.04391070562826</v>
      </c>
      <c r="K80">
        <v>87.5</v>
      </c>
      <c r="L80">
        <v>3922.4760000000001</v>
      </c>
      <c r="M80">
        <v>3821.893</v>
      </c>
      <c r="N80">
        <v>2337.5279999999998</v>
      </c>
      <c r="O80">
        <v>3727.74</v>
      </c>
      <c r="P80">
        <v>4319.4930000000004</v>
      </c>
      <c r="R80" s="3">
        <f t="shared" si="6"/>
        <v>3625.826</v>
      </c>
      <c r="S80" s="3">
        <f t="shared" si="7"/>
        <v>337.46967256910636</v>
      </c>
    </row>
    <row r="81" spans="1:19" x14ac:dyDescent="0.25">
      <c r="A81">
        <v>88.75</v>
      </c>
      <c r="B81">
        <v>2456.2820000000002</v>
      </c>
      <c r="C81">
        <v>2190.7379999999998</v>
      </c>
      <c r="D81">
        <v>3544.5010000000002</v>
      </c>
      <c r="E81">
        <v>1943.076</v>
      </c>
      <c r="F81">
        <v>3542.2310000000002</v>
      </c>
      <c r="H81" s="2">
        <f t="shared" si="4"/>
        <v>2735.3656000000001</v>
      </c>
      <c r="I81" s="2">
        <f t="shared" si="5"/>
        <v>339.70292595068963</v>
      </c>
      <c r="K81">
        <v>88.75</v>
      </c>
      <c r="L81">
        <v>3223.069</v>
      </c>
      <c r="M81">
        <v>3129.183</v>
      </c>
      <c r="N81">
        <v>1944.981</v>
      </c>
      <c r="O81">
        <v>3092.6080000000002</v>
      </c>
      <c r="P81">
        <v>3519.3510000000001</v>
      </c>
      <c r="R81" s="3">
        <f t="shared" si="6"/>
        <v>2981.8384000000001</v>
      </c>
      <c r="S81" s="3">
        <f t="shared" si="7"/>
        <v>269.8300947729129</v>
      </c>
    </row>
    <row r="82" spans="1:19" x14ac:dyDescent="0.25">
      <c r="A82">
        <v>90</v>
      </c>
      <c r="B82">
        <v>2224.87</v>
      </c>
      <c r="C82">
        <v>2048.4110000000001</v>
      </c>
      <c r="D82">
        <v>3108.2890000000002</v>
      </c>
      <c r="E82">
        <v>1809.7639999999999</v>
      </c>
      <c r="F82">
        <v>3071.4549999999999</v>
      </c>
      <c r="H82" s="2">
        <f t="shared" si="4"/>
        <v>2452.5577999999996</v>
      </c>
      <c r="I82" s="2">
        <f t="shared" si="5"/>
        <v>268.4564573966145</v>
      </c>
      <c r="K82">
        <v>90</v>
      </c>
      <c r="L82">
        <v>2907.59</v>
      </c>
      <c r="M82">
        <v>2771.3029999999999</v>
      </c>
      <c r="N82">
        <v>1817.366</v>
      </c>
      <c r="O82">
        <v>2765.989</v>
      </c>
      <c r="P82">
        <v>3164.1439999999998</v>
      </c>
      <c r="R82" s="3">
        <f t="shared" si="6"/>
        <v>2685.2784000000001</v>
      </c>
      <c r="S82" s="3">
        <f t="shared" si="7"/>
        <v>228.6833047239347</v>
      </c>
    </row>
    <row r="83" spans="1:19" x14ac:dyDescent="0.25">
      <c r="A83">
        <v>91.25</v>
      </c>
      <c r="B83">
        <v>2344.3969999999999</v>
      </c>
      <c r="C83">
        <v>2171.8020000000001</v>
      </c>
      <c r="D83">
        <v>3473.2220000000002</v>
      </c>
      <c r="E83">
        <v>1874.069</v>
      </c>
      <c r="F83">
        <v>3433.4050000000002</v>
      </c>
      <c r="H83" s="2">
        <f t="shared" si="4"/>
        <v>2659.3789999999999</v>
      </c>
      <c r="I83" s="2">
        <f t="shared" si="5"/>
        <v>332.79974944987595</v>
      </c>
      <c r="K83">
        <v>91.25</v>
      </c>
      <c r="L83">
        <v>3205.7080000000001</v>
      </c>
      <c r="M83">
        <v>2977.9119999999998</v>
      </c>
      <c r="N83">
        <v>1933.665</v>
      </c>
      <c r="O83">
        <v>2940.8429999999998</v>
      </c>
      <c r="P83">
        <v>3449.7550000000001</v>
      </c>
      <c r="R83" s="3">
        <f t="shared" si="6"/>
        <v>2901.5766000000003</v>
      </c>
      <c r="S83" s="3">
        <f t="shared" si="7"/>
        <v>258.57467737282258</v>
      </c>
    </row>
    <row r="84" spans="1:19" x14ac:dyDescent="0.25">
      <c r="A84">
        <v>92.5</v>
      </c>
      <c r="B84">
        <v>2581.6120000000001</v>
      </c>
      <c r="C84">
        <v>2397.4169999999999</v>
      </c>
      <c r="D84">
        <v>4018.69</v>
      </c>
      <c r="E84">
        <v>2003.636</v>
      </c>
      <c r="F84">
        <v>4018.252</v>
      </c>
      <c r="H84" s="2">
        <f t="shared" si="4"/>
        <v>3003.9214000000002</v>
      </c>
      <c r="I84" s="2">
        <f t="shared" si="5"/>
        <v>424.58129820113305</v>
      </c>
      <c r="K84">
        <v>92.5</v>
      </c>
      <c r="L84">
        <v>3607.4920000000002</v>
      </c>
      <c r="M84">
        <v>3345.2809999999999</v>
      </c>
      <c r="N84">
        <v>2102.2930000000001</v>
      </c>
      <c r="O84">
        <v>3279.201</v>
      </c>
      <c r="P84">
        <v>3862.2179999999998</v>
      </c>
      <c r="R84" s="3">
        <f t="shared" si="6"/>
        <v>3239.297</v>
      </c>
      <c r="S84" s="3">
        <f t="shared" si="7"/>
        <v>302.42364025932244</v>
      </c>
    </row>
    <row r="85" spans="1:19" x14ac:dyDescent="0.25">
      <c r="A85">
        <v>93.75</v>
      </c>
      <c r="B85">
        <v>2828.7449999999999</v>
      </c>
      <c r="C85">
        <v>2602.875</v>
      </c>
      <c r="D85">
        <v>4372.2659999999996</v>
      </c>
      <c r="E85">
        <v>2188.2950000000001</v>
      </c>
      <c r="F85">
        <v>4380.5349999999999</v>
      </c>
      <c r="H85" s="2">
        <f t="shared" si="4"/>
        <v>3274.5431999999996</v>
      </c>
      <c r="I85" s="2">
        <f t="shared" si="5"/>
        <v>461.41210242714772</v>
      </c>
      <c r="K85">
        <v>93.75</v>
      </c>
      <c r="L85">
        <v>3887.4090000000001</v>
      </c>
      <c r="M85">
        <v>3633.8719999999998</v>
      </c>
      <c r="N85">
        <v>2287.8530000000001</v>
      </c>
      <c r="O85">
        <v>3576.9870000000001</v>
      </c>
      <c r="P85">
        <v>4144.9970000000003</v>
      </c>
      <c r="R85" s="3">
        <f t="shared" si="6"/>
        <v>3506.2235999999998</v>
      </c>
      <c r="S85" s="3">
        <f t="shared" si="7"/>
        <v>320.86307496089552</v>
      </c>
    </row>
    <row r="86" spans="1:19" x14ac:dyDescent="0.25">
      <c r="A86">
        <v>95</v>
      </c>
      <c r="B86">
        <v>3048.2249999999999</v>
      </c>
      <c r="C86">
        <v>2725.8249999999998</v>
      </c>
      <c r="D86">
        <v>4313.0110000000004</v>
      </c>
      <c r="E86">
        <v>2423.7710000000002</v>
      </c>
      <c r="F86">
        <v>4312.3810000000003</v>
      </c>
      <c r="H86" s="2">
        <f t="shared" si="4"/>
        <v>3364.6426000000001</v>
      </c>
      <c r="I86" s="2">
        <f t="shared" si="5"/>
        <v>399.44073955339104</v>
      </c>
      <c r="K86">
        <v>95</v>
      </c>
      <c r="L86">
        <v>3945.8609999999999</v>
      </c>
      <c r="M86">
        <v>3770.3530000000001</v>
      </c>
      <c r="N86">
        <v>2431.7310000000002</v>
      </c>
      <c r="O86">
        <v>3730.8809999999999</v>
      </c>
      <c r="P86">
        <v>4182.6319999999996</v>
      </c>
      <c r="R86" s="3">
        <f t="shared" si="6"/>
        <v>3612.2915999999996</v>
      </c>
      <c r="S86" s="3">
        <f t="shared" si="7"/>
        <v>305.7226601613965</v>
      </c>
    </row>
    <row r="87" spans="1:19" x14ac:dyDescent="0.25">
      <c r="A87">
        <v>96.25</v>
      </c>
      <c r="B87">
        <v>3265.2939999999999</v>
      </c>
      <c r="C87">
        <v>2868.8389999999999</v>
      </c>
      <c r="D87">
        <v>4083.7350000000001</v>
      </c>
      <c r="E87">
        <v>2657.9609999999998</v>
      </c>
      <c r="F87">
        <v>4021.98</v>
      </c>
      <c r="H87" s="2">
        <f t="shared" si="4"/>
        <v>3379.5618000000004</v>
      </c>
      <c r="I87" s="2">
        <f t="shared" si="5"/>
        <v>291.81875046052147</v>
      </c>
      <c r="K87">
        <v>96.25</v>
      </c>
      <c r="L87">
        <v>3888.83</v>
      </c>
      <c r="M87">
        <v>3888.1590000000001</v>
      </c>
      <c r="N87">
        <v>2558.7640000000001</v>
      </c>
      <c r="O87">
        <v>3801.817</v>
      </c>
      <c r="P87">
        <v>4137.857</v>
      </c>
      <c r="R87" s="3">
        <f t="shared" si="6"/>
        <v>3655.0853999999999</v>
      </c>
      <c r="S87" s="3">
        <f t="shared" si="7"/>
        <v>279.77482314793878</v>
      </c>
    </row>
    <row r="88" spans="1:19" x14ac:dyDescent="0.25">
      <c r="A88">
        <v>97.5</v>
      </c>
      <c r="B88">
        <v>3602.5590000000002</v>
      </c>
      <c r="C88">
        <v>3165.864</v>
      </c>
      <c r="D88">
        <v>4108.04</v>
      </c>
      <c r="E88">
        <v>2913.6559999999999</v>
      </c>
      <c r="F88">
        <v>4038.9670000000001</v>
      </c>
      <c r="H88" s="2">
        <f t="shared" si="4"/>
        <v>3565.8172</v>
      </c>
      <c r="I88" s="2">
        <f t="shared" si="5"/>
        <v>235.00032456603154</v>
      </c>
      <c r="K88">
        <v>97.5</v>
      </c>
      <c r="L88">
        <v>4038.1120000000001</v>
      </c>
      <c r="M88">
        <v>4127.299</v>
      </c>
      <c r="N88">
        <v>2773.8620000000001</v>
      </c>
      <c r="O88">
        <v>4077.4140000000002</v>
      </c>
      <c r="P88">
        <v>4402.5240000000003</v>
      </c>
      <c r="R88" s="3">
        <f t="shared" si="6"/>
        <v>3883.8422000000005</v>
      </c>
      <c r="S88" s="3">
        <f t="shared" si="7"/>
        <v>284.74789555471534</v>
      </c>
    </row>
    <row r="89" spans="1:19" x14ac:dyDescent="0.25">
      <c r="A89">
        <v>98.75</v>
      </c>
      <c r="B89">
        <v>3948.413</v>
      </c>
      <c r="C89">
        <v>3476.4389999999999</v>
      </c>
      <c r="D89">
        <v>4414.8909999999996</v>
      </c>
      <c r="E89">
        <v>3171.9319999999998</v>
      </c>
      <c r="F89">
        <v>4324.866</v>
      </c>
      <c r="H89" s="2">
        <f t="shared" si="4"/>
        <v>3867.3081999999995</v>
      </c>
      <c r="I89" s="2">
        <f t="shared" si="5"/>
        <v>240.01154584881985</v>
      </c>
      <c r="K89">
        <v>98.75</v>
      </c>
      <c r="L89">
        <v>4412.0060000000003</v>
      </c>
      <c r="M89">
        <v>4447.3249999999998</v>
      </c>
      <c r="N89">
        <v>2999.1109999999999</v>
      </c>
      <c r="O89">
        <v>4472.6109999999999</v>
      </c>
      <c r="P89">
        <v>4837.51</v>
      </c>
      <c r="R89" s="3">
        <f t="shared" si="6"/>
        <v>4233.7126000000007</v>
      </c>
      <c r="S89" s="3">
        <f t="shared" si="7"/>
        <v>318.06474579943438</v>
      </c>
    </row>
    <row r="90" spans="1:19" x14ac:dyDescent="0.25">
      <c r="A90">
        <v>100</v>
      </c>
      <c r="B90">
        <v>4048.5929999999998</v>
      </c>
      <c r="C90">
        <v>3555.0329999999999</v>
      </c>
      <c r="D90">
        <v>4583.4799999999996</v>
      </c>
      <c r="E90">
        <v>3252.9949999999999</v>
      </c>
      <c r="F90">
        <v>4452.1570000000002</v>
      </c>
      <c r="H90" s="2">
        <f t="shared" si="4"/>
        <v>3978.4515999999994</v>
      </c>
      <c r="I90" s="2">
        <f t="shared" si="5"/>
        <v>255.04377821260576</v>
      </c>
      <c r="K90">
        <v>100</v>
      </c>
      <c r="L90">
        <v>4545.4449999999997</v>
      </c>
      <c r="M90">
        <v>4590.5910000000003</v>
      </c>
      <c r="N90">
        <v>3020.2170000000001</v>
      </c>
      <c r="O90">
        <v>4614.28</v>
      </c>
      <c r="P90">
        <v>5037.6779999999999</v>
      </c>
      <c r="R90" s="3">
        <f t="shared" si="6"/>
        <v>4361.6422000000002</v>
      </c>
      <c r="S90" s="3">
        <f t="shared" si="7"/>
        <v>346.87698470601845</v>
      </c>
    </row>
    <row r="91" spans="1:19" x14ac:dyDescent="0.25">
      <c r="A91">
        <v>101.25</v>
      </c>
      <c r="B91">
        <v>3883.319</v>
      </c>
      <c r="C91">
        <v>3378.32</v>
      </c>
      <c r="D91">
        <v>4426.116</v>
      </c>
      <c r="E91">
        <v>3115.489</v>
      </c>
      <c r="F91">
        <v>4304.3810000000003</v>
      </c>
      <c r="H91" s="2">
        <f t="shared" si="4"/>
        <v>3821.5250000000001</v>
      </c>
      <c r="I91" s="2">
        <f t="shared" si="5"/>
        <v>254.69748700900129</v>
      </c>
      <c r="K91">
        <v>101.25</v>
      </c>
      <c r="L91">
        <v>4340.3860000000004</v>
      </c>
      <c r="M91">
        <v>4430.2340000000004</v>
      </c>
      <c r="N91">
        <v>2842.4580000000001</v>
      </c>
      <c r="O91">
        <v>4437.5730000000003</v>
      </c>
      <c r="P91">
        <v>4877.8810000000003</v>
      </c>
      <c r="R91" s="3">
        <f t="shared" si="6"/>
        <v>4185.7064000000009</v>
      </c>
      <c r="S91" s="3">
        <f t="shared" si="7"/>
        <v>348.6099719601545</v>
      </c>
    </row>
    <row r="92" spans="1:19" x14ac:dyDescent="0.25">
      <c r="A92">
        <v>102.5</v>
      </c>
      <c r="B92">
        <v>3523.9470000000001</v>
      </c>
      <c r="C92">
        <v>3037.819</v>
      </c>
      <c r="D92">
        <v>4001.998</v>
      </c>
      <c r="E92">
        <v>2827.1469999999999</v>
      </c>
      <c r="F92">
        <v>3895.7</v>
      </c>
      <c r="H92" s="2">
        <f t="shared" si="4"/>
        <v>3457.3222000000001</v>
      </c>
      <c r="I92" s="2">
        <f t="shared" si="5"/>
        <v>230.91009117390084</v>
      </c>
      <c r="K92">
        <v>102.5</v>
      </c>
      <c r="L92">
        <v>3876.2890000000002</v>
      </c>
      <c r="M92">
        <v>4006.2539999999999</v>
      </c>
      <c r="N92">
        <v>2535.12</v>
      </c>
      <c r="O92">
        <v>4036.529</v>
      </c>
      <c r="P92">
        <v>4445.38</v>
      </c>
      <c r="R92" s="3">
        <f t="shared" si="6"/>
        <v>3779.9144000000001</v>
      </c>
      <c r="S92" s="3">
        <f t="shared" si="7"/>
        <v>325.4785933084695</v>
      </c>
    </row>
    <row r="93" spans="1:19" x14ac:dyDescent="0.25">
      <c r="A93">
        <v>103.75</v>
      </c>
      <c r="B93">
        <v>3063.2869999999998</v>
      </c>
      <c r="C93">
        <v>2645.2150000000001</v>
      </c>
      <c r="D93">
        <v>3459.3510000000001</v>
      </c>
      <c r="E93">
        <v>2488.2809999999999</v>
      </c>
      <c r="F93">
        <v>3352.2730000000001</v>
      </c>
      <c r="H93" s="2">
        <f t="shared" si="4"/>
        <v>3001.6814000000004</v>
      </c>
      <c r="I93" s="2">
        <f t="shared" si="5"/>
        <v>190.63308314077861</v>
      </c>
      <c r="K93">
        <v>103.75</v>
      </c>
      <c r="L93">
        <v>3301.0770000000002</v>
      </c>
      <c r="M93">
        <v>3465.0610000000001</v>
      </c>
      <c r="N93">
        <v>2197.6979999999999</v>
      </c>
      <c r="O93">
        <v>3521.1970000000001</v>
      </c>
      <c r="P93">
        <v>3861.2150000000001</v>
      </c>
      <c r="R93" s="3">
        <f t="shared" si="6"/>
        <v>3269.2496000000001</v>
      </c>
      <c r="S93" s="3">
        <f t="shared" si="7"/>
        <v>282.97335973437447</v>
      </c>
    </row>
    <row r="94" spans="1:19" x14ac:dyDescent="0.25">
      <c r="A94">
        <v>105</v>
      </c>
      <c r="B94">
        <v>2683.32</v>
      </c>
      <c r="C94">
        <v>2378.1779999999999</v>
      </c>
      <c r="D94">
        <v>3012.8679999999999</v>
      </c>
      <c r="E94">
        <v>2209.6610000000001</v>
      </c>
      <c r="F94">
        <v>2918.3690000000001</v>
      </c>
      <c r="H94" s="2">
        <f t="shared" si="4"/>
        <v>2640.4792000000002</v>
      </c>
      <c r="I94" s="2">
        <f t="shared" si="5"/>
        <v>153.64532769121291</v>
      </c>
      <c r="K94">
        <v>105</v>
      </c>
      <c r="L94">
        <v>2888.9760000000001</v>
      </c>
      <c r="M94">
        <v>3034.7139999999999</v>
      </c>
      <c r="N94">
        <v>1965.443</v>
      </c>
      <c r="O94">
        <v>3123.7750000000001</v>
      </c>
      <c r="P94">
        <v>3367.2370000000001</v>
      </c>
      <c r="R94" s="3">
        <f t="shared" si="6"/>
        <v>2876.029</v>
      </c>
      <c r="S94" s="3">
        <f t="shared" si="7"/>
        <v>240.53885312044707</v>
      </c>
    </row>
    <row r="95" spans="1:19" x14ac:dyDescent="0.25">
      <c r="A95">
        <v>106.25</v>
      </c>
      <c r="B95">
        <v>2460.951</v>
      </c>
      <c r="C95">
        <v>2223.2829999999999</v>
      </c>
      <c r="D95">
        <v>2757.2109999999998</v>
      </c>
      <c r="E95">
        <v>2037.4949999999999</v>
      </c>
      <c r="F95">
        <v>2685.623</v>
      </c>
      <c r="H95" s="2">
        <f t="shared" si="4"/>
        <v>2432.9125999999997</v>
      </c>
      <c r="I95" s="2">
        <f t="shared" si="5"/>
        <v>136.03635506202218</v>
      </c>
      <c r="K95">
        <v>106.25</v>
      </c>
      <c r="L95">
        <v>2667.0940000000001</v>
      </c>
      <c r="M95">
        <v>2786.7959999999998</v>
      </c>
      <c r="N95">
        <v>1834.64</v>
      </c>
      <c r="O95">
        <v>2891.547</v>
      </c>
      <c r="P95">
        <v>3086.0619999999999</v>
      </c>
      <c r="R95" s="3">
        <f t="shared" si="6"/>
        <v>2653.2277999999997</v>
      </c>
      <c r="S95" s="3">
        <f t="shared" si="7"/>
        <v>215.90046406165931</v>
      </c>
    </row>
    <row r="96" spans="1:19" x14ac:dyDescent="0.25">
      <c r="A96">
        <v>107.5</v>
      </c>
      <c r="B96">
        <v>2327.12</v>
      </c>
      <c r="C96">
        <v>2105.4589999999998</v>
      </c>
      <c r="D96">
        <v>2598.7220000000002</v>
      </c>
      <c r="E96">
        <v>1931.634</v>
      </c>
      <c r="F96">
        <v>2528.9319999999998</v>
      </c>
      <c r="H96" s="2">
        <f t="shared" si="4"/>
        <v>2298.3733999999995</v>
      </c>
      <c r="I96" s="2">
        <f t="shared" si="5"/>
        <v>125.67948715029172</v>
      </c>
      <c r="K96">
        <v>107.5</v>
      </c>
      <c r="L96">
        <v>2506.3000000000002</v>
      </c>
      <c r="M96">
        <v>2625.6869999999999</v>
      </c>
      <c r="N96">
        <v>1732.136</v>
      </c>
      <c r="O96">
        <v>2718.9630000000002</v>
      </c>
      <c r="P96">
        <v>2906.46</v>
      </c>
      <c r="R96" s="3">
        <f t="shared" si="6"/>
        <v>2497.9091999999996</v>
      </c>
      <c r="S96" s="3">
        <f t="shared" si="7"/>
        <v>202.30975065611725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BRIGHT!OCT_RAW___\AD07\_dark_profiles_AD07_DARK</vt:lpstr>
      <vt:lpstr>BRIGHT!OCT_RAW___\AD07\_light_profiles_AD07_LIGHT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2019-11-17T01:41:54Z</dcterms:modified>
</cp:coreProperties>
</file>