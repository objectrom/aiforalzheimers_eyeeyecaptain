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315\"/>
    </mc:Choice>
  </mc:AlternateContent>
  <xr:revisionPtr revIDLastSave="0" documentId="13_ncr:1_{87D8FCF5-3FEB-4EA8-916E-56181B5835E1}" xr6:coauthVersionLast="45" xr6:coauthVersionMax="45" xr10:uidLastSave="{00000000-0000-0000-0000-000000000000}"/>
  <bookViews>
    <workbookView xWindow="990" yWindow="1065" windowWidth="24810" windowHeight="15810" activeTab="1" xr2:uid="{00000000-000D-0000-FFFF-FFFF00000000}"/>
  </bookViews>
  <sheets>
    <sheet name="DIM" sheetId="1" r:id="rId1"/>
    <sheet name="BRIGHT" sheetId="2" r:id="rId2"/>
  </sheets>
  <definedNames>
    <definedName name="OCT_RAW___\YA06\_dark_profiles_YA06_DARK" localSheetId="1">BRIGHT!$A$2:$P$96</definedName>
    <definedName name="OCT_RAW___\YA06\_dark_profiles_YA06_DARK_dim" localSheetId="0">DIM!$A$2:$F$96</definedName>
    <definedName name="OCT_RAW___\YA06\_fovea_dark_profiles_YA06_DARK" localSheetId="1">BRIGHT!#REF!</definedName>
    <definedName name="OCT_RAW___\YA06\_fovea_dark_profiles_YA06_DARK_dim" localSheetId="0">DIM!#REF!</definedName>
    <definedName name="OCT_RAW___\YA06\_fovea_light_profiles_YA06_LIGHT" localSheetId="1">BRIGHT!#REF!</definedName>
    <definedName name="OCT_RAW___\YA06\_fovea_light_profiles_YA06_LIGHT_dim" localSheetId="0">DIM!#REF!</definedName>
    <definedName name="OCT_RAW___\YA06\_light_profiles_YA06_LIGHT" localSheetId="1">BRIGHT!$U$2:$AJ$96</definedName>
    <definedName name="OCT_RAW___\YA06\_light_profiles_YA06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B098E-2C2D-428D-8D04-7584F4DC0EE6}" name="[[[OCT RAW]]]\YA06\_dark_profiles_YA06_DARK" type="6" refreshedVersion="6" background="1" saveData="1">
    <textPr codePage="437" sourceFile="E:\[Documents]\[[[OCT RAW]]]\YA06\_dark_profiles_YA06_DARK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BCF6A32-F9B4-4FA9-B354-C357431EC40C}" name="[[[OCT RAW]]]\YA06\_dark_profiles_YA06_DARK-dim" type="6" refreshedVersion="6" background="1" saveData="1">
    <textPr codePage="437" sourceFile="E:\[Documents]\[[[OCT RAW]]]\YA06\_dark_profiles_YA06_DARK-dim.txt" space="1" consecutive="1">
      <textFields count="6">
        <textField/>
        <textField/>
        <textField/>
        <textField/>
        <textField/>
        <textField/>
      </textFields>
    </textPr>
  </connection>
  <connection id="3" xr16:uid="{E0B1317C-53D5-46F1-96D5-C06C685B6190}" name="[[[OCT RAW]]]\YA06\_light_profiles_YA06_LIGHT" type="6" refreshedVersion="6" background="1" saveData="1">
    <textPr codePage="437" sourceFile="E:\[Documents]\[[[OCT RAW]]]\YA06\_light_profiles_YA06_LIGHT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CE8A9E7C-F4B3-4F86-9F2D-F67D94007BC9}" name="[[[OCT RAW]]]\YA06\_light_profiles_YA06_LIGHT-dim" type="6" refreshedVersion="6" background="1" saveData="1">
    <textPr codePage="437" sourceFile="E:\[Documents]\[[[OCT RAW]]]\YA06\_light_profiles_YA06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<sst xmlns="http://schemas.openxmlformats.org/spreadsheetml/2006/main" count="24" uniqueCount="10">
  <si>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</si>
  <si>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</si>
  <si>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</si>
  <si>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</si>
  <si>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</si>
  <si>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</si>
  <si>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YA315_DARK-dim</t>
  </si>
  <si>
    <t>YA315_LIGHT-dim</t>
  </si>
  <si>
    <t>YA315_DARK</t>
  </si>
  <si>
    <t>YA315_LIGHT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</si>
</sst>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1366.8792000000001</c:v>
                </c:pt>
                <c:pt idx="1">
                  <c:v>1535.3928000000001</c:v>
                </c:pt>
                <c:pt idx="2">
                  <c:v>2041.4897999999998</c:v>
                </c:pt>
                <c:pt idx="3">
                  <c:v>2869.3656000000001</c:v>
                </c:pt>
                <c:pt idx="4">
                  <c:v>3600.6502</c:v>
                </c:pt>
                <c:pt idx="5">
                  <c:v>4043.2975999999994</c:v>
                </c:pt>
                <c:pt idx="6">
                  <c:v>4250.0696000000007</c:v>
                </c:pt>
                <c:pt idx="7">
                  <c:v>4318.6096000000007</c:v>
                </c:pt>
                <c:pt idx="8">
                  <c:v>4280.5833999999995</c:v>
                </c:pt>
                <c:pt idx="9">
                  <c:v>4097.7021999999997</c:v>
                </c:pt>
                <c:pt idx="10">
                  <c:v>3769.0021999999999</c:v>
                </c:pt>
                <c:pt idx="11">
                  <c:v>3267.7047999999995</c:v>
                </c:pt>
                <c:pt idx="12">
                  <c:v>2824.3292000000001</c:v>
                </c:pt>
                <c:pt idx="13">
                  <c:v>2653.6642000000002</c:v>
                </c:pt>
                <c:pt idx="14">
                  <c:v>2593.8272000000002</c:v>
                </c:pt>
                <c:pt idx="15">
                  <c:v>2579.5515999999998</c:v>
                </c:pt>
                <c:pt idx="16">
                  <c:v>2580.7619999999997</c:v>
                </c:pt>
                <c:pt idx="17">
                  <c:v>2584.1779999999999</c:v>
                </c:pt>
                <c:pt idx="18">
                  <c:v>2595.65</c:v>
                </c:pt>
                <c:pt idx="19">
                  <c:v>2605.8371999999999</c:v>
                </c:pt>
                <c:pt idx="20">
                  <c:v>2619.1441999999997</c:v>
                </c:pt>
                <c:pt idx="21">
                  <c:v>2622.2905999999998</c:v>
                </c:pt>
                <c:pt idx="22">
                  <c:v>2626.4580000000001</c:v>
                </c:pt>
                <c:pt idx="23">
                  <c:v>2668.7334000000001</c:v>
                </c:pt>
                <c:pt idx="24">
                  <c:v>2706.8348000000001</c:v>
                </c:pt>
                <c:pt idx="25">
                  <c:v>2707.4957999999997</c:v>
                </c:pt>
                <c:pt idx="26">
                  <c:v>2716.9247999999998</c:v>
                </c:pt>
                <c:pt idx="27">
                  <c:v>2738.6680000000001</c:v>
                </c:pt>
                <c:pt idx="28">
                  <c:v>2724.5962000000004</c:v>
                </c:pt>
                <c:pt idx="29">
                  <c:v>2703.6436000000003</c:v>
                </c:pt>
                <c:pt idx="30">
                  <c:v>2708.0351999999998</c:v>
                </c:pt>
                <c:pt idx="31">
                  <c:v>2703.886</c:v>
                </c:pt>
                <c:pt idx="32">
                  <c:v>2578.4247999999998</c:v>
                </c:pt>
                <c:pt idx="33">
                  <c:v>2370.0219999999999</c:v>
                </c:pt>
                <c:pt idx="34">
                  <c:v>2185.9610000000002</c:v>
                </c:pt>
                <c:pt idx="35">
                  <c:v>2076.63</c:v>
                </c:pt>
                <c:pt idx="36">
                  <c:v>2026.3763999999999</c:v>
                </c:pt>
                <c:pt idx="37">
                  <c:v>2016.5630000000001</c:v>
                </c:pt>
                <c:pt idx="38">
                  <c:v>2021.5025999999998</c:v>
                </c:pt>
                <c:pt idx="39">
                  <c:v>2035.1178</c:v>
                </c:pt>
                <c:pt idx="40">
                  <c:v>2083.9757999999997</c:v>
                </c:pt>
                <c:pt idx="41">
                  <c:v>2175.7298000000001</c:v>
                </c:pt>
                <c:pt idx="42">
                  <c:v>2282.8032000000003</c:v>
                </c:pt>
                <c:pt idx="43">
                  <c:v>2379.7532000000001</c:v>
                </c:pt>
                <c:pt idx="44">
                  <c:v>2443.7943999999998</c:v>
                </c:pt>
                <c:pt idx="45">
                  <c:v>2482.3380000000002</c:v>
                </c:pt>
                <c:pt idx="46">
                  <c:v>2513.2323999999999</c:v>
                </c:pt>
                <c:pt idx="47">
                  <c:v>2491.7870000000003</c:v>
                </c:pt>
                <c:pt idx="48">
                  <c:v>2355.4164000000001</c:v>
                </c:pt>
                <c:pt idx="49">
                  <c:v>2152.0958000000001</c:v>
                </c:pt>
                <c:pt idx="50">
                  <c:v>1999.0430000000001</c:v>
                </c:pt>
                <c:pt idx="51">
                  <c:v>1904.1688000000001</c:v>
                </c:pt>
                <c:pt idx="52">
                  <c:v>1832.3668000000002</c:v>
                </c:pt>
                <c:pt idx="53">
                  <c:v>1777.5520000000001</c:v>
                </c:pt>
                <c:pt idx="54">
                  <c:v>1730.2386000000001</c:v>
                </c:pt>
                <c:pt idx="55">
                  <c:v>1688.0383999999999</c:v>
                </c:pt>
                <c:pt idx="56">
                  <c:v>1649.1582000000003</c:v>
                </c:pt>
                <c:pt idx="57">
                  <c:v>1617.3648000000001</c:v>
                </c:pt>
                <c:pt idx="58">
                  <c:v>1588.5841999999998</c:v>
                </c:pt>
                <c:pt idx="59">
                  <c:v>1564.5206000000003</c:v>
                </c:pt>
                <c:pt idx="60">
                  <c:v>1544.3574000000001</c:v>
                </c:pt>
                <c:pt idx="61">
                  <c:v>1530.6931999999999</c:v>
                </c:pt>
                <c:pt idx="62">
                  <c:v>1549.604</c:v>
                </c:pt>
                <c:pt idx="63">
                  <c:v>1633.3822</c:v>
                </c:pt>
                <c:pt idx="64">
                  <c:v>1741.7063999999998</c:v>
                </c:pt>
                <c:pt idx="65">
                  <c:v>1778.595</c:v>
                </c:pt>
                <c:pt idx="66">
                  <c:v>1758.8281999999999</c:v>
                </c:pt>
                <c:pt idx="67">
                  <c:v>1767.8646000000001</c:v>
                </c:pt>
                <c:pt idx="68">
                  <c:v>2014.6922000000002</c:v>
                </c:pt>
                <c:pt idx="69">
                  <c:v>2761.9138000000003</c:v>
                </c:pt>
                <c:pt idx="70">
                  <c:v>3720.6459999999997</c:v>
                </c:pt>
                <c:pt idx="71">
                  <c:v>4348.9812000000002</c:v>
                </c:pt>
                <c:pt idx="72">
                  <c:v>4298.0424000000003</c:v>
                </c:pt>
                <c:pt idx="73">
                  <c:v>3669.9849999999997</c:v>
                </c:pt>
                <c:pt idx="74">
                  <c:v>2938.5631999999996</c:v>
                </c:pt>
                <c:pt idx="75">
                  <c:v>2599.9706000000001</c:v>
                </c:pt>
                <c:pt idx="76">
                  <c:v>2707.0415999999996</c:v>
                </c:pt>
                <c:pt idx="77">
                  <c:v>2954.6309999999999</c:v>
                </c:pt>
                <c:pt idx="78">
                  <c:v>3202.4004</c:v>
                </c:pt>
                <c:pt idx="79">
                  <c:v>3464.6343999999999</c:v>
                </c:pt>
                <c:pt idx="80">
                  <c:v>3738.1477999999997</c:v>
                </c:pt>
                <c:pt idx="81">
                  <c:v>4027.5</c:v>
                </c:pt>
                <c:pt idx="82">
                  <c:v>4277.8922000000002</c:v>
                </c:pt>
                <c:pt idx="83">
                  <c:v>4378.0223999999998</c:v>
                </c:pt>
                <c:pt idx="84">
                  <c:v>4288.1540000000005</c:v>
                </c:pt>
                <c:pt idx="85">
                  <c:v>4033.6381999999999</c:v>
                </c:pt>
                <c:pt idx="86">
                  <c:v>3590.8509999999997</c:v>
                </c:pt>
                <c:pt idx="87">
                  <c:v>3203.7046</c:v>
                </c:pt>
                <c:pt idx="88">
                  <c:v>3026.7586000000001</c:v>
                </c:pt>
                <c:pt idx="89">
                  <c:v>2891.1178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1155.5652</c:v>
                </c:pt>
                <c:pt idx="1">
                  <c:v>1313.7922000000001</c:v>
                </c:pt>
                <c:pt idx="2">
                  <c:v>1778.2792000000002</c:v>
                </c:pt>
                <c:pt idx="3">
                  <c:v>2527.7246</c:v>
                </c:pt>
                <c:pt idx="4">
                  <c:v>3233.0234</c:v>
                </c:pt>
                <c:pt idx="5">
                  <c:v>3663.5662000000002</c:v>
                </c:pt>
                <c:pt idx="6">
                  <c:v>3854.7758000000003</c:v>
                </c:pt>
                <c:pt idx="7">
                  <c:v>3923.9412000000002</c:v>
                </c:pt>
                <c:pt idx="8">
                  <c:v>3889.9508000000001</c:v>
                </c:pt>
                <c:pt idx="9">
                  <c:v>3736.7404000000001</c:v>
                </c:pt>
                <c:pt idx="10">
                  <c:v>3425.7392</c:v>
                </c:pt>
                <c:pt idx="11">
                  <c:v>2961.2160000000003</c:v>
                </c:pt>
                <c:pt idx="12">
                  <c:v>2564.5740000000005</c:v>
                </c:pt>
                <c:pt idx="13">
                  <c:v>2376.0842000000002</c:v>
                </c:pt>
                <c:pt idx="14">
                  <c:v>2317.5538000000001</c:v>
                </c:pt>
                <c:pt idx="15">
                  <c:v>2314.1421999999998</c:v>
                </c:pt>
                <c:pt idx="16">
                  <c:v>2308.1866</c:v>
                </c:pt>
                <c:pt idx="17">
                  <c:v>2297.3006</c:v>
                </c:pt>
                <c:pt idx="18">
                  <c:v>2306.3308000000002</c:v>
                </c:pt>
                <c:pt idx="19">
                  <c:v>2319.5254</c:v>
                </c:pt>
                <c:pt idx="20">
                  <c:v>2338.8116</c:v>
                </c:pt>
                <c:pt idx="21">
                  <c:v>2348.9520000000002</c:v>
                </c:pt>
                <c:pt idx="22">
                  <c:v>2361.4461999999999</c:v>
                </c:pt>
                <c:pt idx="23">
                  <c:v>2390.6064000000001</c:v>
                </c:pt>
                <c:pt idx="24">
                  <c:v>2413.9965999999999</c:v>
                </c:pt>
                <c:pt idx="25">
                  <c:v>2417.7975999999999</c:v>
                </c:pt>
                <c:pt idx="26">
                  <c:v>2419.3055999999997</c:v>
                </c:pt>
                <c:pt idx="27">
                  <c:v>2445.6343999999999</c:v>
                </c:pt>
                <c:pt idx="28">
                  <c:v>2449.4414000000002</c:v>
                </c:pt>
                <c:pt idx="29">
                  <c:v>2432.7565999999997</c:v>
                </c:pt>
                <c:pt idx="30">
                  <c:v>2425.6342</c:v>
                </c:pt>
                <c:pt idx="31">
                  <c:v>2414.4870000000001</c:v>
                </c:pt>
                <c:pt idx="32">
                  <c:v>2313.0814</c:v>
                </c:pt>
                <c:pt idx="33">
                  <c:v>2120.3388</c:v>
                </c:pt>
                <c:pt idx="34">
                  <c:v>1951.8029999999999</c:v>
                </c:pt>
                <c:pt idx="35">
                  <c:v>1857.0644</c:v>
                </c:pt>
                <c:pt idx="36">
                  <c:v>1811.8612000000001</c:v>
                </c:pt>
                <c:pt idx="37">
                  <c:v>1798.6194</c:v>
                </c:pt>
                <c:pt idx="38">
                  <c:v>1796.7984000000001</c:v>
                </c:pt>
                <c:pt idx="39">
                  <c:v>1800.6796000000002</c:v>
                </c:pt>
                <c:pt idx="40">
                  <c:v>1836.5783999999999</c:v>
                </c:pt>
                <c:pt idx="41">
                  <c:v>1917.9424000000004</c:v>
                </c:pt>
                <c:pt idx="42">
                  <c:v>2026.6034</c:v>
                </c:pt>
                <c:pt idx="43">
                  <c:v>2111.4556000000002</c:v>
                </c:pt>
                <c:pt idx="44">
                  <c:v>2157.6664000000001</c:v>
                </c:pt>
                <c:pt idx="45">
                  <c:v>2185.5150000000003</c:v>
                </c:pt>
                <c:pt idx="46">
                  <c:v>2225.1923999999999</c:v>
                </c:pt>
                <c:pt idx="47">
                  <c:v>2216.3491999999997</c:v>
                </c:pt>
                <c:pt idx="48">
                  <c:v>2077.9211999999998</c:v>
                </c:pt>
                <c:pt idx="49">
                  <c:v>1897.4284</c:v>
                </c:pt>
                <c:pt idx="50">
                  <c:v>1774.5603999999998</c:v>
                </c:pt>
                <c:pt idx="51">
                  <c:v>1694.518</c:v>
                </c:pt>
                <c:pt idx="52">
                  <c:v>1628.5830000000001</c:v>
                </c:pt>
                <c:pt idx="53">
                  <c:v>1574.5182</c:v>
                </c:pt>
                <c:pt idx="54">
                  <c:v>1528.7896000000001</c:v>
                </c:pt>
                <c:pt idx="55">
                  <c:v>1494.4032000000002</c:v>
                </c:pt>
                <c:pt idx="56">
                  <c:v>1467.17</c:v>
                </c:pt>
                <c:pt idx="57">
                  <c:v>1440.8427999999999</c:v>
                </c:pt>
                <c:pt idx="58">
                  <c:v>1415.2782000000002</c:v>
                </c:pt>
                <c:pt idx="59">
                  <c:v>1389.6486</c:v>
                </c:pt>
                <c:pt idx="60">
                  <c:v>1369.3314</c:v>
                </c:pt>
                <c:pt idx="61">
                  <c:v>1357.2765999999999</c:v>
                </c:pt>
                <c:pt idx="62">
                  <c:v>1375.0171999999998</c:v>
                </c:pt>
                <c:pt idx="63">
                  <c:v>1454.7646</c:v>
                </c:pt>
                <c:pt idx="64">
                  <c:v>1554.5771999999999</c:v>
                </c:pt>
                <c:pt idx="65">
                  <c:v>1582.8401999999999</c:v>
                </c:pt>
                <c:pt idx="66">
                  <c:v>1563.8198</c:v>
                </c:pt>
                <c:pt idx="67">
                  <c:v>1581.0184000000002</c:v>
                </c:pt>
                <c:pt idx="68">
                  <c:v>1870.9779999999998</c:v>
                </c:pt>
                <c:pt idx="69">
                  <c:v>2669.0940000000001</c:v>
                </c:pt>
                <c:pt idx="70">
                  <c:v>3580.2263999999996</c:v>
                </c:pt>
                <c:pt idx="71">
                  <c:v>4167.1574000000001</c:v>
                </c:pt>
                <c:pt idx="72">
                  <c:v>4121.6469999999999</c:v>
                </c:pt>
                <c:pt idx="73">
                  <c:v>3495.5832</c:v>
                </c:pt>
                <c:pt idx="74">
                  <c:v>2790.8447999999999</c:v>
                </c:pt>
                <c:pt idx="75">
                  <c:v>2507.5936000000002</c:v>
                </c:pt>
                <c:pt idx="76">
                  <c:v>2684.721</c:v>
                </c:pt>
                <c:pt idx="77">
                  <c:v>2928.7501999999999</c:v>
                </c:pt>
                <c:pt idx="78">
                  <c:v>3083.7786000000001</c:v>
                </c:pt>
                <c:pt idx="79">
                  <c:v>3209.0036</c:v>
                </c:pt>
                <c:pt idx="80">
                  <c:v>3367.8635999999997</c:v>
                </c:pt>
                <c:pt idx="81">
                  <c:v>3579.3839999999996</c:v>
                </c:pt>
                <c:pt idx="82">
                  <c:v>3805.0592000000006</c:v>
                </c:pt>
                <c:pt idx="83">
                  <c:v>3914.1356000000001</c:v>
                </c:pt>
                <c:pt idx="84">
                  <c:v>3855.2066000000004</c:v>
                </c:pt>
                <c:pt idx="85">
                  <c:v>3645.1356000000001</c:v>
                </c:pt>
                <c:pt idx="86">
                  <c:v>3256.5338000000002</c:v>
                </c:pt>
                <c:pt idx="87">
                  <c:v>2895.6171999999997</c:v>
                </c:pt>
                <c:pt idx="88">
                  <c:v>2717.1253999999999</c:v>
                </c:pt>
                <c:pt idx="89">
                  <c:v>2594.8356000000003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1330.4166666666667</c:v>
                </c:pt>
                <c:pt idx="1">
                  <c:v>1487.9928</c:v>
                </c:pt>
                <c:pt idx="2">
                  <c:v>1968.4152666666669</c:v>
                </c:pt>
                <c:pt idx="3">
                  <c:v>2745.2923999999998</c:v>
                </c:pt>
                <c:pt idx="4">
                  <c:v>3418.3447999999999</c:v>
                </c:pt>
                <c:pt idx="5">
                  <c:v>3813.746466666666</c:v>
                </c:pt>
                <c:pt idx="6">
                  <c:v>3964.7205333333332</c:v>
                </c:pt>
                <c:pt idx="7">
                  <c:v>4004.525200000001</c:v>
                </c:pt>
                <c:pt idx="8">
                  <c:v>3978.3648666666659</c:v>
                </c:pt>
                <c:pt idx="9">
                  <c:v>3833.9669333333336</c:v>
                </c:pt>
                <c:pt idx="10">
                  <c:v>3524.5573333333332</c:v>
                </c:pt>
                <c:pt idx="11">
                  <c:v>3052.5376666666657</c:v>
                </c:pt>
                <c:pt idx="12">
                  <c:v>2628.7543333333329</c:v>
                </c:pt>
                <c:pt idx="13">
                  <c:v>2454.6094666666668</c:v>
                </c:pt>
                <c:pt idx="14">
                  <c:v>2411.3548000000001</c:v>
                </c:pt>
                <c:pt idx="15">
                  <c:v>2407.5706</c:v>
                </c:pt>
                <c:pt idx="16">
                  <c:v>2403.2215999999994</c:v>
                </c:pt>
                <c:pt idx="17">
                  <c:v>2397.3659333333335</c:v>
                </c:pt>
                <c:pt idx="18">
                  <c:v>2398.8068666666672</c:v>
                </c:pt>
                <c:pt idx="19">
                  <c:v>2411.3710000000001</c:v>
                </c:pt>
                <c:pt idx="20">
                  <c:v>2428.4142666666671</c:v>
                </c:pt>
                <c:pt idx="21">
                  <c:v>2443.277066666667</c:v>
                </c:pt>
                <c:pt idx="22">
                  <c:v>2462.9647333333332</c:v>
                </c:pt>
                <c:pt idx="23">
                  <c:v>2496.3714666666669</c:v>
                </c:pt>
                <c:pt idx="24">
                  <c:v>2516.0452666666665</c:v>
                </c:pt>
                <c:pt idx="25">
                  <c:v>2516.8718666666668</c:v>
                </c:pt>
                <c:pt idx="26">
                  <c:v>2530.6617333333334</c:v>
                </c:pt>
                <c:pt idx="27">
                  <c:v>2550.7399333333333</c:v>
                </c:pt>
                <c:pt idx="28">
                  <c:v>2543.2051999999999</c:v>
                </c:pt>
                <c:pt idx="29">
                  <c:v>2523.3192666666669</c:v>
                </c:pt>
                <c:pt idx="30">
                  <c:v>2527.0534000000002</c:v>
                </c:pt>
                <c:pt idx="31">
                  <c:v>2517.8026000000004</c:v>
                </c:pt>
                <c:pt idx="32">
                  <c:v>2399.6601999999998</c:v>
                </c:pt>
                <c:pt idx="33">
                  <c:v>2202.1533333333332</c:v>
                </c:pt>
                <c:pt idx="34">
                  <c:v>2032.8492666666668</c:v>
                </c:pt>
                <c:pt idx="35">
                  <c:v>1942.3978666666667</c:v>
                </c:pt>
                <c:pt idx="36">
                  <c:v>1900.0702666666666</c:v>
                </c:pt>
                <c:pt idx="37">
                  <c:v>1883.7077333333334</c:v>
                </c:pt>
                <c:pt idx="38">
                  <c:v>1880.4346</c:v>
                </c:pt>
                <c:pt idx="39">
                  <c:v>1887.0413999999998</c:v>
                </c:pt>
                <c:pt idx="40">
                  <c:v>1923.8802666666668</c:v>
                </c:pt>
                <c:pt idx="41">
                  <c:v>2009.9890666666668</c:v>
                </c:pt>
                <c:pt idx="42">
                  <c:v>2119.0201333333334</c:v>
                </c:pt>
                <c:pt idx="43">
                  <c:v>2213.9607999999998</c:v>
                </c:pt>
                <c:pt idx="44">
                  <c:v>2277.3298666666674</c:v>
                </c:pt>
                <c:pt idx="45">
                  <c:v>2315.8975333333337</c:v>
                </c:pt>
                <c:pt idx="46">
                  <c:v>2354.1107333333334</c:v>
                </c:pt>
                <c:pt idx="47">
                  <c:v>2351.0522666666666</c:v>
                </c:pt>
                <c:pt idx="48">
                  <c:v>2235.7234666666677</c:v>
                </c:pt>
                <c:pt idx="49">
                  <c:v>2062.8260666666665</c:v>
                </c:pt>
                <c:pt idx="50">
                  <c:v>1933.521</c:v>
                </c:pt>
                <c:pt idx="51">
                  <c:v>1837.1844000000003</c:v>
                </c:pt>
                <c:pt idx="52">
                  <c:v>1762.5590000000002</c:v>
                </c:pt>
                <c:pt idx="53">
                  <c:v>1703.2117333333333</c:v>
                </c:pt>
                <c:pt idx="54">
                  <c:v>1651.4386</c:v>
                </c:pt>
                <c:pt idx="55">
                  <c:v>1603.4156666666668</c:v>
                </c:pt>
                <c:pt idx="56">
                  <c:v>1562.3926666666666</c:v>
                </c:pt>
                <c:pt idx="57">
                  <c:v>1530.0848000000003</c:v>
                </c:pt>
                <c:pt idx="58">
                  <c:v>1501.5467999999998</c:v>
                </c:pt>
                <c:pt idx="59">
                  <c:v>1473.0863333333332</c:v>
                </c:pt>
                <c:pt idx="60">
                  <c:v>1453.1596666666667</c:v>
                </c:pt>
                <c:pt idx="61">
                  <c:v>1442.4165333333335</c:v>
                </c:pt>
                <c:pt idx="62">
                  <c:v>1459.4070666666669</c:v>
                </c:pt>
                <c:pt idx="63">
                  <c:v>1545.3366666666666</c:v>
                </c:pt>
                <c:pt idx="64">
                  <c:v>1648.5063999999998</c:v>
                </c:pt>
                <c:pt idx="65">
                  <c:v>1677.8048666666666</c:v>
                </c:pt>
                <c:pt idx="66">
                  <c:v>1652.1406666666667</c:v>
                </c:pt>
                <c:pt idx="67">
                  <c:v>1656.2141999999999</c:v>
                </c:pt>
                <c:pt idx="68">
                  <c:v>1945.3913333333337</c:v>
                </c:pt>
                <c:pt idx="69">
                  <c:v>2740.4352666666668</c:v>
                </c:pt>
                <c:pt idx="70">
                  <c:v>3724.0766666666668</c:v>
                </c:pt>
                <c:pt idx="71">
                  <c:v>4353.4520666666676</c:v>
                </c:pt>
                <c:pt idx="72">
                  <c:v>4274.0527333333339</c:v>
                </c:pt>
                <c:pt idx="73">
                  <c:v>3606.8090666666667</c:v>
                </c:pt>
                <c:pt idx="74">
                  <c:v>2884.7186000000002</c:v>
                </c:pt>
                <c:pt idx="75">
                  <c:v>2687.235533333333</c:v>
                </c:pt>
                <c:pt idx="76">
                  <c:v>2915.1023333333333</c:v>
                </c:pt>
                <c:pt idx="77">
                  <c:v>3169.5400666666669</c:v>
                </c:pt>
                <c:pt idx="78">
                  <c:v>3321.0639333333338</c:v>
                </c:pt>
                <c:pt idx="79">
                  <c:v>3457.3352</c:v>
                </c:pt>
                <c:pt idx="80">
                  <c:v>3619.1910666666668</c:v>
                </c:pt>
                <c:pt idx="81">
                  <c:v>3849.0776000000001</c:v>
                </c:pt>
                <c:pt idx="82">
                  <c:v>4051.8122000000003</c:v>
                </c:pt>
                <c:pt idx="83">
                  <c:v>4103.7639333333336</c:v>
                </c:pt>
                <c:pt idx="84">
                  <c:v>3992.3844666666673</c:v>
                </c:pt>
                <c:pt idx="85">
                  <c:v>3709.9758666666671</c:v>
                </c:pt>
                <c:pt idx="86">
                  <c:v>3291.5426000000007</c:v>
                </c:pt>
                <c:pt idx="87">
                  <c:v>2984.9695333333334</c:v>
                </c:pt>
                <c:pt idx="88">
                  <c:v>2841.8656666666666</c:v>
                </c:pt>
                <c:pt idx="89">
                  <c:v>2722.1240000000003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1333.4961249999999</c:v>
                </c:pt>
                <c:pt idx="1">
                  <c:v>1479.9492500000001</c:v>
                </c:pt>
                <c:pt idx="2">
                  <c:v>1947.6922500000001</c:v>
                </c:pt>
                <c:pt idx="3">
                  <c:v>2695.6276249999996</c:v>
                </c:pt>
                <c:pt idx="4">
                  <c:v>3363.3223750000002</c:v>
                </c:pt>
                <c:pt idx="5">
                  <c:v>3752.4336250000001</c:v>
                </c:pt>
                <c:pt idx="6">
                  <c:v>3878.1847499999994</c:v>
                </c:pt>
                <c:pt idx="7">
                  <c:v>3900.7825000000003</c:v>
                </c:pt>
                <c:pt idx="8">
                  <c:v>3860.9110000000001</c:v>
                </c:pt>
                <c:pt idx="9">
                  <c:v>3713.071625</c:v>
                </c:pt>
                <c:pt idx="10">
                  <c:v>3417.9061249999995</c:v>
                </c:pt>
                <c:pt idx="11">
                  <c:v>2967.0797500000003</c:v>
                </c:pt>
                <c:pt idx="12">
                  <c:v>2551.5753749999999</c:v>
                </c:pt>
                <c:pt idx="13">
                  <c:v>2372.7473749999999</c:v>
                </c:pt>
                <c:pt idx="14">
                  <c:v>2337.2562499999999</c:v>
                </c:pt>
                <c:pt idx="15">
                  <c:v>2332.453</c:v>
                </c:pt>
                <c:pt idx="16">
                  <c:v>2322.3251249999994</c:v>
                </c:pt>
                <c:pt idx="17">
                  <c:v>2313.4115000000002</c:v>
                </c:pt>
                <c:pt idx="18">
                  <c:v>2313.2224999999999</c:v>
                </c:pt>
                <c:pt idx="19">
                  <c:v>2327.0640000000003</c:v>
                </c:pt>
                <c:pt idx="20">
                  <c:v>2339.9001250000001</c:v>
                </c:pt>
                <c:pt idx="21">
                  <c:v>2353.8328750000001</c:v>
                </c:pt>
                <c:pt idx="22">
                  <c:v>2375.8470000000007</c:v>
                </c:pt>
                <c:pt idx="23">
                  <c:v>2409.4403750000001</c:v>
                </c:pt>
                <c:pt idx="24">
                  <c:v>2422.9377500000001</c:v>
                </c:pt>
                <c:pt idx="25">
                  <c:v>2429.0355</c:v>
                </c:pt>
                <c:pt idx="26">
                  <c:v>2454.2506250000001</c:v>
                </c:pt>
                <c:pt idx="27">
                  <c:v>2480.5052500000002</c:v>
                </c:pt>
                <c:pt idx="28">
                  <c:v>2473.812625</c:v>
                </c:pt>
                <c:pt idx="29">
                  <c:v>2451.6247499999999</c:v>
                </c:pt>
                <c:pt idx="30">
                  <c:v>2454.9374999999995</c:v>
                </c:pt>
                <c:pt idx="31">
                  <c:v>2446.4679999999998</c:v>
                </c:pt>
                <c:pt idx="32">
                  <c:v>2337.223125</c:v>
                </c:pt>
                <c:pt idx="33">
                  <c:v>2142.7717499999999</c:v>
                </c:pt>
                <c:pt idx="34">
                  <c:v>1981.1042500000001</c:v>
                </c:pt>
                <c:pt idx="35">
                  <c:v>1894.2462500000001</c:v>
                </c:pt>
                <c:pt idx="36">
                  <c:v>1847.56825</c:v>
                </c:pt>
                <c:pt idx="37">
                  <c:v>1832.229</c:v>
                </c:pt>
                <c:pt idx="38">
                  <c:v>1826.1804999999999</c:v>
                </c:pt>
                <c:pt idx="39">
                  <c:v>1831.867375</c:v>
                </c:pt>
                <c:pt idx="40">
                  <c:v>1870.7579999999998</c:v>
                </c:pt>
                <c:pt idx="41">
                  <c:v>1958.699625</c:v>
                </c:pt>
                <c:pt idx="42">
                  <c:v>2067.5316250000001</c:v>
                </c:pt>
                <c:pt idx="43">
                  <c:v>2148.6309999999999</c:v>
                </c:pt>
                <c:pt idx="44">
                  <c:v>2195.6999999999998</c:v>
                </c:pt>
                <c:pt idx="45">
                  <c:v>2221.2021249999998</c:v>
                </c:pt>
                <c:pt idx="46">
                  <c:v>2271.19425</c:v>
                </c:pt>
                <c:pt idx="47">
                  <c:v>2288.6067499999999</c:v>
                </c:pt>
                <c:pt idx="48">
                  <c:v>2179.0464999999999</c:v>
                </c:pt>
                <c:pt idx="49">
                  <c:v>2012.0400000000002</c:v>
                </c:pt>
                <c:pt idx="50">
                  <c:v>1884.4078750000001</c:v>
                </c:pt>
                <c:pt idx="51">
                  <c:v>1788.809125</c:v>
                </c:pt>
                <c:pt idx="52">
                  <c:v>1714.8507499999998</c:v>
                </c:pt>
                <c:pt idx="53">
                  <c:v>1658.1641250000002</c:v>
                </c:pt>
                <c:pt idx="54">
                  <c:v>1613.0242499999999</c:v>
                </c:pt>
                <c:pt idx="55">
                  <c:v>1568.9105</c:v>
                </c:pt>
                <c:pt idx="56">
                  <c:v>1529.2929999999999</c:v>
                </c:pt>
                <c:pt idx="57">
                  <c:v>1499.7149999999999</c:v>
                </c:pt>
                <c:pt idx="58">
                  <c:v>1468.348375</c:v>
                </c:pt>
                <c:pt idx="59">
                  <c:v>1438.926375</c:v>
                </c:pt>
                <c:pt idx="60">
                  <c:v>1419.142625</c:v>
                </c:pt>
                <c:pt idx="61">
                  <c:v>1410.1949999999999</c:v>
                </c:pt>
                <c:pt idx="62">
                  <c:v>1435.6052500000001</c:v>
                </c:pt>
                <c:pt idx="63">
                  <c:v>1519.3512499999999</c:v>
                </c:pt>
                <c:pt idx="64">
                  <c:v>1621.37175</c:v>
                </c:pt>
                <c:pt idx="65">
                  <c:v>1648.89725</c:v>
                </c:pt>
                <c:pt idx="66">
                  <c:v>1629.9660000000001</c:v>
                </c:pt>
                <c:pt idx="67">
                  <c:v>1684.5027499999999</c:v>
                </c:pt>
                <c:pt idx="68">
                  <c:v>2051.9223749999996</c:v>
                </c:pt>
                <c:pt idx="69">
                  <c:v>2921.0542499999997</c:v>
                </c:pt>
                <c:pt idx="70">
                  <c:v>3918.4092500000002</c:v>
                </c:pt>
                <c:pt idx="71">
                  <c:v>4506.3737499999997</c:v>
                </c:pt>
                <c:pt idx="72">
                  <c:v>4396.8924999999999</c:v>
                </c:pt>
                <c:pt idx="73">
                  <c:v>3680.5466249999999</c:v>
                </c:pt>
                <c:pt idx="74">
                  <c:v>2942.0415000000003</c:v>
                </c:pt>
                <c:pt idx="75">
                  <c:v>2753.7672499999994</c:v>
                </c:pt>
                <c:pt idx="76">
                  <c:v>3042.2202500000003</c:v>
                </c:pt>
                <c:pt idx="77">
                  <c:v>3333.6757499999999</c:v>
                </c:pt>
                <c:pt idx="78">
                  <c:v>3455.9304999999999</c:v>
                </c:pt>
                <c:pt idx="79">
                  <c:v>3504.4836250000003</c:v>
                </c:pt>
                <c:pt idx="80">
                  <c:v>3594.1303750000002</c:v>
                </c:pt>
                <c:pt idx="81">
                  <c:v>3786.361375</c:v>
                </c:pt>
                <c:pt idx="82">
                  <c:v>3980.692</c:v>
                </c:pt>
                <c:pt idx="83">
                  <c:v>4058.3126250000005</c:v>
                </c:pt>
                <c:pt idx="84">
                  <c:v>3966.2983749999999</c:v>
                </c:pt>
                <c:pt idx="85">
                  <c:v>3691.4704999999999</c:v>
                </c:pt>
                <c:pt idx="86">
                  <c:v>3278.4372499999995</c:v>
                </c:pt>
                <c:pt idx="87">
                  <c:v>2974.8672500000002</c:v>
                </c:pt>
                <c:pt idx="88">
                  <c:v>2834.2228749999995</c:v>
                </c:pt>
                <c:pt idx="89">
                  <c:v>2714.7196250000002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6\_dark_profiles_YA06_DARK-dim" connectionId="2" xr16:uid="{9D0E4515-F8D8-4725-8FA9-66DC64E78D7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6\_light_profiles_YA06_LIGHT-dim" connectionId="4" xr16:uid="{68D27987-9C37-41CE-A862-1856978245A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6\_light_profiles_YA06_LIGHT" connectionId="3" xr16:uid="{E16A85D5-531B-4865-899F-6E936993335A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6\_dark_profiles_YA06_DARK" connectionId="1" xr16:uid="{C739950B-0589-4BE2-A216-F7209C29A39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-1.661</v>
      </c>
      <c r="C3">
        <v>-0.185</v>
      </c>
      <c r="D3">
        <v>0.78900000000000003</v>
      </c>
      <c r="E3">
        <v>2.3780000000000001</v>
      </c>
      <c r="F3">
        <v>-3.109</v>
      </c>
      <c r="K3" t="s">
        <v>0</v>
      </c>
      <c r="L3">
        <v>6.4000000000000001E-2</v>
      </c>
      <c r="M3">
        <v>0.192</v>
      </c>
      <c r="N3">
        <v>-0.70799999999999996</v>
      </c>
      <c r="O3">
        <v>-0.27900000000000003</v>
      </c>
      <c r="P3">
        <v>-0.88300000000000001</v>
      </c>
    </row>
    <row r="4" spans="1:19" x14ac:dyDescent="0.25">
      <c r="A4" t="s">
        <v>1</v>
      </c>
      <c r="B4">
        <v>325.73899999999998</v>
      </c>
      <c r="C4">
        <v>325.50799999999998</v>
      </c>
      <c r="D4">
        <v>326.12599999999998</v>
      </c>
      <c r="E4">
        <v>325.90100000000001</v>
      </c>
      <c r="F4">
        <v>326.13799999999998</v>
      </c>
      <c r="H4" s="2">
        <f>AVERAGE(B4:F4)</f>
        <v>325.88239999999996</v>
      </c>
      <c r="I4" s="2">
        <f>STDEV(B4:F4)/SQRT(COUNT(B4:F4))</f>
        <v>0.11953183676326526</v>
      </c>
      <c r="K4" t="s">
        <v>1</v>
      </c>
      <c r="L4">
        <v>326.02199999999999</v>
      </c>
      <c r="M4">
        <v>326.70699999999999</v>
      </c>
      <c r="N4">
        <v>325.584</v>
      </c>
      <c r="O4">
        <v>325.11700000000002</v>
      </c>
      <c r="P4">
        <v>325.26100000000002</v>
      </c>
      <c r="R4" s="3">
        <f>AVERAGE(L4:P4)</f>
        <v>325.73820000000001</v>
      </c>
      <c r="S4" s="3">
        <f>STDEV(L4:P4)/SQRT(COUNT(L4:P4))</f>
        <v>0.28779357185315446</v>
      </c>
    </row>
    <row r="5" spans="1:19" x14ac:dyDescent="0.25">
      <c r="A5" t="s">
        <v>2</v>
      </c>
      <c r="B5">
        <v>67.061000000000007</v>
      </c>
      <c r="C5">
        <v>67.266000000000005</v>
      </c>
      <c r="D5">
        <v>67.373000000000005</v>
      </c>
      <c r="E5">
        <v>66.507999999999996</v>
      </c>
      <c r="F5">
        <v>66.269000000000005</v>
      </c>
      <c r="H5" s="2">
        <f t="shared" ref="H5:H68" si="0">AVERAGE(B5:F5)</f>
        <v>66.895399999999995</v>
      </c>
      <c r="I5" s="2">
        <f t="shared" ref="I5:I68" si="1">STDEV(B5:F5)/SQRT(COUNT(B5:F5))</f>
        <v>0.21625508086516804</v>
      </c>
      <c r="K5" t="s">
        <v>2</v>
      </c>
      <c r="L5">
        <v>66.489000000000004</v>
      </c>
      <c r="M5">
        <v>67.028999999999996</v>
      </c>
      <c r="N5">
        <v>66.944999999999993</v>
      </c>
      <c r="O5">
        <v>66.653999999999996</v>
      </c>
      <c r="P5">
        <v>66.738</v>
      </c>
      <c r="R5" s="3">
        <f t="shared" ref="R5:R68" si="2">AVERAGE(L5:P5)</f>
        <v>66.770999999999987</v>
      </c>
      <c r="S5" s="3">
        <f t="shared" ref="S5:S68" si="3">STDEV(L5:P5)/SQRT(COUNT(L5:P5))</f>
        <v>9.7760421439351985E-2</v>
      </c>
    </row>
    <row r="6" spans="1:19" x14ac:dyDescent="0.25">
      <c r="A6" t="s">
        <v>3</v>
      </c>
      <c r="B6">
        <v>29.582999999999998</v>
      </c>
      <c r="C6">
        <v>30.131</v>
      </c>
      <c r="D6">
        <v>29.7</v>
      </c>
      <c r="E6">
        <v>29.927</v>
      </c>
      <c r="F6">
        <v>30.911000000000001</v>
      </c>
      <c r="H6" s="2">
        <f t="shared" si="0"/>
        <v>30.050400000000003</v>
      </c>
      <c r="I6" s="2">
        <f t="shared" si="1"/>
        <v>0.23490415066575604</v>
      </c>
      <c r="K6" t="s">
        <v>3</v>
      </c>
      <c r="L6">
        <v>32.043999999999997</v>
      </c>
      <c r="M6">
        <v>30.797999999999998</v>
      </c>
      <c r="N6">
        <v>31.352</v>
      </c>
      <c r="O6">
        <v>31.006</v>
      </c>
      <c r="P6">
        <v>31.204000000000001</v>
      </c>
      <c r="R6" s="3">
        <f t="shared" si="2"/>
        <v>31.280799999999999</v>
      </c>
      <c r="S6" s="3">
        <f t="shared" si="3"/>
        <v>0.21237382136223815</v>
      </c>
    </row>
    <row r="7" spans="1:19" x14ac:dyDescent="0.25">
      <c r="A7">
        <v>-3.75</v>
      </c>
      <c r="B7">
        <v>1406.0740000000001</v>
      </c>
      <c r="C7">
        <v>1279.6559999999999</v>
      </c>
      <c r="D7">
        <v>1462.847</v>
      </c>
      <c r="E7">
        <v>1419.2059999999999</v>
      </c>
      <c r="F7">
        <v>1266.6130000000001</v>
      </c>
      <c r="H7" s="2">
        <f t="shared" si="0"/>
        <v>1366.8792000000001</v>
      </c>
      <c r="I7" s="2">
        <f t="shared" si="1"/>
        <v>39.462224001442181</v>
      </c>
      <c r="K7">
        <v>-3.75</v>
      </c>
      <c r="L7">
        <v>1123.2670000000001</v>
      </c>
      <c r="M7">
        <v>1195.0540000000001</v>
      </c>
      <c r="N7">
        <v>1138.4829999999999</v>
      </c>
      <c r="O7">
        <v>1247.0840000000001</v>
      </c>
      <c r="P7">
        <v>1073.9380000000001</v>
      </c>
      <c r="R7" s="3">
        <f t="shared" si="2"/>
        <v>1155.5652</v>
      </c>
      <c r="S7" s="3">
        <f t="shared" si="3"/>
        <v>29.944140611144611</v>
      </c>
    </row>
    <row r="8" spans="1:19" x14ac:dyDescent="0.25">
      <c r="A8">
        <v>-2.5</v>
      </c>
      <c r="B8">
        <v>1548.4469999999999</v>
      </c>
      <c r="C8">
        <v>1425.37</v>
      </c>
      <c r="D8">
        <v>1643.53</v>
      </c>
      <c r="E8">
        <v>1629.752</v>
      </c>
      <c r="F8">
        <v>1429.865</v>
      </c>
      <c r="H8" s="2">
        <f t="shared" si="0"/>
        <v>1535.3928000000001</v>
      </c>
      <c r="I8" s="2">
        <f t="shared" si="1"/>
        <v>46.908878625906205</v>
      </c>
      <c r="K8">
        <v>-2.5</v>
      </c>
      <c r="L8">
        <v>1276.846</v>
      </c>
      <c r="M8">
        <v>1370.117</v>
      </c>
      <c r="N8">
        <v>1302.336</v>
      </c>
      <c r="O8">
        <v>1427.5820000000001</v>
      </c>
      <c r="P8">
        <v>1192.08</v>
      </c>
      <c r="R8" s="3">
        <f t="shared" si="2"/>
        <v>1313.7922000000001</v>
      </c>
      <c r="S8" s="3">
        <f t="shared" si="3"/>
        <v>40.268304856797755</v>
      </c>
    </row>
    <row r="9" spans="1:19" x14ac:dyDescent="0.25">
      <c r="A9">
        <v>-1.25</v>
      </c>
      <c r="B9">
        <v>2016.7080000000001</v>
      </c>
      <c r="C9">
        <v>1894.5319999999999</v>
      </c>
      <c r="D9">
        <v>2169.3890000000001</v>
      </c>
      <c r="E9">
        <v>2199.7950000000001</v>
      </c>
      <c r="F9">
        <v>1927.0250000000001</v>
      </c>
      <c r="H9" s="2">
        <f t="shared" si="0"/>
        <v>2041.4897999999998</v>
      </c>
      <c r="I9" s="2">
        <f t="shared" si="1"/>
        <v>61.940158515618954</v>
      </c>
      <c r="K9">
        <v>-1.25</v>
      </c>
      <c r="L9">
        <v>1763.4359999999999</v>
      </c>
      <c r="M9">
        <v>1836.079</v>
      </c>
      <c r="N9">
        <v>1806.0350000000001</v>
      </c>
      <c r="O9">
        <v>1890.0709999999999</v>
      </c>
      <c r="P9">
        <v>1595.7750000000001</v>
      </c>
      <c r="R9" s="3">
        <f t="shared" si="2"/>
        <v>1778.2792000000002</v>
      </c>
      <c r="S9" s="3">
        <f t="shared" si="3"/>
        <v>50.068309071108018</v>
      </c>
    </row>
    <row r="10" spans="1:19" x14ac:dyDescent="0.25">
      <c r="A10">
        <v>0</v>
      </c>
      <c r="B10">
        <v>2804.8110000000001</v>
      </c>
      <c r="C10">
        <v>2676.3969999999999</v>
      </c>
      <c r="D10">
        <v>3033.047</v>
      </c>
      <c r="E10">
        <v>3089.0309999999999</v>
      </c>
      <c r="F10">
        <v>2743.5419999999999</v>
      </c>
      <c r="H10" s="2">
        <f t="shared" si="0"/>
        <v>2869.3656000000001</v>
      </c>
      <c r="I10" s="2">
        <f t="shared" si="1"/>
        <v>81.3265774354239</v>
      </c>
      <c r="K10">
        <v>0</v>
      </c>
      <c r="L10">
        <v>2524.748</v>
      </c>
      <c r="M10">
        <v>2626.0520000000001</v>
      </c>
      <c r="N10">
        <v>2557.5929999999998</v>
      </c>
      <c r="O10">
        <v>2681.4090000000001</v>
      </c>
      <c r="P10">
        <v>2248.8209999999999</v>
      </c>
      <c r="R10" s="3">
        <f t="shared" si="2"/>
        <v>2527.7246</v>
      </c>
      <c r="S10" s="3">
        <f t="shared" si="3"/>
        <v>74.824919630160664</v>
      </c>
    </row>
    <row r="11" spans="1:19" x14ac:dyDescent="0.25">
      <c r="A11">
        <v>1.25</v>
      </c>
      <c r="B11">
        <v>3476.761</v>
      </c>
      <c r="C11">
        <v>3395.1979999999999</v>
      </c>
      <c r="D11">
        <v>3708.078</v>
      </c>
      <c r="E11">
        <v>3850.1179999999999</v>
      </c>
      <c r="F11">
        <v>3573.096</v>
      </c>
      <c r="H11" s="2">
        <f t="shared" si="0"/>
        <v>3600.6502</v>
      </c>
      <c r="I11" s="2">
        <f t="shared" si="1"/>
        <v>81.269086911568039</v>
      </c>
      <c r="K11">
        <v>1.25</v>
      </c>
      <c r="L11">
        <v>3229.049</v>
      </c>
      <c r="M11">
        <v>3335.6089999999999</v>
      </c>
      <c r="N11">
        <v>3272</v>
      </c>
      <c r="O11">
        <v>3445.0590000000002</v>
      </c>
      <c r="P11">
        <v>2883.4</v>
      </c>
      <c r="R11" s="3">
        <f t="shared" si="2"/>
        <v>3233.0234</v>
      </c>
      <c r="S11" s="3">
        <f t="shared" si="3"/>
        <v>94.67164148392061</v>
      </c>
    </row>
    <row r="12" spans="1:19" x14ac:dyDescent="0.25">
      <c r="A12">
        <v>2.5</v>
      </c>
      <c r="B12">
        <v>3870.12</v>
      </c>
      <c r="C12">
        <v>3826.0340000000001</v>
      </c>
      <c r="D12">
        <v>4200.1469999999999</v>
      </c>
      <c r="E12">
        <v>4279.5429999999997</v>
      </c>
      <c r="F12">
        <v>4040.6439999999998</v>
      </c>
      <c r="H12" s="2">
        <f t="shared" si="0"/>
        <v>4043.2975999999994</v>
      </c>
      <c r="I12" s="2">
        <f t="shared" si="1"/>
        <v>88.773480815274951</v>
      </c>
      <c r="K12">
        <v>2.5</v>
      </c>
      <c r="L12">
        <v>3660.741</v>
      </c>
      <c r="M12">
        <v>3761.0079999999998</v>
      </c>
      <c r="N12">
        <v>3704.9580000000001</v>
      </c>
      <c r="O12">
        <v>3920.8180000000002</v>
      </c>
      <c r="P12">
        <v>3270.306</v>
      </c>
      <c r="R12" s="3">
        <f t="shared" si="2"/>
        <v>3663.5662000000002</v>
      </c>
      <c r="S12" s="3">
        <f t="shared" si="3"/>
        <v>107.71449316521895</v>
      </c>
    </row>
    <row r="13" spans="1:19" x14ac:dyDescent="0.25">
      <c r="A13">
        <v>3.75</v>
      </c>
      <c r="B13">
        <v>4018.413</v>
      </c>
      <c r="C13">
        <v>4029.9270000000001</v>
      </c>
      <c r="D13">
        <v>4423.74</v>
      </c>
      <c r="E13">
        <v>4522.6390000000001</v>
      </c>
      <c r="F13">
        <v>4255.6289999999999</v>
      </c>
      <c r="H13" s="2">
        <f t="shared" si="0"/>
        <v>4250.0696000000007</v>
      </c>
      <c r="I13" s="2">
        <f t="shared" si="1"/>
        <v>101.64003572392127</v>
      </c>
      <c r="K13">
        <v>3.75</v>
      </c>
      <c r="L13">
        <v>3852.6080000000002</v>
      </c>
      <c r="M13">
        <v>3958.9679999999998</v>
      </c>
      <c r="N13">
        <v>3853.5990000000002</v>
      </c>
      <c r="O13">
        <v>4162.4489999999996</v>
      </c>
      <c r="P13">
        <v>3446.2550000000001</v>
      </c>
      <c r="R13" s="3">
        <f t="shared" si="2"/>
        <v>3854.7758000000003</v>
      </c>
      <c r="S13" s="3">
        <f t="shared" si="3"/>
        <v>116.70778482749117</v>
      </c>
    </row>
    <row r="14" spans="1:19" x14ac:dyDescent="0.25">
      <c r="A14">
        <v>5</v>
      </c>
      <c r="B14">
        <v>4055.5610000000001</v>
      </c>
      <c r="C14">
        <v>4087.509</v>
      </c>
      <c r="D14">
        <v>4539.9049999999997</v>
      </c>
      <c r="E14">
        <v>4583.8320000000003</v>
      </c>
      <c r="F14">
        <v>4326.241</v>
      </c>
      <c r="H14" s="2">
        <f t="shared" si="0"/>
        <v>4318.6096000000007</v>
      </c>
      <c r="I14" s="2">
        <f t="shared" si="1"/>
        <v>109.99428782241374</v>
      </c>
      <c r="K14">
        <v>5</v>
      </c>
      <c r="L14">
        <v>3929.4119999999998</v>
      </c>
      <c r="M14">
        <v>4029.7049999999999</v>
      </c>
      <c r="N14">
        <v>3920.902</v>
      </c>
      <c r="O14">
        <v>4248.2960000000003</v>
      </c>
      <c r="P14">
        <v>3491.3910000000001</v>
      </c>
      <c r="R14" s="3">
        <f t="shared" si="2"/>
        <v>3923.9412000000002</v>
      </c>
      <c r="S14" s="3">
        <f t="shared" si="3"/>
        <v>123.19311254749593</v>
      </c>
    </row>
    <row r="15" spans="1:19" x14ac:dyDescent="0.25">
      <c r="A15">
        <v>6.25</v>
      </c>
      <c r="B15">
        <v>3990.694</v>
      </c>
      <c r="C15">
        <v>4015.116</v>
      </c>
      <c r="D15">
        <v>4551.8980000000001</v>
      </c>
      <c r="E15">
        <v>4539.5129999999999</v>
      </c>
      <c r="F15">
        <v>4305.6959999999999</v>
      </c>
      <c r="H15" s="2">
        <f t="shared" si="0"/>
        <v>4280.5833999999995</v>
      </c>
      <c r="I15" s="2">
        <f t="shared" si="1"/>
        <v>121.61323885646661</v>
      </c>
      <c r="K15">
        <v>6.25</v>
      </c>
      <c r="L15">
        <v>3893.1930000000002</v>
      </c>
      <c r="M15">
        <v>3988.6790000000001</v>
      </c>
      <c r="N15">
        <v>3883.5079999999998</v>
      </c>
      <c r="O15">
        <v>4209.0569999999998</v>
      </c>
      <c r="P15">
        <v>3475.317</v>
      </c>
      <c r="R15" s="3">
        <f t="shared" si="2"/>
        <v>3889.9508000000001</v>
      </c>
      <c r="S15" s="3">
        <f t="shared" si="3"/>
        <v>119.06914671500755</v>
      </c>
    </row>
    <row r="16" spans="1:19" x14ac:dyDescent="0.25">
      <c r="A16">
        <v>7.5</v>
      </c>
      <c r="B16">
        <v>3830.8090000000002</v>
      </c>
      <c r="C16">
        <v>3855.7539999999999</v>
      </c>
      <c r="D16">
        <v>4329.3639999999996</v>
      </c>
      <c r="E16">
        <v>4343.5550000000003</v>
      </c>
      <c r="F16">
        <v>4129.0290000000005</v>
      </c>
      <c r="H16" s="2">
        <f t="shared" si="0"/>
        <v>4097.7021999999997</v>
      </c>
      <c r="I16" s="2">
        <f t="shared" si="1"/>
        <v>110.64878420814209</v>
      </c>
      <c r="K16">
        <v>7.5</v>
      </c>
      <c r="L16">
        <v>3735.6579999999999</v>
      </c>
      <c r="M16">
        <v>3849.3220000000001</v>
      </c>
      <c r="N16">
        <v>3697.8679999999999</v>
      </c>
      <c r="O16">
        <v>4035.9630000000002</v>
      </c>
      <c r="P16">
        <v>3364.8910000000001</v>
      </c>
      <c r="R16" s="3">
        <f t="shared" si="2"/>
        <v>3736.7404000000001</v>
      </c>
      <c r="S16" s="3">
        <f t="shared" si="3"/>
        <v>109.99840734328841</v>
      </c>
    </row>
    <row r="17" spans="1:19" x14ac:dyDescent="0.25">
      <c r="A17">
        <v>8.75</v>
      </c>
      <c r="B17">
        <v>3546.799</v>
      </c>
      <c r="C17">
        <v>3569.1529999999998</v>
      </c>
      <c r="D17">
        <v>3959.8220000000001</v>
      </c>
      <c r="E17">
        <v>3954.607</v>
      </c>
      <c r="F17">
        <v>3814.63</v>
      </c>
      <c r="H17" s="2">
        <f t="shared" si="0"/>
        <v>3769.0021999999999</v>
      </c>
      <c r="I17" s="2">
        <f t="shared" si="1"/>
        <v>90.071415781811751</v>
      </c>
      <c r="K17">
        <v>8.75</v>
      </c>
      <c r="L17">
        <v>3455.127</v>
      </c>
      <c r="M17">
        <v>3519.2139999999999</v>
      </c>
      <c r="N17">
        <v>3378.768</v>
      </c>
      <c r="O17">
        <v>3685.3159999999998</v>
      </c>
      <c r="P17">
        <v>3090.2710000000002</v>
      </c>
      <c r="R17" s="3">
        <f t="shared" si="2"/>
        <v>3425.7392</v>
      </c>
      <c r="S17" s="3">
        <f t="shared" si="3"/>
        <v>97.909780656173396</v>
      </c>
    </row>
    <row r="18" spans="1:19" x14ac:dyDescent="0.25">
      <c r="A18">
        <v>10</v>
      </c>
      <c r="B18">
        <v>3125.0479999999998</v>
      </c>
      <c r="C18">
        <v>3077.2190000000001</v>
      </c>
      <c r="D18">
        <v>3413.1039999999998</v>
      </c>
      <c r="E18">
        <v>3386.194</v>
      </c>
      <c r="F18">
        <v>3336.9589999999998</v>
      </c>
      <c r="H18" s="2">
        <f t="shared" si="0"/>
        <v>3267.7047999999995</v>
      </c>
      <c r="I18" s="2">
        <f t="shared" si="1"/>
        <v>69.502721055653623</v>
      </c>
      <c r="K18">
        <v>10</v>
      </c>
      <c r="L18">
        <v>2971.7220000000002</v>
      </c>
      <c r="M18">
        <v>3003.2620000000002</v>
      </c>
      <c r="N18">
        <v>2954.0740000000001</v>
      </c>
      <c r="O18">
        <v>3198.502</v>
      </c>
      <c r="P18">
        <v>2678.52</v>
      </c>
      <c r="R18" s="3">
        <f t="shared" si="2"/>
        <v>2961.2160000000003</v>
      </c>
      <c r="S18" s="3">
        <f t="shared" si="3"/>
        <v>83.111649161835302</v>
      </c>
    </row>
    <row r="19" spans="1:19" x14ac:dyDescent="0.25">
      <c r="A19">
        <v>11.25</v>
      </c>
      <c r="B19">
        <v>2706.2489999999998</v>
      </c>
      <c r="C19">
        <v>2674.1709999999998</v>
      </c>
      <c r="D19">
        <v>2939.8209999999999</v>
      </c>
      <c r="E19">
        <v>2898.616</v>
      </c>
      <c r="F19">
        <v>2902.7890000000002</v>
      </c>
      <c r="H19" s="2">
        <f t="shared" si="0"/>
        <v>2824.3292000000001</v>
      </c>
      <c r="I19" s="2">
        <f t="shared" si="1"/>
        <v>55.454144748972602</v>
      </c>
      <c r="K19">
        <v>11.25</v>
      </c>
      <c r="L19">
        <v>2571.8310000000001</v>
      </c>
      <c r="M19">
        <v>2593.8150000000001</v>
      </c>
      <c r="N19">
        <v>2569.0819999999999</v>
      </c>
      <c r="O19">
        <v>2767.5210000000002</v>
      </c>
      <c r="P19">
        <v>2320.6210000000001</v>
      </c>
      <c r="R19" s="3">
        <f t="shared" si="2"/>
        <v>2564.5740000000005</v>
      </c>
      <c r="S19" s="3">
        <f t="shared" si="3"/>
        <v>71.284140316061894</v>
      </c>
    </row>
    <row r="20" spans="1:19" x14ac:dyDescent="0.25">
      <c r="A20">
        <v>12.5</v>
      </c>
      <c r="B20">
        <v>2537.848</v>
      </c>
      <c r="C20">
        <v>2529.1419999999998</v>
      </c>
      <c r="D20">
        <v>2747.4349999999999</v>
      </c>
      <c r="E20">
        <v>2715.884</v>
      </c>
      <c r="F20">
        <v>2738.0120000000002</v>
      </c>
      <c r="H20" s="2">
        <f t="shared" si="0"/>
        <v>2653.6642000000002</v>
      </c>
      <c r="I20" s="2">
        <f t="shared" si="1"/>
        <v>49.344699960988756</v>
      </c>
      <c r="K20">
        <v>12.5</v>
      </c>
      <c r="L20">
        <v>2375.91</v>
      </c>
      <c r="M20">
        <v>2423.4760000000001</v>
      </c>
      <c r="N20">
        <v>2377.498</v>
      </c>
      <c r="O20">
        <v>2556.58</v>
      </c>
      <c r="P20">
        <v>2146.9569999999999</v>
      </c>
      <c r="R20" s="3">
        <f t="shared" si="2"/>
        <v>2376.0842000000002</v>
      </c>
      <c r="S20" s="3">
        <f t="shared" si="3"/>
        <v>66.077991601137526</v>
      </c>
    </row>
    <row r="21" spans="1:19" x14ac:dyDescent="0.25">
      <c r="A21">
        <v>13.75</v>
      </c>
      <c r="B21">
        <v>2464.3850000000002</v>
      </c>
      <c r="C21">
        <v>2479.973</v>
      </c>
      <c r="D21">
        <v>2670.4029999999998</v>
      </c>
      <c r="E21">
        <v>2674.5549999999998</v>
      </c>
      <c r="F21">
        <v>2679.82</v>
      </c>
      <c r="H21" s="2">
        <f t="shared" si="0"/>
        <v>2593.8272000000002</v>
      </c>
      <c r="I21" s="2">
        <f t="shared" si="1"/>
        <v>49.746183013775003</v>
      </c>
      <c r="K21">
        <v>13.75</v>
      </c>
      <c r="L21">
        <v>2319.0259999999998</v>
      </c>
      <c r="M21">
        <v>2349.7260000000001</v>
      </c>
      <c r="N21">
        <v>2314.011</v>
      </c>
      <c r="O21">
        <v>2510.1309999999999</v>
      </c>
      <c r="P21">
        <v>2094.875</v>
      </c>
      <c r="R21" s="3">
        <f t="shared" si="2"/>
        <v>2317.5538000000001</v>
      </c>
      <c r="S21" s="3">
        <f t="shared" si="3"/>
        <v>66.22748492385918</v>
      </c>
    </row>
    <row r="22" spans="1:19" x14ac:dyDescent="0.25">
      <c r="A22">
        <v>15</v>
      </c>
      <c r="B22">
        <v>2451.1759999999999</v>
      </c>
      <c r="C22">
        <v>2472.0349999999999</v>
      </c>
      <c r="D22">
        <v>2650.7139999999999</v>
      </c>
      <c r="E22">
        <v>2654.5929999999998</v>
      </c>
      <c r="F22">
        <v>2669.24</v>
      </c>
      <c r="H22" s="2">
        <f t="shared" si="0"/>
        <v>2579.5515999999998</v>
      </c>
      <c r="I22" s="2">
        <f t="shared" si="1"/>
        <v>48.362910341086774</v>
      </c>
      <c r="K22">
        <v>15</v>
      </c>
      <c r="L22">
        <v>2325.8719999999998</v>
      </c>
      <c r="M22">
        <v>2328.002</v>
      </c>
      <c r="N22">
        <v>2299.3200000000002</v>
      </c>
      <c r="O22">
        <v>2515.34</v>
      </c>
      <c r="P22">
        <v>2102.1770000000001</v>
      </c>
      <c r="R22" s="3">
        <f t="shared" si="2"/>
        <v>2314.1421999999998</v>
      </c>
      <c r="S22" s="3">
        <f t="shared" si="3"/>
        <v>65.558821150475225</v>
      </c>
    </row>
    <row r="23" spans="1:19" x14ac:dyDescent="0.25">
      <c r="A23">
        <v>16.25</v>
      </c>
      <c r="B23">
        <v>2465.1869999999999</v>
      </c>
      <c r="C23">
        <v>2483.1660000000002</v>
      </c>
      <c r="D23">
        <v>2652.2269999999999</v>
      </c>
      <c r="E23">
        <v>2640.6950000000002</v>
      </c>
      <c r="F23">
        <v>2662.5349999999999</v>
      </c>
      <c r="H23" s="2">
        <f t="shared" si="0"/>
        <v>2580.7619999999997</v>
      </c>
      <c r="I23" s="2">
        <f t="shared" si="1"/>
        <v>43.742767450173957</v>
      </c>
      <c r="K23">
        <v>16.25</v>
      </c>
      <c r="L23">
        <v>2323.163</v>
      </c>
      <c r="M23">
        <v>2330.424</v>
      </c>
      <c r="N23">
        <v>2293.9430000000002</v>
      </c>
      <c r="O23">
        <v>2494.9699999999998</v>
      </c>
      <c r="P23">
        <v>2098.433</v>
      </c>
      <c r="R23" s="3">
        <f t="shared" si="2"/>
        <v>2308.1866</v>
      </c>
      <c r="S23" s="3">
        <f t="shared" si="3"/>
        <v>63.168934566446474</v>
      </c>
    </row>
    <row r="24" spans="1:19" x14ac:dyDescent="0.25">
      <c r="A24">
        <v>17.5</v>
      </c>
      <c r="B24">
        <v>2465.1030000000001</v>
      </c>
      <c r="C24">
        <v>2486.6469999999999</v>
      </c>
      <c r="D24">
        <v>2655.8240000000001</v>
      </c>
      <c r="E24">
        <v>2644.0529999999999</v>
      </c>
      <c r="F24">
        <v>2669.2629999999999</v>
      </c>
      <c r="H24" s="2">
        <f t="shared" si="0"/>
        <v>2584.1779999999999</v>
      </c>
      <c r="I24" s="2">
        <f t="shared" si="1"/>
        <v>44.524585204131867</v>
      </c>
      <c r="K24">
        <v>17.5</v>
      </c>
      <c r="L24">
        <v>2294.4760000000001</v>
      </c>
      <c r="M24">
        <v>2322.5520000000001</v>
      </c>
      <c r="N24">
        <v>2292.1619999999998</v>
      </c>
      <c r="O24">
        <v>2477.0309999999999</v>
      </c>
      <c r="P24">
        <v>2100.2820000000002</v>
      </c>
      <c r="R24" s="3">
        <f t="shared" si="2"/>
        <v>2297.3006</v>
      </c>
      <c r="S24" s="3">
        <f t="shared" si="3"/>
        <v>59.913004517884069</v>
      </c>
    </row>
    <row r="25" spans="1:19" x14ac:dyDescent="0.25">
      <c r="A25">
        <v>18.75</v>
      </c>
      <c r="B25">
        <v>2470.2370000000001</v>
      </c>
      <c r="C25">
        <v>2498.9630000000002</v>
      </c>
      <c r="D25">
        <v>2660.6410000000001</v>
      </c>
      <c r="E25">
        <v>2662.0839999999998</v>
      </c>
      <c r="F25">
        <v>2686.3249999999998</v>
      </c>
      <c r="H25" s="2">
        <f t="shared" si="0"/>
        <v>2595.65</v>
      </c>
      <c r="I25" s="2">
        <f t="shared" si="1"/>
        <v>45.790860769371811</v>
      </c>
      <c r="K25">
        <v>18.75</v>
      </c>
      <c r="L25">
        <v>2293.509</v>
      </c>
      <c r="M25">
        <v>2346.7910000000002</v>
      </c>
      <c r="N25">
        <v>2305.6439999999998</v>
      </c>
      <c r="O25">
        <v>2490.0590000000002</v>
      </c>
      <c r="P25">
        <v>2095.6509999999998</v>
      </c>
      <c r="R25" s="3">
        <f t="shared" si="2"/>
        <v>2306.3308000000002</v>
      </c>
      <c r="S25" s="3">
        <f t="shared" si="3"/>
        <v>63.223384770510407</v>
      </c>
    </row>
    <row r="26" spans="1:19" x14ac:dyDescent="0.25">
      <c r="A26">
        <v>20</v>
      </c>
      <c r="B26">
        <v>2465.201</v>
      </c>
      <c r="C26">
        <v>2517.04</v>
      </c>
      <c r="D26">
        <v>2669.855</v>
      </c>
      <c r="E26">
        <v>2678.444</v>
      </c>
      <c r="F26">
        <v>2698.6460000000002</v>
      </c>
      <c r="H26" s="2">
        <f t="shared" si="0"/>
        <v>2605.8371999999999</v>
      </c>
      <c r="I26" s="2">
        <f t="shared" si="1"/>
        <v>47.773937957216809</v>
      </c>
      <c r="K26">
        <v>20</v>
      </c>
      <c r="L26">
        <v>2312.8139999999999</v>
      </c>
      <c r="M26">
        <v>2354.6089999999999</v>
      </c>
      <c r="N26">
        <v>2312.8890000000001</v>
      </c>
      <c r="O26">
        <v>2511.6619999999998</v>
      </c>
      <c r="P26">
        <v>2105.6529999999998</v>
      </c>
      <c r="R26" s="3">
        <f t="shared" si="2"/>
        <v>2319.5254</v>
      </c>
      <c r="S26" s="3">
        <f t="shared" si="3"/>
        <v>64.798850385327057</v>
      </c>
    </row>
    <row r="27" spans="1:19" x14ac:dyDescent="0.25">
      <c r="A27">
        <v>21.25</v>
      </c>
      <c r="B27">
        <v>2476.7440000000001</v>
      </c>
      <c r="C27">
        <v>2533.39</v>
      </c>
      <c r="D27">
        <v>2688.2689999999998</v>
      </c>
      <c r="E27">
        <v>2674.9879999999998</v>
      </c>
      <c r="F27">
        <v>2722.33</v>
      </c>
      <c r="H27" s="2">
        <f t="shared" si="0"/>
        <v>2619.1441999999997</v>
      </c>
      <c r="I27" s="2">
        <f t="shared" si="1"/>
        <v>48.049805968806943</v>
      </c>
      <c r="K27">
        <v>21.25</v>
      </c>
      <c r="L27">
        <v>2315.029</v>
      </c>
      <c r="M27">
        <v>2372.0430000000001</v>
      </c>
      <c r="N27">
        <v>2331.529</v>
      </c>
      <c r="O27">
        <v>2541.951</v>
      </c>
      <c r="P27">
        <v>2133.5059999999999</v>
      </c>
      <c r="R27" s="3">
        <f t="shared" si="2"/>
        <v>2338.8116</v>
      </c>
      <c r="S27" s="3">
        <f t="shared" si="3"/>
        <v>65.245298487783799</v>
      </c>
    </row>
    <row r="28" spans="1:19" x14ac:dyDescent="0.25">
      <c r="A28">
        <v>22.5</v>
      </c>
      <c r="B28">
        <v>2483.2040000000002</v>
      </c>
      <c r="C28">
        <v>2534.2559999999999</v>
      </c>
      <c r="D28">
        <v>2699.0430000000001</v>
      </c>
      <c r="E28">
        <v>2683.9789999999998</v>
      </c>
      <c r="F28">
        <v>2710.971</v>
      </c>
      <c r="H28" s="2">
        <f t="shared" si="0"/>
        <v>2622.2905999999998</v>
      </c>
      <c r="I28" s="2">
        <f t="shared" si="1"/>
        <v>47.25239467011167</v>
      </c>
      <c r="K28">
        <v>22.5</v>
      </c>
      <c r="L28">
        <v>2322.0070000000001</v>
      </c>
      <c r="M28">
        <v>2380.2510000000002</v>
      </c>
      <c r="N28">
        <v>2335.027</v>
      </c>
      <c r="O28">
        <v>2562.6370000000002</v>
      </c>
      <c r="P28">
        <v>2144.8380000000002</v>
      </c>
      <c r="R28" s="3">
        <f t="shared" si="2"/>
        <v>2348.9520000000002</v>
      </c>
      <c r="S28" s="3">
        <f t="shared" si="3"/>
        <v>66.791979410704684</v>
      </c>
    </row>
    <row r="29" spans="1:19" x14ac:dyDescent="0.25">
      <c r="A29">
        <v>23.75</v>
      </c>
      <c r="B29">
        <v>2494.6460000000002</v>
      </c>
      <c r="C29">
        <v>2534.837</v>
      </c>
      <c r="D29">
        <v>2698.5360000000001</v>
      </c>
      <c r="E29">
        <v>2705.35</v>
      </c>
      <c r="F29">
        <v>2698.9209999999998</v>
      </c>
      <c r="H29" s="2">
        <f t="shared" si="0"/>
        <v>2626.4580000000001</v>
      </c>
      <c r="I29" s="2">
        <f t="shared" si="1"/>
        <v>46.064565070127337</v>
      </c>
      <c r="K29">
        <v>23.75</v>
      </c>
      <c r="L29">
        <v>2349.1750000000002</v>
      </c>
      <c r="M29">
        <v>2386.2399999999998</v>
      </c>
      <c r="N29">
        <v>2341.991</v>
      </c>
      <c r="O29">
        <v>2571.2800000000002</v>
      </c>
      <c r="P29">
        <v>2158.5450000000001</v>
      </c>
      <c r="R29" s="3">
        <f t="shared" si="2"/>
        <v>2361.4461999999999</v>
      </c>
      <c r="S29" s="3">
        <f t="shared" si="3"/>
        <v>65.704999908226171</v>
      </c>
    </row>
    <row r="30" spans="1:19" x14ac:dyDescent="0.25">
      <c r="A30">
        <v>25</v>
      </c>
      <c r="B30">
        <v>2536.5039999999999</v>
      </c>
      <c r="C30">
        <v>2576.1889999999999</v>
      </c>
      <c r="D30">
        <v>2744.3539999999998</v>
      </c>
      <c r="E30">
        <v>2726.4839999999999</v>
      </c>
      <c r="F30">
        <v>2760.136</v>
      </c>
      <c r="H30" s="2">
        <f t="shared" si="0"/>
        <v>2668.7334000000001</v>
      </c>
      <c r="I30" s="2">
        <f t="shared" si="1"/>
        <v>46.613904807042289</v>
      </c>
      <c r="K30">
        <v>25</v>
      </c>
      <c r="L30">
        <v>2387.9070000000002</v>
      </c>
      <c r="M30">
        <v>2418.7779999999998</v>
      </c>
      <c r="N30">
        <v>2385.6010000000001</v>
      </c>
      <c r="O30">
        <v>2581.297</v>
      </c>
      <c r="P30">
        <v>2179.4490000000001</v>
      </c>
      <c r="R30" s="3">
        <f t="shared" si="2"/>
        <v>2390.6064000000001</v>
      </c>
      <c r="S30" s="3">
        <f t="shared" si="3"/>
        <v>63.943855193130148</v>
      </c>
    </row>
    <row r="31" spans="1:19" x14ac:dyDescent="0.25">
      <c r="A31">
        <v>26.25</v>
      </c>
      <c r="B31">
        <v>2570.009</v>
      </c>
      <c r="C31">
        <v>2624.1010000000001</v>
      </c>
      <c r="D31">
        <v>2785.3969999999999</v>
      </c>
      <c r="E31">
        <v>2746.9450000000002</v>
      </c>
      <c r="F31">
        <v>2807.7220000000002</v>
      </c>
      <c r="H31" s="2">
        <f t="shared" si="0"/>
        <v>2706.8348000000001</v>
      </c>
      <c r="I31" s="2">
        <f t="shared" si="1"/>
        <v>46.650431801217032</v>
      </c>
      <c r="K31">
        <v>26.25</v>
      </c>
      <c r="L31">
        <v>2405.5749999999998</v>
      </c>
      <c r="M31">
        <v>2440.1060000000002</v>
      </c>
      <c r="N31">
        <v>2405.0129999999999</v>
      </c>
      <c r="O31">
        <v>2610.94</v>
      </c>
      <c r="P31">
        <v>2208.3490000000002</v>
      </c>
      <c r="R31" s="3">
        <f t="shared" si="2"/>
        <v>2413.9965999999999</v>
      </c>
      <c r="S31" s="3">
        <f t="shared" si="3"/>
        <v>63.996471532889977</v>
      </c>
    </row>
    <row r="32" spans="1:19" x14ac:dyDescent="0.25">
      <c r="A32">
        <v>27.5</v>
      </c>
      <c r="B32">
        <v>2572.424</v>
      </c>
      <c r="C32">
        <v>2606.91</v>
      </c>
      <c r="D32">
        <v>2796.2930000000001</v>
      </c>
      <c r="E32">
        <v>2758.7759999999998</v>
      </c>
      <c r="F32">
        <v>2803.076</v>
      </c>
      <c r="H32" s="2">
        <f t="shared" si="0"/>
        <v>2707.4957999999997</v>
      </c>
      <c r="I32" s="2">
        <f t="shared" si="1"/>
        <v>48.995954215016589</v>
      </c>
      <c r="K32">
        <v>27.5</v>
      </c>
      <c r="L32">
        <v>2398.2869999999998</v>
      </c>
      <c r="M32">
        <v>2446.5740000000001</v>
      </c>
      <c r="N32">
        <v>2393.8789999999999</v>
      </c>
      <c r="O32">
        <v>2624.5990000000002</v>
      </c>
      <c r="P32">
        <v>2225.6489999999999</v>
      </c>
      <c r="R32" s="3">
        <f t="shared" si="2"/>
        <v>2417.7975999999999</v>
      </c>
      <c r="S32" s="3">
        <f t="shared" si="3"/>
        <v>63.823486139194927</v>
      </c>
    </row>
    <row r="33" spans="1:19" x14ac:dyDescent="0.25">
      <c r="A33">
        <v>28.75</v>
      </c>
      <c r="B33">
        <v>2595.3020000000001</v>
      </c>
      <c r="C33">
        <v>2600.634</v>
      </c>
      <c r="D33">
        <v>2817.7469999999998</v>
      </c>
      <c r="E33">
        <v>2776.3180000000002</v>
      </c>
      <c r="F33">
        <v>2794.623</v>
      </c>
      <c r="H33" s="2">
        <f t="shared" si="0"/>
        <v>2716.9247999999998</v>
      </c>
      <c r="I33" s="2">
        <f t="shared" si="1"/>
        <v>49.012923880748005</v>
      </c>
      <c r="K33">
        <v>28.75</v>
      </c>
      <c r="L33">
        <v>2413.739</v>
      </c>
      <c r="M33">
        <v>2436.1849999999999</v>
      </c>
      <c r="N33">
        <v>2403.0500000000002</v>
      </c>
      <c r="O33">
        <v>2621.2179999999998</v>
      </c>
      <c r="P33">
        <v>2222.3359999999998</v>
      </c>
      <c r="R33" s="3">
        <f t="shared" si="2"/>
        <v>2419.3055999999997</v>
      </c>
      <c r="S33" s="3">
        <f t="shared" si="3"/>
        <v>63.303154071973388</v>
      </c>
    </row>
    <row r="34" spans="1:19" x14ac:dyDescent="0.25">
      <c r="A34">
        <v>30</v>
      </c>
      <c r="B34">
        <v>2622.085</v>
      </c>
      <c r="C34">
        <v>2631.98</v>
      </c>
      <c r="D34">
        <v>2812.471</v>
      </c>
      <c r="E34">
        <v>2814.7220000000002</v>
      </c>
      <c r="F34">
        <v>2812.0819999999999</v>
      </c>
      <c r="H34" s="2">
        <f t="shared" si="0"/>
        <v>2738.6680000000001</v>
      </c>
      <c r="I34" s="2">
        <f t="shared" si="1"/>
        <v>45.604075669834593</v>
      </c>
      <c r="K34">
        <v>30</v>
      </c>
      <c r="L34">
        <v>2445.9490000000001</v>
      </c>
      <c r="M34">
        <v>2453.5189999999998</v>
      </c>
      <c r="N34">
        <v>2444.4279999999999</v>
      </c>
      <c r="O34">
        <v>2638.9670000000001</v>
      </c>
      <c r="P34">
        <v>2245.3090000000002</v>
      </c>
      <c r="R34" s="3">
        <f t="shared" si="2"/>
        <v>2445.6343999999999</v>
      </c>
      <c r="S34" s="3">
        <f t="shared" si="3"/>
        <v>62.278198994190561</v>
      </c>
    </row>
    <row r="35" spans="1:19" x14ac:dyDescent="0.25">
      <c r="A35">
        <v>31.25</v>
      </c>
      <c r="B35">
        <v>2610.2449999999999</v>
      </c>
      <c r="C35">
        <v>2627.373</v>
      </c>
      <c r="D35">
        <v>2808.518</v>
      </c>
      <c r="E35">
        <v>2792.6010000000001</v>
      </c>
      <c r="F35">
        <v>2784.2440000000001</v>
      </c>
      <c r="H35" s="2">
        <f t="shared" si="0"/>
        <v>2724.5962000000004</v>
      </c>
      <c r="I35" s="2">
        <f t="shared" si="1"/>
        <v>43.4476287861605</v>
      </c>
      <c r="K35">
        <v>31.25</v>
      </c>
      <c r="L35">
        <v>2434.663</v>
      </c>
      <c r="M35">
        <v>2452.7429999999999</v>
      </c>
      <c r="N35">
        <v>2453.8969999999999</v>
      </c>
      <c r="O35">
        <v>2636.25</v>
      </c>
      <c r="P35">
        <v>2269.654</v>
      </c>
      <c r="R35" s="3">
        <f t="shared" si="2"/>
        <v>2449.4414000000002</v>
      </c>
      <c r="S35" s="3">
        <f t="shared" si="3"/>
        <v>58.081888860986602</v>
      </c>
    </row>
    <row r="36" spans="1:19" x14ac:dyDescent="0.25">
      <c r="A36">
        <v>32.5</v>
      </c>
      <c r="B36">
        <v>2591.6990000000001</v>
      </c>
      <c r="C36">
        <v>2633.6460000000002</v>
      </c>
      <c r="D36">
        <v>2801.3989999999999</v>
      </c>
      <c r="E36">
        <v>2748.5529999999999</v>
      </c>
      <c r="F36">
        <v>2742.9209999999998</v>
      </c>
      <c r="H36" s="2">
        <f t="shared" si="0"/>
        <v>2703.6436000000003</v>
      </c>
      <c r="I36" s="2">
        <f t="shared" si="1"/>
        <v>39.081289681380717</v>
      </c>
      <c r="K36">
        <v>32.5</v>
      </c>
      <c r="L36">
        <v>2423.5990000000002</v>
      </c>
      <c r="M36">
        <v>2434.6129999999998</v>
      </c>
      <c r="N36">
        <v>2426.357</v>
      </c>
      <c r="O36">
        <v>2612.4009999999998</v>
      </c>
      <c r="P36">
        <v>2266.8130000000001</v>
      </c>
      <c r="R36" s="3">
        <f t="shared" si="2"/>
        <v>2432.7565999999997</v>
      </c>
      <c r="S36" s="3">
        <f t="shared" si="3"/>
        <v>54.743790319633469</v>
      </c>
    </row>
    <row r="37" spans="1:19" x14ac:dyDescent="0.25">
      <c r="A37">
        <v>33.75</v>
      </c>
      <c r="B37">
        <v>2595.2600000000002</v>
      </c>
      <c r="C37">
        <v>2638.2060000000001</v>
      </c>
      <c r="D37">
        <v>2812.527</v>
      </c>
      <c r="E37">
        <v>2741.991</v>
      </c>
      <c r="F37">
        <v>2752.192</v>
      </c>
      <c r="H37" s="2">
        <f t="shared" si="0"/>
        <v>2708.0351999999998</v>
      </c>
      <c r="I37" s="2">
        <f t="shared" si="1"/>
        <v>39.759098653515736</v>
      </c>
      <c r="K37">
        <v>33.75</v>
      </c>
      <c r="L37">
        <v>2422.1689999999999</v>
      </c>
      <c r="M37">
        <v>2435.8620000000001</v>
      </c>
      <c r="N37">
        <v>2413.3130000000001</v>
      </c>
      <c r="O37">
        <v>2602.0129999999999</v>
      </c>
      <c r="P37">
        <v>2254.8139999999999</v>
      </c>
      <c r="R37" s="3">
        <f t="shared" si="2"/>
        <v>2425.6342</v>
      </c>
      <c r="S37" s="3">
        <f t="shared" si="3"/>
        <v>55.026107117803647</v>
      </c>
    </row>
    <row r="38" spans="1:19" x14ac:dyDescent="0.25">
      <c r="A38">
        <v>35</v>
      </c>
      <c r="B38">
        <v>2580.8380000000002</v>
      </c>
      <c r="C38">
        <v>2638.489</v>
      </c>
      <c r="D38">
        <v>2809.4389999999999</v>
      </c>
      <c r="E38">
        <v>2746.393</v>
      </c>
      <c r="F38">
        <v>2744.2710000000002</v>
      </c>
      <c r="H38" s="2">
        <f t="shared" si="0"/>
        <v>2703.886</v>
      </c>
      <c r="I38" s="2">
        <f t="shared" si="1"/>
        <v>41.229120167667858</v>
      </c>
      <c r="K38">
        <v>35</v>
      </c>
      <c r="L38">
        <v>2400.8359999999998</v>
      </c>
      <c r="M38">
        <v>2429.5949999999998</v>
      </c>
      <c r="N38">
        <v>2404.67</v>
      </c>
      <c r="O38">
        <v>2587.5729999999999</v>
      </c>
      <c r="P38">
        <v>2249.761</v>
      </c>
      <c r="R38" s="3">
        <f t="shared" si="2"/>
        <v>2414.4870000000001</v>
      </c>
      <c r="S38" s="3">
        <f t="shared" si="3"/>
        <v>53.667678087467117</v>
      </c>
    </row>
    <row r="39" spans="1:19" x14ac:dyDescent="0.25">
      <c r="A39">
        <v>36.25</v>
      </c>
      <c r="B39">
        <v>2447.7829999999999</v>
      </c>
      <c r="C39">
        <v>2522.9749999999999</v>
      </c>
      <c r="D39">
        <v>2684.8809999999999</v>
      </c>
      <c r="E39">
        <v>2621.4580000000001</v>
      </c>
      <c r="F39">
        <v>2615.027</v>
      </c>
      <c r="H39" s="2">
        <f t="shared" si="0"/>
        <v>2578.4247999999998</v>
      </c>
      <c r="I39" s="2">
        <f t="shared" si="1"/>
        <v>41.633195945543264</v>
      </c>
      <c r="K39">
        <v>36.25</v>
      </c>
      <c r="L39">
        <v>2298.7539999999999</v>
      </c>
      <c r="M39">
        <v>2308.1039999999998</v>
      </c>
      <c r="N39">
        <v>2311.9720000000002</v>
      </c>
      <c r="O39">
        <v>2484.4989999999998</v>
      </c>
      <c r="P39">
        <v>2162.078</v>
      </c>
      <c r="R39" s="3">
        <f t="shared" si="2"/>
        <v>2313.0814</v>
      </c>
      <c r="S39" s="3">
        <f t="shared" si="3"/>
        <v>51.194384492442104</v>
      </c>
    </row>
    <row r="40" spans="1:19" x14ac:dyDescent="0.25">
      <c r="A40">
        <v>37.5</v>
      </c>
      <c r="B40">
        <v>2255.8150000000001</v>
      </c>
      <c r="C40">
        <v>2312.116</v>
      </c>
      <c r="D40">
        <v>2467.6570000000002</v>
      </c>
      <c r="E40">
        <v>2406.3119999999999</v>
      </c>
      <c r="F40">
        <v>2408.21</v>
      </c>
      <c r="H40" s="2">
        <f t="shared" si="0"/>
        <v>2370.0219999999999</v>
      </c>
      <c r="I40" s="2">
        <f t="shared" si="1"/>
        <v>37.884181629012396</v>
      </c>
      <c r="K40">
        <v>37.5</v>
      </c>
      <c r="L40">
        <v>2101.7710000000002</v>
      </c>
      <c r="M40">
        <v>2119.7460000000001</v>
      </c>
      <c r="N40">
        <v>2113.5300000000002</v>
      </c>
      <c r="O40">
        <v>2280.058</v>
      </c>
      <c r="P40">
        <v>1986.5889999999999</v>
      </c>
      <c r="R40" s="3">
        <f t="shared" si="2"/>
        <v>2120.3388</v>
      </c>
      <c r="S40" s="3">
        <f t="shared" si="3"/>
        <v>46.792470662917559</v>
      </c>
    </row>
    <row r="41" spans="1:19" x14ac:dyDescent="0.25">
      <c r="A41">
        <v>38.75</v>
      </c>
      <c r="B41">
        <v>2082.636</v>
      </c>
      <c r="C41">
        <v>2135.5160000000001</v>
      </c>
      <c r="D41">
        <v>2249.0300000000002</v>
      </c>
      <c r="E41">
        <v>2242.2330000000002</v>
      </c>
      <c r="F41">
        <v>2220.39</v>
      </c>
      <c r="H41" s="2">
        <f t="shared" si="0"/>
        <v>2185.9610000000002</v>
      </c>
      <c r="I41" s="2">
        <f t="shared" si="1"/>
        <v>32.825558971630649</v>
      </c>
      <c r="K41">
        <v>38.75</v>
      </c>
      <c r="L41">
        <v>1928.2049999999999</v>
      </c>
      <c r="M41">
        <v>1950.9490000000001</v>
      </c>
      <c r="N41">
        <v>1954.616</v>
      </c>
      <c r="O41">
        <v>2098.4450000000002</v>
      </c>
      <c r="P41">
        <v>1826.8</v>
      </c>
      <c r="R41" s="3">
        <f t="shared" si="2"/>
        <v>1951.8029999999999</v>
      </c>
      <c r="S41" s="3">
        <f t="shared" si="3"/>
        <v>43.413784712922727</v>
      </c>
    </row>
    <row r="42" spans="1:19" x14ac:dyDescent="0.25">
      <c r="A42">
        <v>40</v>
      </c>
      <c r="B42">
        <v>1975.0840000000001</v>
      </c>
      <c r="C42">
        <v>2037.44</v>
      </c>
      <c r="D42">
        <v>2132.2159999999999</v>
      </c>
      <c r="E42">
        <v>2132.6210000000001</v>
      </c>
      <c r="F42">
        <v>2105.7890000000002</v>
      </c>
      <c r="H42" s="2">
        <f t="shared" si="0"/>
        <v>2076.63</v>
      </c>
      <c r="I42" s="2">
        <f t="shared" si="1"/>
        <v>30.759136020051017</v>
      </c>
      <c r="K42">
        <v>40</v>
      </c>
      <c r="L42">
        <v>1831.58</v>
      </c>
      <c r="M42">
        <v>1857.3869999999999</v>
      </c>
      <c r="N42">
        <v>1857.2840000000001</v>
      </c>
      <c r="O42">
        <v>1996.991</v>
      </c>
      <c r="P42">
        <v>1742.08</v>
      </c>
      <c r="R42" s="3">
        <f t="shared" si="2"/>
        <v>1857.0644</v>
      </c>
      <c r="S42" s="3">
        <f t="shared" si="3"/>
        <v>40.896498975584699</v>
      </c>
    </row>
    <row r="43" spans="1:19" x14ac:dyDescent="0.25">
      <c r="A43">
        <v>41.25</v>
      </c>
      <c r="B43">
        <v>1918.4259999999999</v>
      </c>
      <c r="C43">
        <v>1993.52</v>
      </c>
      <c r="D43">
        <v>2083.3850000000002</v>
      </c>
      <c r="E43">
        <v>2069.0219999999999</v>
      </c>
      <c r="F43">
        <v>2067.529</v>
      </c>
      <c r="H43" s="2">
        <f t="shared" si="0"/>
        <v>2026.3763999999999</v>
      </c>
      <c r="I43" s="2">
        <f t="shared" si="1"/>
        <v>31.220983361515085</v>
      </c>
      <c r="K43">
        <v>41.25</v>
      </c>
      <c r="L43">
        <v>1785.078</v>
      </c>
      <c r="M43">
        <v>1822.1369999999999</v>
      </c>
      <c r="N43">
        <v>1812.5440000000001</v>
      </c>
      <c r="O43">
        <v>1939.403</v>
      </c>
      <c r="P43">
        <v>1700.144</v>
      </c>
      <c r="R43" s="3">
        <f t="shared" si="2"/>
        <v>1811.8612000000001</v>
      </c>
      <c r="S43" s="3">
        <f t="shared" si="3"/>
        <v>38.451945078760325</v>
      </c>
    </row>
    <row r="44" spans="1:19" x14ac:dyDescent="0.25">
      <c r="A44">
        <v>42.5</v>
      </c>
      <c r="B44">
        <v>1907.4760000000001</v>
      </c>
      <c r="C44">
        <v>1983.348</v>
      </c>
      <c r="D44">
        <v>2077.8719999999998</v>
      </c>
      <c r="E44">
        <v>2048.681</v>
      </c>
      <c r="F44">
        <v>2065.4380000000001</v>
      </c>
      <c r="H44" s="2">
        <f t="shared" si="0"/>
        <v>2016.5630000000001</v>
      </c>
      <c r="I44" s="2">
        <f t="shared" si="1"/>
        <v>31.766597885200085</v>
      </c>
      <c r="K44">
        <v>42.5</v>
      </c>
      <c r="L44">
        <v>1777.241</v>
      </c>
      <c r="M44">
        <v>1803.9659999999999</v>
      </c>
      <c r="N44">
        <v>1793.1030000000001</v>
      </c>
      <c r="O44">
        <v>1925.0070000000001</v>
      </c>
      <c r="P44">
        <v>1693.78</v>
      </c>
      <c r="R44" s="3">
        <f t="shared" si="2"/>
        <v>1798.6194</v>
      </c>
      <c r="S44" s="3">
        <f t="shared" si="3"/>
        <v>37.068300482487736</v>
      </c>
    </row>
    <row r="45" spans="1:19" x14ac:dyDescent="0.25">
      <c r="A45">
        <v>43.75</v>
      </c>
      <c r="B45">
        <v>1918.47</v>
      </c>
      <c r="C45">
        <v>1981.9359999999999</v>
      </c>
      <c r="D45">
        <v>2090.585</v>
      </c>
      <c r="E45">
        <v>2050.6019999999999</v>
      </c>
      <c r="F45">
        <v>2065.92</v>
      </c>
      <c r="H45" s="2">
        <f t="shared" si="0"/>
        <v>2021.5025999999998</v>
      </c>
      <c r="I45" s="2">
        <f t="shared" si="1"/>
        <v>31.44303658300197</v>
      </c>
      <c r="K45">
        <v>43.75</v>
      </c>
      <c r="L45">
        <v>1781.3040000000001</v>
      </c>
      <c r="M45">
        <v>1790.2860000000001</v>
      </c>
      <c r="N45">
        <v>1785.442</v>
      </c>
      <c r="O45">
        <v>1929.471</v>
      </c>
      <c r="P45">
        <v>1697.489</v>
      </c>
      <c r="R45" s="3">
        <f t="shared" si="2"/>
        <v>1796.7984000000001</v>
      </c>
      <c r="S45" s="3">
        <f t="shared" si="3"/>
        <v>37.333518000049231</v>
      </c>
    </row>
    <row r="46" spans="1:19" x14ac:dyDescent="0.25">
      <c r="A46">
        <v>45</v>
      </c>
      <c r="B46">
        <v>1939.5129999999999</v>
      </c>
      <c r="C46">
        <v>1989.499</v>
      </c>
      <c r="D46">
        <v>2092.8589999999999</v>
      </c>
      <c r="E46">
        <v>2072.2150000000001</v>
      </c>
      <c r="F46">
        <v>2081.5030000000002</v>
      </c>
      <c r="H46" s="2">
        <f t="shared" si="0"/>
        <v>2035.1178</v>
      </c>
      <c r="I46" s="2">
        <f t="shared" si="1"/>
        <v>30.06924333999779</v>
      </c>
      <c r="K46">
        <v>45</v>
      </c>
      <c r="L46">
        <v>1779.7560000000001</v>
      </c>
      <c r="M46">
        <v>1796.925</v>
      </c>
      <c r="N46">
        <v>1783.65</v>
      </c>
      <c r="O46">
        <v>1943.183</v>
      </c>
      <c r="P46">
        <v>1699.884</v>
      </c>
      <c r="R46" s="3">
        <f t="shared" si="2"/>
        <v>1800.6796000000002</v>
      </c>
      <c r="S46" s="3">
        <f t="shared" si="3"/>
        <v>39.502451395577964</v>
      </c>
    </row>
    <row r="47" spans="1:19" x14ac:dyDescent="0.25">
      <c r="A47">
        <v>46.25</v>
      </c>
      <c r="B47">
        <v>1991.1890000000001</v>
      </c>
      <c r="C47">
        <v>2031.856</v>
      </c>
      <c r="D47">
        <v>2121.9789999999998</v>
      </c>
      <c r="E47">
        <v>2116.41</v>
      </c>
      <c r="F47">
        <v>2158.4450000000002</v>
      </c>
      <c r="H47" s="2">
        <f t="shared" si="0"/>
        <v>2083.9757999999997</v>
      </c>
      <c r="I47" s="2">
        <f t="shared" si="1"/>
        <v>31.118921972651933</v>
      </c>
      <c r="K47">
        <v>46.25</v>
      </c>
      <c r="L47">
        <v>1816.37</v>
      </c>
      <c r="M47">
        <v>1825.269</v>
      </c>
      <c r="N47">
        <v>1826.7429999999999</v>
      </c>
      <c r="O47">
        <v>1989.9780000000001</v>
      </c>
      <c r="P47">
        <v>1724.5319999999999</v>
      </c>
      <c r="R47" s="3">
        <f t="shared" si="2"/>
        <v>1836.5783999999999</v>
      </c>
      <c r="S47" s="3">
        <f t="shared" si="3"/>
        <v>42.847899648174149</v>
      </c>
    </row>
    <row r="48" spans="1:19" x14ac:dyDescent="0.25">
      <c r="A48">
        <v>47.5</v>
      </c>
      <c r="B48">
        <v>2086.5329999999999</v>
      </c>
      <c r="C48">
        <v>2128.6439999999998</v>
      </c>
      <c r="D48">
        <v>2202.703</v>
      </c>
      <c r="E48">
        <v>2186.7959999999998</v>
      </c>
      <c r="F48">
        <v>2273.973</v>
      </c>
      <c r="H48" s="2">
        <f t="shared" si="0"/>
        <v>2175.7298000000001</v>
      </c>
      <c r="I48" s="2">
        <f t="shared" si="1"/>
        <v>32.151891343123211</v>
      </c>
      <c r="K48">
        <v>47.5</v>
      </c>
      <c r="L48">
        <v>1908.26</v>
      </c>
      <c r="M48">
        <v>1906.5309999999999</v>
      </c>
      <c r="N48">
        <v>1914.527</v>
      </c>
      <c r="O48">
        <v>2059.9360000000001</v>
      </c>
      <c r="P48">
        <v>1800.4580000000001</v>
      </c>
      <c r="R48" s="3">
        <f t="shared" si="2"/>
        <v>1917.9424000000004</v>
      </c>
      <c r="S48" s="3">
        <f t="shared" si="3"/>
        <v>41.352388420259366</v>
      </c>
    </row>
    <row r="49" spans="1:19" x14ac:dyDescent="0.25">
      <c r="A49">
        <v>48.75</v>
      </c>
      <c r="B49">
        <v>2193.393</v>
      </c>
      <c r="C49">
        <v>2242.7890000000002</v>
      </c>
      <c r="D49">
        <v>2308.6619999999998</v>
      </c>
      <c r="E49">
        <v>2279.7530000000002</v>
      </c>
      <c r="F49">
        <v>2389.4189999999999</v>
      </c>
      <c r="H49" s="2">
        <f t="shared" si="0"/>
        <v>2282.8032000000003</v>
      </c>
      <c r="I49" s="2">
        <f t="shared" si="1"/>
        <v>32.893943312409306</v>
      </c>
      <c r="K49">
        <v>48.75</v>
      </c>
      <c r="L49">
        <v>2012.694</v>
      </c>
      <c r="M49">
        <v>2020.5119999999999</v>
      </c>
      <c r="N49">
        <v>2023.8019999999999</v>
      </c>
      <c r="O49">
        <v>2156.9630000000002</v>
      </c>
      <c r="P49">
        <v>1919.046</v>
      </c>
      <c r="R49" s="3">
        <f t="shared" si="2"/>
        <v>2026.6034</v>
      </c>
      <c r="S49" s="3">
        <f t="shared" si="3"/>
        <v>37.947756199280107</v>
      </c>
    </row>
    <row r="50" spans="1:19" x14ac:dyDescent="0.25">
      <c r="A50">
        <v>50</v>
      </c>
      <c r="B50">
        <v>2284.413</v>
      </c>
      <c r="C50">
        <v>2330.52</v>
      </c>
      <c r="D50">
        <v>2424.9899999999998</v>
      </c>
      <c r="E50">
        <v>2380.5079999999998</v>
      </c>
      <c r="F50">
        <v>2478.335</v>
      </c>
      <c r="H50" s="2">
        <f t="shared" si="0"/>
        <v>2379.7532000000001</v>
      </c>
      <c r="I50" s="2">
        <f t="shared" si="1"/>
        <v>34.116690055455251</v>
      </c>
      <c r="K50">
        <v>50</v>
      </c>
      <c r="L50">
        <v>2085.5340000000001</v>
      </c>
      <c r="M50">
        <v>2110.8150000000001</v>
      </c>
      <c r="N50">
        <v>2106.7759999999998</v>
      </c>
      <c r="O50">
        <v>2241.819</v>
      </c>
      <c r="P50">
        <v>2012.3340000000001</v>
      </c>
      <c r="R50" s="3">
        <f t="shared" si="2"/>
        <v>2111.4556000000002</v>
      </c>
      <c r="S50" s="3">
        <f t="shared" si="3"/>
        <v>37.09039364660341</v>
      </c>
    </row>
    <row r="51" spans="1:19" x14ac:dyDescent="0.25">
      <c r="A51">
        <v>51.25</v>
      </c>
      <c r="B51">
        <v>2338.38</v>
      </c>
      <c r="C51">
        <v>2385.15</v>
      </c>
      <c r="D51">
        <v>2496.0929999999998</v>
      </c>
      <c r="E51">
        <v>2483.2710000000002</v>
      </c>
      <c r="F51">
        <v>2516.078</v>
      </c>
      <c r="H51" s="2">
        <f t="shared" si="0"/>
        <v>2443.7943999999998</v>
      </c>
      <c r="I51" s="2">
        <f t="shared" si="1"/>
        <v>34.691371922424715</v>
      </c>
      <c r="K51">
        <v>51.25</v>
      </c>
      <c r="L51">
        <v>2130.6970000000001</v>
      </c>
      <c r="M51">
        <v>2161.3229999999999</v>
      </c>
      <c r="N51">
        <v>2156.1619999999998</v>
      </c>
      <c r="O51">
        <v>2295.0479999999998</v>
      </c>
      <c r="P51">
        <v>2045.1020000000001</v>
      </c>
      <c r="R51" s="3">
        <f t="shared" si="2"/>
        <v>2157.6664000000001</v>
      </c>
      <c r="S51" s="3">
        <f t="shared" si="3"/>
        <v>40.179242554582771</v>
      </c>
    </row>
    <row r="52" spans="1:19" x14ac:dyDescent="0.25">
      <c r="A52">
        <v>52.5</v>
      </c>
      <c r="B52">
        <v>2369.5219999999999</v>
      </c>
      <c r="C52">
        <v>2428.7550000000001</v>
      </c>
      <c r="D52">
        <v>2529.3710000000001</v>
      </c>
      <c r="E52">
        <v>2533.683</v>
      </c>
      <c r="F52">
        <v>2550.3589999999999</v>
      </c>
      <c r="H52" s="2">
        <f t="shared" si="0"/>
        <v>2482.3380000000002</v>
      </c>
      <c r="I52" s="2">
        <f t="shared" si="1"/>
        <v>35.407524835831154</v>
      </c>
      <c r="K52">
        <v>52.5</v>
      </c>
      <c r="L52">
        <v>2167.2600000000002</v>
      </c>
      <c r="M52">
        <v>2196.808</v>
      </c>
      <c r="N52">
        <v>2177.7289999999998</v>
      </c>
      <c r="O52">
        <v>2327.3229999999999</v>
      </c>
      <c r="P52">
        <v>2058.4549999999999</v>
      </c>
      <c r="R52" s="3">
        <f t="shared" si="2"/>
        <v>2185.5150000000003</v>
      </c>
      <c r="S52" s="3">
        <f t="shared" si="3"/>
        <v>42.880736429077324</v>
      </c>
    </row>
    <row r="53" spans="1:19" x14ac:dyDescent="0.25">
      <c r="A53">
        <v>53.75</v>
      </c>
      <c r="B53">
        <v>2427.0749999999998</v>
      </c>
      <c r="C53">
        <v>2460.9830000000002</v>
      </c>
      <c r="D53">
        <v>2544.049</v>
      </c>
      <c r="E53">
        <v>2497.9639999999999</v>
      </c>
      <c r="F53">
        <v>2636.0909999999999</v>
      </c>
      <c r="H53" s="2">
        <f t="shared" si="0"/>
        <v>2513.2323999999999</v>
      </c>
      <c r="I53" s="2">
        <f t="shared" si="1"/>
        <v>36.352523876066698</v>
      </c>
      <c r="K53">
        <v>53.75</v>
      </c>
      <c r="L53">
        <v>2224.9360000000001</v>
      </c>
      <c r="M53">
        <v>2229.9769999999999</v>
      </c>
      <c r="N53">
        <v>2205.598</v>
      </c>
      <c r="O53">
        <v>2376.3719999999998</v>
      </c>
      <c r="P53">
        <v>2089.0790000000002</v>
      </c>
      <c r="R53" s="3">
        <f t="shared" si="2"/>
        <v>2225.1923999999999</v>
      </c>
      <c r="S53" s="3">
        <f t="shared" si="3"/>
        <v>45.710517260910478</v>
      </c>
    </row>
    <row r="54" spans="1:19" x14ac:dyDescent="0.25">
      <c r="A54">
        <v>55</v>
      </c>
      <c r="B54">
        <v>2423.1669999999999</v>
      </c>
      <c r="C54">
        <v>2452.9160000000002</v>
      </c>
      <c r="D54">
        <v>2524.835</v>
      </c>
      <c r="E54">
        <v>2435.9989999999998</v>
      </c>
      <c r="F54">
        <v>2622.018</v>
      </c>
      <c r="H54" s="2">
        <f t="shared" si="0"/>
        <v>2491.7870000000003</v>
      </c>
      <c r="I54" s="2">
        <f t="shared" si="1"/>
        <v>37.002867219987174</v>
      </c>
      <c r="K54">
        <v>55</v>
      </c>
      <c r="L54">
        <v>2230.663</v>
      </c>
      <c r="M54">
        <v>2216.1010000000001</v>
      </c>
      <c r="N54">
        <v>2178.8760000000002</v>
      </c>
      <c r="O54">
        <v>2379.1379999999999</v>
      </c>
      <c r="P54">
        <v>2076.9679999999998</v>
      </c>
      <c r="R54" s="3">
        <f t="shared" si="2"/>
        <v>2216.3491999999997</v>
      </c>
      <c r="S54" s="3">
        <f t="shared" si="3"/>
        <v>48.752691982494667</v>
      </c>
    </row>
    <row r="55" spans="1:19" x14ac:dyDescent="0.25">
      <c r="A55">
        <v>56.25</v>
      </c>
      <c r="B55">
        <v>2283.5569999999998</v>
      </c>
      <c r="C55">
        <v>2320.335</v>
      </c>
      <c r="D55">
        <v>2386.3240000000001</v>
      </c>
      <c r="E55">
        <v>2304.5650000000001</v>
      </c>
      <c r="F55">
        <v>2482.3009999999999</v>
      </c>
      <c r="H55" s="2">
        <f t="shared" si="0"/>
        <v>2355.4164000000001</v>
      </c>
      <c r="I55" s="2">
        <f t="shared" si="1"/>
        <v>36.079997457871315</v>
      </c>
      <c r="K55">
        <v>56.25</v>
      </c>
      <c r="L55">
        <v>2100.3850000000002</v>
      </c>
      <c r="M55">
        <v>2065.5</v>
      </c>
      <c r="N55">
        <v>2043.508</v>
      </c>
      <c r="O55">
        <v>2215.9830000000002</v>
      </c>
      <c r="P55">
        <v>1964.23</v>
      </c>
      <c r="R55" s="3">
        <f t="shared" si="2"/>
        <v>2077.9211999999998</v>
      </c>
      <c r="S55" s="3">
        <f t="shared" si="3"/>
        <v>41.12780472551389</v>
      </c>
    </row>
    <row r="56" spans="1:19" x14ac:dyDescent="0.25">
      <c r="A56">
        <v>57.5</v>
      </c>
      <c r="B56">
        <v>2093.46</v>
      </c>
      <c r="C56">
        <v>2119.5120000000002</v>
      </c>
      <c r="D56">
        <v>2160.5929999999998</v>
      </c>
      <c r="E56">
        <v>2088.61</v>
      </c>
      <c r="F56">
        <v>2298.3040000000001</v>
      </c>
      <c r="H56" s="2">
        <f t="shared" si="0"/>
        <v>2152.0958000000001</v>
      </c>
      <c r="I56" s="2">
        <f t="shared" si="1"/>
        <v>38.716500371805296</v>
      </c>
      <c r="K56">
        <v>57.5</v>
      </c>
      <c r="L56">
        <v>1910.41</v>
      </c>
      <c r="M56">
        <v>1873.76</v>
      </c>
      <c r="N56">
        <v>1870.0509999999999</v>
      </c>
      <c r="O56">
        <v>2025.0039999999999</v>
      </c>
      <c r="P56">
        <v>1807.9169999999999</v>
      </c>
      <c r="R56" s="3">
        <f t="shared" si="2"/>
        <v>1897.4284</v>
      </c>
      <c r="S56" s="3">
        <f t="shared" si="3"/>
        <v>35.892939119832462</v>
      </c>
    </row>
    <row r="57" spans="1:19" x14ac:dyDescent="0.25">
      <c r="A57">
        <v>58.75</v>
      </c>
      <c r="B57">
        <v>1962.883</v>
      </c>
      <c r="C57">
        <v>1969.35</v>
      </c>
      <c r="D57">
        <v>1980.8789999999999</v>
      </c>
      <c r="E57">
        <v>1910.3789999999999</v>
      </c>
      <c r="F57">
        <v>2171.7240000000002</v>
      </c>
      <c r="H57" s="2">
        <f t="shared" si="0"/>
        <v>1999.0430000000001</v>
      </c>
      <c r="I57" s="2">
        <f t="shared" si="1"/>
        <v>44.832568185416321</v>
      </c>
      <c r="K57">
        <v>58.75</v>
      </c>
      <c r="L57">
        <v>1786.29</v>
      </c>
      <c r="M57">
        <v>1736.6669999999999</v>
      </c>
      <c r="N57">
        <v>1752.3920000000001</v>
      </c>
      <c r="O57">
        <v>1898.8979999999999</v>
      </c>
      <c r="P57">
        <v>1698.5550000000001</v>
      </c>
      <c r="R57" s="3">
        <f t="shared" si="2"/>
        <v>1774.5603999999998</v>
      </c>
      <c r="S57" s="3">
        <f t="shared" si="3"/>
        <v>34.133261520985634</v>
      </c>
    </row>
    <row r="58" spans="1:19" x14ac:dyDescent="0.25">
      <c r="A58">
        <v>60</v>
      </c>
      <c r="B58">
        <v>1867.854</v>
      </c>
      <c r="C58">
        <v>1880.0239999999999</v>
      </c>
      <c r="D58">
        <v>1887.934</v>
      </c>
      <c r="E58">
        <v>1816.2650000000001</v>
      </c>
      <c r="F58">
        <v>2068.7669999999998</v>
      </c>
      <c r="H58" s="2">
        <f t="shared" si="0"/>
        <v>1904.1688000000001</v>
      </c>
      <c r="I58" s="2">
        <f t="shared" si="1"/>
        <v>43.002877982060646</v>
      </c>
      <c r="K58">
        <v>60</v>
      </c>
      <c r="L58">
        <v>1698.4349999999999</v>
      </c>
      <c r="M58">
        <v>1663.489</v>
      </c>
      <c r="N58">
        <v>1681.07</v>
      </c>
      <c r="O58">
        <v>1810.22</v>
      </c>
      <c r="P58">
        <v>1619.376</v>
      </c>
      <c r="R58" s="3">
        <f t="shared" si="2"/>
        <v>1694.518</v>
      </c>
      <c r="S58" s="3">
        <f t="shared" si="3"/>
        <v>31.774410617665286</v>
      </c>
    </row>
    <row r="59" spans="1:19" x14ac:dyDescent="0.25">
      <c r="A59">
        <v>61.25</v>
      </c>
      <c r="B59">
        <v>1799.97</v>
      </c>
      <c r="C59">
        <v>1811.366</v>
      </c>
      <c r="D59">
        <v>1830.864</v>
      </c>
      <c r="E59">
        <v>1739.4290000000001</v>
      </c>
      <c r="F59">
        <v>1980.2049999999999</v>
      </c>
      <c r="H59" s="2">
        <f t="shared" si="0"/>
        <v>1832.3668000000002</v>
      </c>
      <c r="I59" s="2">
        <f t="shared" si="1"/>
        <v>39.991507040120382</v>
      </c>
      <c r="K59">
        <v>61.25</v>
      </c>
      <c r="L59">
        <v>1630.809</v>
      </c>
      <c r="M59">
        <v>1604.0609999999999</v>
      </c>
      <c r="N59">
        <v>1619.009</v>
      </c>
      <c r="O59">
        <v>1730.2180000000001</v>
      </c>
      <c r="P59">
        <v>1558.818</v>
      </c>
      <c r="R59" s="3">
        <f t="shared" si="2"/>
        <v>1628.5830000000001</v>
      </c>
      <c r="S59" s="3">
        <f t="shared" si="3"/>
        <v>28.191109845126725</v>
      </c>
    </row>
    <row r="60" spans="1:19" x14ac:dyDescent="0.25">
      <c r="A60">
        <v>62.5</v>
      </c>
      <c r="B60">
        <v>1750.5509999999999</v>
      </c>
      <c r="C60">
        <v>1756.5730000000001</v>
      </c>
      <c r="D60">
        <v>1767.838</v>
      </c>
      <c r="E60">
        <v>1699.3620000000001</v>
      </c>
      <c r="F60">
        <v>1913.4359999999999</v>
      </c>
      <c r="H60" s="2">
        <f t="shared" si="0"/>
        <v>1777.5520000000001</v>
      </c>
      <c r="I60" s="2">
        <f t="shared" si="1"/>
        <v>35.945564256247231</v>
      </c>
      <c r="K60">
        <v>62.5</v>
      </c>
      <c r="L60">
        <v>1584.078</v>
      </c>
      <c r="M60">
        <v>1560.817</v>
      </c>
      <c r="N60">
        <v>1563.308</v>
      </c>
      <c r="O60">
        <v>1660.904</v>
      </c>
      <c r="P60">
        <v>1503.4839999999999</v>
      </c>
      <c r="R60" s="3">
        <f t="shared" si="2"/>
        <v>1574.5182</v>
      </c>
      <c r="S60" s="3">
        <f t="shared" si="3"/>
        <v>25.409786749203551</v>
      </c>
    </row>
    <row r="61" spans="1:19" x14ac:dyDescent="0.25">
      <c r="A61">
        <v>63.75</v>
      </c>
      <c r="B61">
        <v>1698.2070000000001</v>
      </c>
      <c r="C61">
        <v>1695.059</v>
      </c>
      <c r="D61">
        <v>1728.1210000000001</v>
      </c>
      <c r="E61">
        <v>1679.7329999999999</v>
      </c>
      <c r="F61">
        <v>1850.0730000000001</v>
      </c>
      <c r="H61" s="2">
        <f t="shared" si="0"/>
        <v>1730.2386000000001</v>
      </c>
      <c r="I61" s="2">
        <f t="shared" si="1"/>
        <v>30.967088125298464</v>
      </c>
      <c r="K61">
        <v>63.75</v>
      </c>
      <c r="L61">
        <v>1531.327</v>
      </c>
      <c r="M61">
        <v>1516.394</v>
      </c>
      <c r="N61">
        <v>1528.8979999999999</v>
      </c>
      <c r="O61">
        <v>1609.373</v>
      </c>
      <c r="P61">
        <v>1457.9559999999999</v>
      </c>
      <c r="R61" s="3">
        <f t="shared" si="2"/>
        <v>1528.7896000000001</v>
      </c>
      <c r="S61" s="3">
        <f t="shared" si="3"/>
        <v>24.156970312106626</v>
      </c>
    </row>
    <row r="62" spans="1:19" x14ac:dyDescent="0.25">
      <c r="A62">
        <v>65</v>
      </c>
      <c r="B62">
        <v>1643.8309999999999</v>
      </c>
      <c r="C62">
        <v>1654.7190000000001</v>
      </c>
      <c r="D62">
        <v>1690.7349999999999</v>
      </c>
      <c r="E62">
        <v>1660.7</v>
      </c>
      <c r="F62">
        <v>1790.2070000000001</v>
      </c>
      <c r="H62" s="2">
        <f t="shared" si="0"/>
        <v>1688.0383999999999</v>
      </c>
      <c r="I62" s="2">
        <f t="shared" si="1"/>
        <v>26.699774552606264</v>
      </c>
      <c r="K62">
        <v>65</v>
      </c>
      <c r="L62">
        <v>1489.1510000000001</v>
      </c>
      <c r="M62">
        <v>1473.414</v>
      </c>
      <c r="N62">
        <v>1502.0160000000001</v>
      </c>
      <c r="O62">
        <v>1582.5719999999999</v>
      </c>
      <c r="P62">
        <v>1424.8630000000001</v>
      </c>
      <c r="R62" s="3">
        <f t="shared" si="2"/>
        <v>1494.4032000000002</v>
      </c>
      <c r="S62" s="3">
        <f t="shared" si="3"/>
        <v>25.627781365931749</v>
      </c>
    </row>
    <row r="63" spans="1:19" x14ac:dyDescent="0.25">
      <c r="A63">
        <v>66.25</v>
      </c>
      <c r="B63">
        <v>1596.1010000000001</v>
      </c>
      <c r="C63">
        <v>1632.8340000000001</v>
      </c>
      <c r="D63">
        <v>1662.037</v>
      </c>
      <c r="E63">
        <v>1646.704</v>
      </c>
      <c r="F63">
        <v>1708.115</v>
      </c>
      <c r="H63" s="2">
        <f t="shared" si="0"/>
        <v>1649.1582000000003</v>
      </c>
      <c r="I63" s="2">
        <f t="shared" si="1"/>
        <v>18.343032506649475</v>
      </c>
      <c r="K63">
        <v>66.25</v>
      </c>
      <c r="L63">
        <v>1453.4159999999999</v>
      </c>
      <c r="M63">
        <v>1446.867</v>
      </c>
      <c r="N63">
        <v>1466.7739999999999</v>
      </c>
      <c r="O63">
        <v>1557.925</v>
      </c>
      <c r="P63">
        <v>1410.8679999999999</v>
      </c>
      <c r="R63" s="3">
        <f t="shared" si="2"/>
        <v>1467.17</v>
      </c>
      <c r="S63" s="3">
        <f t="shared" si="3"/>
        <v>24.502985909884536</v>
      </c>
    </row>
    <row r="64" spans="1:19" x14ac:dyDescent="0.25">
      <c r="A64">
        <v>67.5</v>
      </c>
      <c r="B64">
        <v>1559.1089999999999</v>
      </c>
      <c r="C64">
        <v>1609.3430000000001</v>
      </c>
      <c r="D64">
        <v>1642.998</v>
      </c>
      <c r="E64">
        <v>1632.5809999999999</v>
      </c>
      <c r="F64">
        <v>1642.7929999999999</v>
      </c>
      <c r="H64" s="2">
        <f t="shared" si="0"/>
        <v>1617.3648000000001</v>
      </c>
      <c r="I64" s="2">
        <f t="shared" si="1"/>
        <v>15.800750850513404</v>
      </c>
      <c r="K64">
        <v>67.5</v>
      </c>
      <c r="L64">
        <v>1418.9590000000001</v>
      </c>
      <c r="M64">
        <v>1427.9639999999999</v>
      </c>
      <c r="N64">
        <v>1436.085</v>
      </c>
      <c r="O64">
        <v>1527.41</v>
      </c>
      <c r="P64">
        <v>1393.796</v>
      </c>
      <c r="R64" s="3">
        <f t="shared" si="2"/>
        <v>1440.8427999999999</v>
      </c>
      <c r="S64" s="3">
        <f t="shared" si="3"/>
        <v>22.775735288679495</v>
      </c>
    </row>
    <row r="65" spans="1:19" x14ac:dyDescent="0.25">
      <c r="A65">
        <v>68.75</v>
      </c>
      <c r="B65">
        <v>1523.5329999999999</v>
      </c>
      <c r="C65">
        <v>1593.309</v>
      </c>
      <c r="D65">
        <v>1617.8019999999999</v>
      </c>
      <c r="E65">
        <v>1620.1079999999999</v>
      </c>
      <c r="F65">
        <v>1588.1690000000001</v>
      </c>
      <c r="H65" s="2">
        <f t="shared" si="0"/>
        <v>1588.5841999999998</v>
      </c>
      <c r="I65" s="2">
        <f t="shared" si="1"/>
        <v>17.466517327160563</v>
      </c>
      <c r="K65">
        <v>68.75</v>
      </c>
      <c r="L65">
        <v>1397.41</v>
      </c>
      <c r="M65">
        <v>1409.654</v>
      </c>
      <c r="N65">
        <v>1404.2339999999999</v>
      </c>
      <c r="O65">
        <v>1496.0820000000001</v>
      </c>
      <c r="P65">
        <v>1369.011</v>
      </c>
      <c r="R65" s="3">
        <f t="shared" si="2"/>
        <v>1415.2782000000002</v>
      </c>
      <c r="S65" s="3">
        <f t="shared" si="3"/>
        <v>21.380816683185909</v>
      </c>
    </row>
    <row r="66" spans="1:19" x14ac:dyDescent="0.25">
      <c r="A66">
        <v>70</v>
      </c>
      <c r="B66">
        <v>1496.597</v>
      </c>
      <c r="C66">
        <v>1564.29</v>
      </c>
      <c r="D66">
        <v>1596.739</v>
      </c>
      <c r="E66">
        <v>1600.894</v>
      </c>
      <c r="F66">
        <v>1564.0830000000001</v>
      </c>
      <c r="H66" s="2">
        <f t="shared" si="0"/>
        <v>1564.5206000000003</v>
      </c>
      <c r="I66" s="2">
        <f t="shared" si="1"/>
        <v>18.674728422657189</v>
      </c>
      <c r="K66">
        <v>70</v>
      </c>
      <c r="L66">
        <v>1371.5229999999999</v>
      </c>
      <c r="M66">
        <v>1384.537</v>
      </c>
      <c r="N66">
        <v>1382.818</v>
      </c>
      <c r="O66">
        <v>1464.5650000000001</v>
      </c>
      <c r="P66">
        <v>1344.8</v>
      </c>
      <c r="R66" s="3">
        <f t="shared" si="2"/>
        <v>1389.6486</v>
      </c>
      <c r="S66" s="3">
        <f t="shared" si="3"/>
        <v>20.031458805089574</v>
      </c>
    </row>
    <row r="67" spans="1:19" x14ac:dyDescent="0.25">
      <c r="A67">
        <v>71.25</v>
      </c>
      <c r="B67">
        <v>1475.46</v>
      </c>
      <c r="C67">
        <v>1542.0219999999999</v>
      </c>
      <c r="D67">
        <v>1580.943</v>
      </c>
      <c r="E67">
        <v>1578.835</v>
      </c>
      <c r="F67">
        <v>1544.527</v>
      </c>
      <c r="H67" s="2">
        <f t="shared" si="0"/>
        <v>1544.3574000000001</v>
      </c>
      <c r="I67" s="2">
        <f t="shared" si="1"/>
        <v>19.078188610557337</v>
      </c>
      <c r="K67">
        <v>71.25</v>
      </c>
      <c r="L67">
        <v>1350.558</v>
      </c>
      <c r="M67">
        <v>1358.682</v>
      </c>
      <c r="N67">
        <v>1367.4760000000001</v>
      </c>
      <c r="O67">
        <v>1437.6780000000001</v>
      </c>
      <c r="P67">
        <v>1332.2629999999999</v>
      </c>
      <c r="R67" s="3">
        <f t="shared" si="2"/>
        <v>1369.3314</v>
      </c>
      <c r="S67" s="3">
        <f t="shared" si="3"/>
        <v>18.048014831554216</v>
      </c>
    </row>
    <row r="68" spans="1:19" x14ac:dyDescent="0.25">
      <c r="A68">
        <v>72.5</v>
      </c>
      <c r="B68">
        <v>1465.269</v>
      </c>
      <c r="C68">
        <v>1528.615</v>
      </c>
      <c r="D68">
        <v>1567.078</v>
      </c>
      <c r="E68">
        <v>1554.9739999999999</v>
      </c>
      <c r="F68">
        <v>1537.53</v>
      </c>
      <c r="H68" s="2">
        <f t="shared" si="0"/>
        <v>1530.6931999999999</v>
      </c>
      <c r="I68" s="2">
        <f t="shared" si="1"/>
        <v>17.670310714302669</v>
      </c>
      <c r="K68">
        <v>72.5</v>
      </c>
      <c r="L68">
        <v>1333.3209999999999</v>
      </c>
      <c r="M68">
        <v>1344.393</v>
      </c>
      <c r="N68">
        <v>1356.999</v>
      </c>
      <c r="O68">
        <v>1429.2339999999999</v>
      </c>
      <c r="P68">
        <v>1322.4359999999999</v>
      </c>
      <c r="R68" s="3">
        <f t="shared" si="2"/>
        <v>1357.2765999999999</v>
      </c>
      <c r="S68" s="3">
        <f t="shared" si="3"/>
        <v>18.883418394453898</v>
      </c>
    </row>
    <row r="69" spans="1:19" x14ac:dyDescent="0.25">
      <c r="A69">
        <v>73.75</v>
      </c>
      <c r="B69">
        <v>1477.8440000000001</v>
      </c>
      <c r="C69">
        <v>1540.1949999999999</v>
      </c>
      <c r="D69">
        <v>1587.4380000000001</v>
      </c>
      <c r="E69">
        <v>1570.376</v>
      </c>
      <c r="F69">
        <v>1572.1669999999999</v>
      </c>
      <c r="H69" s="2">
        <f t="shared" ref="H69:H96" si="4">AVERAGE(B69:F69)</f>
        <v>1549.604</v>
      </c>
      <c r="I69" s="2">
        <f t="shared" ref="I69:I96" si="5">STDEV(B69:F69)/SQRT(COUNT(B69:F69))</f>
        <v>19.506413547856507</v>
      </c>
      <c r="K69">
        <v>73.75</v>
      </c>
      <c r="L69">
        <v>1359.7670000000001</v>
      </c>
      <c r="M69">
        <v>1362.1959999999999</v>
      </c>
      <c r="N69">
        <v>1372.9110000000001</v>
      </c>
      <c r="O69">
        <v>1441.347</v>
      </c>
      <c r="P69">
        <v>1338.865</v>
      </c>
      <c r="R69" s="3">
        <f t="shared" ref="R69:R96" si="6">AVERAGE(L69:P69)</f>
        <v>1375.0171999999998</v>
      </c>
      <c r="S69" s="3">
        <f t="shared" ref="S69:S96" si="7">STDEV(L69:P69)/SQRT(COUNT(L69:P69))</f>
        <v>17.475714264086601</v>
      </c>
    </row>
    <row r="70" spans="1:19" x14ac:dyDescent="0.25">
      <c r="A70">
        <v>75</v>
      </c>
      <c r="B70">
        <v>1553.038</v>
      </c>
      <c r="C70">
        <v>1620.8209999999999</v>
      </c>
      <c r="D70">
        <v>1679.8689999999999</v>
      </c>
      <c r="E70">
        <v>1647.941</v>
      </c>
      <c r="F70">
        <v>1665.242</v>
      </c>
      <c r="H70" s="2">
        <f t="shared" si="4"/>
        <v>1633.3822</v>
      </c>
      <c r="I70" s="2">
        <f t="shared" si="5"/>
        <v>22.361800359988894</v>
      </c>
      <c r="K70">
        <v>75</v>
      </c>
      <c r="L70">
        <v>1439.6579999999999</v>
      </c>
      <c r="M70">
        <v>1442.2080000000001</v>
      </c>
      <c r="N70">
        <v>1453.6120000000001</v>
      </c>
      <c r="O70">
        <v>1517.528</v>
      </c>
      <c r="P70">
        <v>1420.817</v>
      </c>
      <c r="R70" s="3">
        <f t="shared" si="6"/>
        <v>1454.7646</v>
      </c>
      <c r="S70" s="3">
        <f t="shared" si="7"/>
        <v>16.551268802119072</v>
      </c>
    </row>
    <row r="71" spans="1:19" x14ac:dyDescent="0.25">
      <c r="A71">
        <v>76.25</v>
      </c>
      <c r="B71">
        <v>1667.3710000000001</v>
      </c>
      <c r="C71">
        <v>1746.422</v>
      </c>
      <c r="D71">
        <v>1780.625</v>
      </c>
      <c r="E71">
        <v>1758.664</v>
      </c>
      <c r="F71">
        <v>1755.45</v>
      </c>
      <c r="H71" s="2">
        <f t="shared" si="4"/>
        <v>1741.7063999999998</v>
      </c>
      <c r="I71" s="2">
        <f t="shared" si="5"/>
        <v>19.415319648669175</v>
      </c>
      <c r="K71">
        <v>76.25</v>
      </c>
      <c r="L71">
        <v>1539.8050000000001</v>
      </c>
      <c r="M71">
        <v>1542.3720000000001</v>
      </c>
      <c r="N71">
        <v>1550.5409999999999</v>
      </c>
      <c r="O71">
        <v>1624.0920000000001</v>
      </c>
      <c r="P71">
        <v>1516.076</v>
      </c>
      <c r="R71" s="3">
        <f t="shared" si="6"/>
        <v>1554.5771999999999</v>
      </c>
      <c r="S71" s="3">
        <f t="shared" si="7"/>
        <v>18.300444708804221</v>
      </c>
    </row>
    <row r="72" spans="1:19" x14ac:dyDescent="0.25">
      <c r="A72">
        <v>77.5</v>
      </c>
      <c r="B72">
        <v>1701.9939999999999</v>
      </c>
      <c r="C72">
        <v>1788.6220000000001</v>
      </c>
      <c r="D72">
        <v>1824.884</v>
      </c>
      <c r="E72">
        <v>1793.123</v>
      </c>
      <c r="F72">
        <v>1784.3520000000001</v>
      </c>
      <c r="H72" s="2">
        <f t="shared" si="4"/>
        <v>1778.595</v>
      </c>
      <c r="I72" s="2">
        <f t="shared" si="5"/>
        <v>20.4390940161251</v>
      </c>
      <c r="K72">
        <v>77.5</v>
      </c>
      <c r="L72">
        <v>1566.854</v>
      </c>
      <c r="M72">
        <v>1562.153</v>
      </c>
      <c r="N72">
        <v>1585.5319999999999</v>
      </c>
      <c r="O72">
        <v>1654.4860000000001</v>
      </c>
      <c r="P72">
        <v>1545.1759999999999</v>
      </c>
      <c r="R72" s="3">
        <f t="shared" si="6"/>
        <v>1582.8401999999999</v>
      </c>
      <c r="S72" s="3">
        <f t="shared" si="7"/>
        <v>19.029552334198531</v>
      </c>
    </row>
    <row r="73" spans="1:19" x14ac:dyDescent="0.25">
      <c r="A73">
        <v>78.75</v>
      </c>
      <c r="B73">
        <v>1678.672</v>
      </c>
      <c r="C73">
        <v>1759.7819999999999</v>
      </c>
      <c r="D73">
        <v>1795.2819999999999</v>
      </c>
      <c r="E73">
        <v>1783.828</v>
      </c>
      <c r="F73">
        <v>1776.577</v>
      </c>
      <c r="H73" s="2">
        <f t="shared" si="4"/>
        <v>1758.8281999999999</v>
      </c>
      <c r="I73" s="2">
        <f t="shared" si="5"/>
        <v>20.850438327287019</v>
      </c>
      <c r="K73">
        <v>78.75</v>
      </c>
      <c r="L73">
        <v>1545.9780000000001</v>
      </c>
      <c r="M73">
        <v>1547.0219999999999</v>
      </c>
      <c r="N73">
        <v>1569.884</v>
      </c>
      <c r="O73">
        <v>1632.789</v>
      </c>
      <c r="P73">
        <v>1523.4259999999999</v>
      </c>
      <c r="R73" s="3">
        <f t="shared" si="6"/>
        <v>1563.8198</v>
      </c>
      <c r="S73" s="3">
        <f t="shared" si="7"/>
        <v>18.742571943039199</v>
      </c>
    </row>
    <row r="74" spans="1:19" x14ac:dyDescent="0.25">
      <c r="A74">
        <v>80</v>
      </c>
      <c r="B74">
        <v>1669.0160000000001</v>
      </c>
      <c r="C74">
        <v>1746.354</v>
      </c>
      <c r="D74">
        <v>1778.79</v>
      </c>
      <c r="E74">
        <v>1819.2650000000001</v>
      </c>
      <c r="F74">
        <v>1825.8979999999999</v>
      </c>
      <c r="H74" s="2">
        <f t="shared" si="4"/>
        <v>1767.8646000000001</v>
      </c>
      <c r="I74" s="2">
        <f t="shared" si="5"/>
        <v>28.603315048434489</v>
      </c>
      <c r="K74">
        <v>80</v>
      </c>
      <c r="L74">
        <v>1558.6030000000001</v>
      </c>
      <c r="M74">
        <v>1559.4860000000001</v>
      </c>
      <c r="N74">
        <v>1599.366</v>
      </c>
      <c r="O74">
        <v>1652.002</v>
      </c>
      <c r="P74">
        <v>1535.635</v>
      </c>
      <c r="R74" s="3">
        <f t="shared" si="6"/>
        <v>1581.0184000000002</v>
      </c>
      <c r="S74" s="3">
        <f t="shared" si="7"/>
        <v>20.495186382660666</v>
      </c>
    </row>
    <row r="75" spans="1:19" x14ac:dyDescent="0.25">
      <c r="A75">
        <v>81.25</v>
      </c>
      <c r="B75">
        <v>1892.5540000000001</v>
      </c>
      <c r="C75">
        <v>1922.827</v>
      </c>
      <c r="D75">
        <v>2011.3820000000001</v>
      </c>
      <c r="E75">
        <v>2127.4459999999999</v>
      </c>
      <c r="F75">
        <v>2119.252</v>
      </c>
      <c r="H75" s="2">
        <f t="shared" si="4"/>
        <v>2014.6922000000002</v>
      </c>
      <c r="I75" s="2">
        <f t="shared" si="5"/>
        <v>48.48406103287963</v>
      </c>
      <c r="K75">
        <v>81.25</v>
      </c>
      <c r="L75">
        <v>1864.896</v>
      </c>
      <c r="M75">
        <v>1848.653</v>
      </c>
      <c r="N75">
        <v>1912.9369999999999</v>
      </c>
      <c r="O75">
        <v>1925.902</v>
      </c>
      <c r="P75">
        <v>1802.502</v>
      </c>
      <c r="R75" s="3">
        <f t="shared" si="6"/>
        <v>1870.9779999999998</v>
      </c>
      <c r="S75" s="3">
        <f t="shared" si="7"/>
        <v>22.362426502953568</v>
      </c>
    </row>
    <row r="76" spans="1:19" x14ac:dyDescent="0.25">
      <c r="A76">
        <v>82.5</v>
      </c>
      <c r="B76">
        <v>2572.732</v>
      </c>
      <c r="C76">
        <v>2631.2959999999998</v>
      </c>
      <c r="D76">
        <v>2854.0219999999999</v>
      </c>
      <c r="E76">
        <v>2908.114</v>
      </c>
      <c r="F76">
        <v>2843.4050000000002</v>
      </c>
      <c r="H76" s="2">
        <f t="shared" si="4"/>
        <v>2761.9138000000003</v>
      </c>
      <c r="I76" s="2">
        <f t="shared" si="5"/>
        <v>66.839358836242624</v>
      </c>
      <c r="K76">
        <v>82.5</v>
      </c>
      <c r="L76">
        <v>2709.759</v>
      </c>
      <c r="M76">
        <v>2612.9650000000001</v>
      </c>
      <c r="N76">
        <v>2700.24</v>
      </c>
      <c r="O76">
        <v>2726.4870000000001</v>
      </c>
      <c r="P76">
        <v>2596.0189999999998</v>
      </c>
      <c r="R76" s="3">
        <f t="shared" si="6"/>
        <v>2669.0940000000001</v>
      </c>
      <c r="S76" s="3">
        <f t="shared" si="7"/>
        <v>26.840354185442497</v>
      </c>
    </row>
    <row r="77" spans="1:19" x14ac:dyDescent="0.25">
      <c r="A77">
        <v>83.75</v>
      </c>
      <c r="B77">
        <v>3519.0450000000001</v>
      </c>
      <c r="C77">
        <v>3631.5340000000001</v>
      </c>
      <c r="D77">
        <v>3912.913</v>
      </c>
      <c r="E77">
        <v>3863.9949999999999</v>
      </c>
      <c r="F77">
        <v>3675.7429999999999</v>
      </c>
      <c r="H77" s="2">
        <f t="shared" si="4"/>
        <v>3720.6459999999997</v>
      </c>
      <c r="I77" s="2">
        <f t="shared" si="5"/>
        <v>73.524052610013243</v>
      </c>
      <c r="K77">
        <v>83.75</v>
      </c>
      <c r="L77">
        <v>3601.6489999999999</v>
      </c>
      <c r="M77">
        <v>3446.1959999999999</v>
      </c>
      <c r="N77">
        <v>3596.0929999999998</v>
      </c>
      <c r="O77">
        <v>3665.875</v>
      </c>
      <c r="P77">
        <v>3591.319</v>
      </c>
      <c r="R77" s="3">
        <f t="shared" si="6"/>
        <v>3580.2263999999996</v>
      </c>
      <c r="S77" s="3">
        <f t="shared" si="7"/>
        <v>36.14799674062175</v>
      </c>
    </row>
    <row r="78" spans="1:19" x14ac:dyDescent="0.25">
      <c r="A78">
        <v>85</v>
      </c>
      <c r="B78">
        <v>4198.6000000000004</v>
      </c>
      <c r="C78">
        <v>4434.3410000000003</v>
      </c>
      <c r="D78">
        <v>4561.1170000000002</v>
      </c>
      <c r="E78">
        <v>4411.7</v>
      </c>
      <c r="F78">
        <v>4139.1480000000001</v>
      </c>
      <c r="H78" s="2">
        <f t="shared" si="4"/>
        <v>4348.9812000000002</v>
      </c>
      <c r="I78" s="2">
        <f t="shared" si="5"/>
        <v>78.379212201578028</v>
      </c>
      <c r="K78">
        <v>85</v>
      </c>
      <c r="L78">
        <v>4106.5039999999999</v>
      </c>
      <c r="M78">
        <v>4056.018</v>
      </c>
      <c r="N78">
        <v>4152.1760000000004</v>
      </c>
      <c r="O78">
        <v>4282.7879999999996</v>
      </c>
      <c r="P78">
        <v>4238.3010000000004</v>
      </c>
      <c r="R78" s="3">
        <f t="shared" si="6"/>
        <v>4167.1574000000001</v>
      </c>
      <c r="S78" s="3">
        <f t="shared" si="7"/>
        <v>41.64558259119444</v>
      </c>
    </row>
    <row r="79" spans="1:19" x14ac:dyDescent="0.25">
      <c r="A79">
        <v>86.25</v>
      </c>
      <c r="B79">
        <v>4189.4380000000001</v>
      </c>
      <c r="C79">
        <v>4562.357</v>
      </c>
      <c r="D79">
        <v>4452.2929999999997</v>
      </c>
      <c r="E79">
        <v>4310.1760000000004</v>
      </c>
      <c r="F79">
        <v>3975.9479999999999</v>
      </c>
      <c r="H79" s="2">
        <f t="shared" si="4"/>
        <v>4298.0424000000003</v>
      </c>
      <c r="I79" s="2">
        <f t="shared" si="5"/>
        <v>102.30894336107667</v>
      </c>
      <c r="K79">
        <v>86.25</v>
      </c>
      <c r="L79">
        <v>3972.6559999999999</v>
      </c>
      <c r="M79">
        <v>4035.7440000000001</v>
      </c>
      <c r="N79">
        <v>4078.9279999999999</v>
      </c>
      <c r="O79">
        <v>4270.1970000000001</v>
      </c>
      <c r="P79">
        <v>4250.71</v>
      </c>
      <c r="R79" s="3">
        <f t="shared" si="6"/>
        <v>4121.6469999999999</v>
      </c>
      <c r="S79" s="3">
        <f t="shared" si="7"/>
        <v>59.214405730362621</v>
      </c>
    </row>
    <row r="80" spans="1:19" x14ac:dyDescent="0.25">
      <c r="A80">
        <v>87.5</v>
      </c>
      <c r="B80">
        <v>3607.54</v>
      </c>
      <c r="C80">
        <v>3990.2159999999999</v>
      </c>
      <c r="D80">
        <v>3735.9009999999998</v>
      </c>
      <c r="E80">
        <v>3651.6640000000002</v>
      </c>
      <c r="F80">
        <v>3364.6039999999998</v>
      </c>
      <c r="H80" s="2">
        <f t="shared" si="4"/>
        <v>3669.9849999999997</v>
      </c>
      <c r="I80" s="2">
        <f t="shared" si="5"/>
        <v>101.09040623224342</v>
      </c>
      <c r="K80">
        <v>87.5</v>
      </c>
      <c r="L80">
        <v>3313.0149999999999</v>
      </c>
      <c r="M80">
        <v>3429.5030000000002</v>
      </c>
      <c r="N80">
        <v>3441.634</v>
      </c>
      <c r="O80">
        <v>3613.2049999999999</v>
      </c>
      <c r="P80">
        <v>3680.5590000000002</v>
      </c>
      <c r="R80" s="3">
        <f t="shared" si="6"/>
        <v>3495.5832</v>
      </c>
      <c r="S80" s="3">
        <f t="shared" si="7"/>
        <v>66.580474271666205</v>
      </c>
    </row>
    <row r="81" spans="1:19" x14ac:dyDescent="0.25">
      <c r="A81">
        <v>88.75</v>
      </c>
      <c r="B81">
        <v>2853.17</v>
      </c>
      <c r="C81">
        <v>3213.9859999999999</v>
      </c>
      <c r="D81">
        <v>2987.61</v>
      </c>
      <c r="E81">
        <v>2911.2510000000002</v>
      </c>
      <c r="F81">
        <v>2726.799</v>
      </c>
      <c r="H81" s="2">
        <f t="shared" si="4"/>
        <v>2938.5631999999996</v>
      </c>
      <c r="I81" s="2">
        <f t="shared" si="5"/>
        <v>80.976953087529751</v>
      </c>
      <c r="K81">
        <v>88.75</v>
      </c>
      <c r="L81">
        <v>2643.3310000000001</v>
      </c>
      <c r="M81">
        <v>2730.8429999999998</v>
      </c>
      <c r="N81">
        <v>2745.7860000000001</v>
      </c>
      <c r="O81">
        <v>2903.096</v>
      </c>
      <c r="P81">
        <v>2931.1680000000001</v>
      </c>
      <c r="R81" s="3">
        <f t="shared" si="6"/>
        <v>2790.8447999999999</v>
      </c>
      <c r="S81" s="3">
        <f t="shared" si="7"/>
        <v>54.62680889947719</v>
      </c>
    </row>
    <row r="82" spans="1:19" x14ac:dyDescent="0.25">
      <c r="A82">
        <v>90</v>
      </c>
      <c r="B82">
        <v>2514.058</v>
      </c>
      <c r="C82">
        <v>2740.2640000000001</v>
      </c>
      <c r="D82">
        <v>2704.6819999999998</v>
      </c>
      <c r="E82">
        <v>2600.0340000000001</v>
      </c>
      <c r="F82">
        <v>2440.8150000000001</v>
      </c>
      <c r="H82" s="2">
        <f t="shared" si="4"/>
        <v>2599.9706000000001</v>
      </c>
      <c r="I82" s="2">
        <f t="shared" si="5"/>
        <v>56.2841892733652</v>
      </c>
      <c r="K82">
        <v>90</v>
      </c>
      <c r="L82">
        <v>2431.9609999999998</v>
      </c>
      <c r="M82">
        <v>2450.9349999999999</v>
      </c>
      <c r="N82">
        <v>2484.893</v>
      </c>
      <c r="O82">
        <v>2525.3270000000002</v>
      </c>
      <c r="P82">
        <v>2644.8519999999999</v>
      </c>
      <c r="R82" s="3">
        <f t="shared" si="6"/>
        <v>2507.5936000000002</v>
      </c>
      <c r="S82" s="3">
        <f t="shared" si="7"/>
        <v>37.815437471487762</v>
      </c>
    </row>
    <row r="83" spans="1:19" x14ac:dyDescent="0.25">
      <c r="A83">
        <v>91.25</v>
      </c>
      <c r="B83">
        <v>2636.127</v>
      </c>
      <c r="C83">
        <v>2847.877</v>
      </c>
      <c r="D83">
        <v>2850.6170000000002</v>
      </c>
      <c r="E83">
        <v>2690.0520000000001</v>
      </c>
      <c r="F83">
        <v>2510.5349999999999</v>
      </c>
      <c r="H83" s="2">
        <f t="shared" si="4"/>
        <v>2707.0415999999996</v>
      </c>
      <c r="I83" s="2">
        <f t="shared" si="5"/>
        <v>64.954167003818966</v>
      </c>
      <c r="K83">
        <v>91.25</v>
      </c>
      <c r="L83">
        <v>2628.6689999999999</v>
      </c>
      <c r="M83">
        <v>2589.7170000000001</v>
      </c>
      <c r="N83">
        <v>2663.6260000000002</v>
      </c>
      <c r="O83">
        <v>2646.221</v>
      </c>
      <c r="P83">
        <v>2895.3719999999998</v>
      </c>
      <c r="R83" s="3">
        <f t="shared" si="6"/>
        <v>2684.721</v>
      </c>
      <c r="S83" s="3">
        <f t="shared" si="7"/>
        <v>54.068789308620516</v>
      </c>
    </row>
    <row r="84" spans="1:19" x14ac:dyDescent="0.25">
      <c r="A84">
        <v>92.5</v>
      </c>
      <c r="B84">
        <v>2877.239</v>
      </c>
      <c r="C84">
        <v>3158.3220000000001</v>
      </c>
      <c r="D84">
        <v>3112.9720000000002</v>
      </c>
      <c r="E84">
        <v>2890.57</v>
      </c>
      <c r="F84">
        <v>2734.0520000000001</v>
      </c>
      <c r="H84" s="2">
        <f t="shared" si="4"/>
        <v>2954.6309999999999</v>
      </c>
      <c r="I84" s="2">
        <f t="shared" si="5"/>
        <v>79.155013861409955</v>
      </c>
      <c r="K84">
        <v>92.5</v>
      </c>
      <c r="L84">
        <v>2842.8130000000001</v>
      </c>
      <c r="M84">
        <v>2836.3890000000001</v>
      </c>
      <c r="N84">
        <v>2909.7249999999999</v>
      </c>
      <c r="O84">
        <v>2867.4670000000001</v>
      </c>
      <c r="P84">
        <v>3187.357</v>
      </c>
      <c r="R84" s="3">
        <f t="shared" si="6"/>
        <v>2928.7501999999999</v>
      </c>
      <c r="S84" s="3">
        <f t="shared" si="7"/>
        <v>65.920732494716688</v>
      </c>
    </row>
    <row r="85" spans="1:19" x14ac:dyDescent="0.25">
      <c r="A85">
        <v>93.75</v>
      </c>
      <c r="B85">
        <v>3085.4780000000001</v>
      </c>
      <c r="C85">
        <v>3415.123</v>
      </c>
      <c r="D85">
        <v>3337.8180000000002</v>
      </c>
      <c r="E85">
        <v>3117.1750000000002</v>
      </c>
      <c r="F85">
        <v>3056.4079999999999</v>
      </c>
      <c r="H85" s="2">
        <f t="shared" si="4"/>
        <v>3202.4004</v>
      </c>
      <c r="I85" s="2">
        <f t="shared" si="5"/>
        <v>72.745043894824917</v>
      </c>
      <c r="K85">
        <v>93.75</v>
      </c>
      <c r="L85">
        <v>2961.509</v>
      </c>
      <c r="M85">
        <v>3023.2020000000002</v>
      </c>
      <c r="N85">
        <v>3085.058</v>
      </c>
      <c r="O85">
        <v>3054.2849999999999</v>
      </c>
      <c r="P85">
        <v>3294.8389999999999</v>
      </c>
      <c r="R85" s="3">
        <f t="shared" si="6"/>
        <v>3083.7786000000001</v>
      </c>
      <c r="S85" s="3">
        <f t="shared" si="7"/>
        <v>56.585060442311075</v>
      </c>
    </row>
    <row r="86" spans="1:19" x14ac:dyDescent="0.25">
      <c r="A86">
        <v>95</v>
      </c>
      <c r="B86">
        <v>3313.8409999999999</v>
      </c>
      <c r="C86">
        <v>3569.5590000000002</v>
      </c>
      <c r="D86">
        <v>3583.0720000000001</v>
      </c>
      <c r="E86">
        <v>3465.221</v>
      </c>
      <c r="F86">
        <v>3391.4789999999998</v>
      </c>
      <c r="H86" s="2">
        <f t="shared" si="4"/>
        <v>3464.6343999999999</v>
      </c>
      <c r="I86" s="2">
        <f t="shared" si="5"/>
        <v>51.539956786555479</v>
      </c>
      <c r="K86">
        <v>95</v>
      </c>
      <c r="L86">
        <v>3110.3580000000002</v>
      </c>
      <c r="M86">
        <v>3194.817</v>
      </c>
      <c r="N86">
        <v>3224.2359999999999</v>
      </c>
      <c r="O86">
        <v>3257.799</v>
      </c>
      <c r="P86">
        <v>3257.808</v>
      </c>
      <c r="R86" s="3">
        <f t="shared" si="6"/>
        <v>3209.0036</v>
      </c>
      <c r="S86" s="3">
        <f t="shared" si="7"/>
        <v>27.319499033840241</v>
      </c>
    </row>
    <row r="87" spans="1:19" x14ac:dyDescent="0.25">
      <c r="A87">
        <v>96.25</v>
      </c>
      <c r="B87">
        <v>3579.2179999999998</v>
      </c>
      <c r="C87">
        <v>3722.366</v>
      </c>
      <c r="D87">
        <v>3904.6379999999999</v>
      </c>
      <c r="E87">
        <v>3825.578</v>
      </c>
      <c r="F87">
        <v>3658.9389999999999</v>
      </c>
      <c r="H87" s="2">
        <f t="shared" si="4"/>
        <v>3738.1477999999997</v>
      </c>
      <c r="I87" s="2">
        <f t="shared" si="5"/>
        <v>57.941697897455519</v>
      </c>
      <c r="K87">
        <v>96.25</v>
      </c>
      <c r="L87">
        <v>3272.529</v>
      </c>
      <c r="M87">
        <v>3384.587</v>
      </c>
      <c r="N87">
        <v>3388.654</v>
      </c>
      <c r="O87">
        <v>3500.1289999999999</v>
      </c>
      <c r="P87">
        <v>3293.4189999999999</v>
      </c>
      <c r="R87" s="3">
        <f t="shared" si="6"/>
        <v>3367.8635999999997</v>
      </c>
      <c r="S87" s="3">
        <f t="shared" si="7"/>
        <v>40.519583723922928</v>
      </c>
    </row>
    <row r="88" spans="1:19" x14ac:dyDescent="0.25">
      <c r="A88">
        <v>97.5</v>
      </c>
      <c r="B88">
        <v>3833.864</v>
      </c>
      <c r="C88">
        <v>4016.1779999999999</v>
      </c>
      <c r="D88">
        <v>4215.5780000000004</v>
      </c>
      <c r="E88">
        <v>4156.933</v>
      </c>
      <c r="F88">
        <v>3914.9470000000001</v>
      </c>
      <c r="H88" s="2">
        <f t="shared" si="4"/>
        <v>4027.5</v>
      </c>
      <c r="I88" s="2">
        <f t="shared" si="5"/>
        <v>71.560289812856439</v>
      </c>
      <c r="K88">
        <v>97.5</v>
      </c>
      <c r="L88">
        <v>3474.2159999999999</v>
      </c>
      <c r="M88">
        <v>3629.0070000000001</v>
      </c>
      <c r="N88">
        <v>3618.636</v>
      </c>
      <c r="O88">
        <v>3729.3009999999999</v>
      </c>
      <c r="P88">
        <v>3445.76</v>
      </c>
      <c r="R88" s="3">
        <f t="shared" si="6"/>
        <v>3579.3839999999996</v>
      </c>
      <c r="S88" s="3">
        <f t="shared" si="7"/>
        <v>52.627915654146868</v>
      </c>
    </row>
    <row r="89" spans="1:19" x14ac:dyDescent="0.25">
      <c r="A89">
        <v>98.75</v>
      </c>
      <c r="B89">
        <v>4084.2809999999999</v>
      </c>
      <c r="C89">
        <v>4253.4870000000001</v>
      </c>
      <c r="D89">
        <v>4457.7529999999997</v>
      </c>
      <c r="E89">
        <v>4425.9939999999997</v>
      </c>
      <c r="F89">
        <v>4167.9459999999999</v>
      </c>
      <c r="H89" s="2">
        <f t="shared" si="4"/>
        <v>4277.8922000000002</v>
      </c>
      <c r="I89" s="2">
        <f t="shared" si="5"/>
        <v>72.267948631049379</v>
      </c>
      <c r="K89">
        <v>98.75</v>
      </c>
      <c r="L89">
        <v>3702.84</v>
      </c>
      <c r="M89">
        <v>3813.0189999999998</v>
      </c>
      <c r="N89">
        <v>3840.44</v>
      </c>
      <c r="O89">
        <v>3987.527</v>
      </c>
      <c r="P89">
        <v>3681.47</v>
      </c>
      <c r="R89" s="3">
        <f t="shared" si="6"/>
        <v>3805.0592000000006</v>
      </c>
      <c r="S89" s="3">
        <f t="shared" si="7"/>
        <v>54.923907666334173</v>
      </c>
    </row>
    <row r="90" spans="1:19" x14ac:dyDescent="0.25">
      <c r="A90">
        <v>100</v>
      </c>
      <c r="B90">
        <v>4186.2759999999998</v>
      </c>
      <c r="C90">
        <v>4361.9470000000001</v>
      </c>
      <c r="D90">
        <v>4550.2579999999998</v>
      </c>
      <c r="E90">
        <v>4565.6279999999997</v>
      </c>
      <c r="F90">
        <v>4226.0029999999997</v>
      </c>
      <c r="H90" s="2">
        <f t="shared" si="4"/>
        <v>4378.0223999999998</v>
      </c>
      <c r="I90" s="2">
        <f t="shared" si="5"/>
        <v>79.055664386936868</v>
      </c>
      <c r="K90">
        <v>100</v>
      </c>
      <c r="L90">
        <v>3821.7809999999999</v>
      </c>
      <c r="M90">
        <v>3884.04</v>
      </c>
      <c r="N90">
        <v>3938.9189999999999</v>
      </c>
      <c r="O90">
        <v>4095.0990000000002</v>
      </c>
      <c r="P90">
        <v>3830.8389999999999</v>
      </c>
      <c r="R90" s="3">
        <f t="shared" si="6"/>
        <v>3914.1356000000001</v>
      </c>
      <c r="S90" s="3">
        <f t="shared" si="7"/>
        <v>49.867529469184689</v>
      </c>
    </row>
    <row r="91" spans="1:19" x14ac:dyDescent="0.25">
      <c r="A91">
        <v>101.25</v>
      </c>
      <c r="B91">
        <v>4103.9620000000004</v>
      </c>
      <c r="C91">
        <v>4300.93</v>
      </c>
      <c r="D91">
        <v>4448.9669999999996</v>
      </c>
      <c r="E91">
        <v>4499.5410000000002</v>
      </c>
      <c r="F91">
        <v>4087.37</v>
      </c>
      <c r="H91" s="2">
        <f t="shared" si="4"/>
        <v>4288.1540000000005</v>
      </c>
      <c r="I91" s="2">
        <f t="shared" si="5"/>
        <v>85.132079275088728</v>
      </c>
      <c r="K91">
        <v>101.25</v>
      </c>
      <c r="L91">
        <v>3789.1509999999998</v>
      </c>
      <c r="M91">
        <v>3803.6619999999998</v>
      </c>
      <c r="N91">
        <v>3863.4589999999998</v>
      </c>
      <c r="O91">
        <v>4019.1280000000002</v>
      </c>
      <c r="P91">
        <v>3800.6329999999998</v>
      </c>
      <c r="R91" s="3">
        <f t="shared" si="6"/>
        <v>3855.2066000000004</v>
      </c>
      <c r="S91" s="3">
        <f t="shared" si="7"/>
        <v>42.974872531050117</v>
      </c>
    </row>
    <row r="92" spans="1:19" x14ac:dyDescent="0.25">
      <c r="A92">
        <v>102.5</v>
      </c>
      <c r="B92">
        <v>3864.8580000000002</v>
      </c>
      <c r="C92">
        <v>4070.3319999999999</v>
      </c>
      <c r="D92">
        <v>4189.6419999999998</v>
      </c>
      <c r="E92">
        <v>4237.6170000000002</v>
      </c>
      <c r="F92">
        <v>3805.7420000000002</v>
      </c>
      <c r="H92" s="2">
        <f t="shared" si="4"/>
        <v>4033.6381999999999</v>
      </c>
      <c r="I92" s="2">
        <f t="shared" si="5"/>
        <v>85.940213319725899</v>
      </c>
      <c r="K92">
        <v>102.5</v>
      </c>
      <c r="L92">
        <v>3626.0830000000001</v>
      </c>
      <c r="M92">
        <v>3566.846</v>
      </c>
      <c r="N92">
        <v>3641.5439999999999</v>
      </c>
      <c r="O92">
        <v>3777.8739999999998</v>
      </c>
      <c r="P92">
        <v>3613.3310000000001</v>
      </c>
      <c r="R92" s="3">
        <f t="shared" si="6"/>
        <v>3645.1356000000001</v>
      </c>
      <c r="S92" s="3">
        <f t="shared" si="7"/>
        <v>35.451500702509009</v>
      </c>
    </row>
    <row r="93" spans="1:19" x14ac:dyDescent="0.25">
      <c r="A93">
        <v>103.75</v>
      </c>
      <c r="B93">
        <v>3461.5259999999998</v>
      </c>
      <c r="C93">
        <v>3636.8649999999998</v>
      </c>
      <c r="D93">
        <v>3710.9789999999998</v>
      </c>
      <c r="E93">
        <v>3777.72</v>
      </c>
      <c r="F93">
        <v>3367.165</v>
      </c>
      <c r="H93" s="2">
        <f t="shared" si="4"/>
        <v>3590.8509999999997</v>
      </c>
      <c r="I93" s="2">
        <f t="shared" si="5"/>
        <v>76.885769152034868</v>
      </c>
      <c r="K93">
        <v>103.75</v>
      </c>
      <c r="L93">
        <v>3251.7069999999999</v>
      </c>
      <c r="M93">
        <v>3142.3879999999999</v>
      </c>
      <c r="N93">
        <v>3264.1019999999999</v>
      </c>
      <c r="O93">
        <v>3336.8020000000001</v>
      </c>
      <c r="P93">
        <v>3287.67</v>
      </c>
      <c r="R93" s="3">
        <f t="shared" si="6"/>
        <v>3256.5338000000002</v>
      </c>
      <c r="S93" s="3">
        <f t="shared" si="7"/>
        <v>32.033019049724331</v>
      </c>
    </row>
    <row r="94" spans="1:19" x14ac:dyDescent="0.25">
      <c r="A94">
        <v>105</v>
      </c>
      <c r="B94">
        <v>3090.5479999999998</v>
      </c>
      <c r="C94">
        <v>3253.6239999999998</v>
      </c>
      <c r="D94">
        <v>3314.2359999999999</v>
      </c>
      <c r="E94">
        <v>3357.8939999999998</v>
      </c>
      <c r="F94">
        <v>3002.221</v>
      </c>
      <c r="H94" s="2">
        <f t="shared" si="4"/>
        <v>3203.7046</v>
      </c>
      <c r="I94" s="2">
        <f t="shared" si="5"/>
        <v>67.780367787140221</v>
      </c>
      <c r="K94">
        <v>105</v>
      </c>
      <c r="L94">
        <v>2879.3710000000001</v>
      </c>
      <c r="M94">
        <v>2777.6849999999999</v>
      </c>
      <c r="N94">
        <v>2933.5610000000001</v>
      </c>
      <c r="O94">
        <v>2935.462</v>
      </c>
      <c r="P94">
        <v>2952.0070000000001</v>
      </c>
      <c r="R94" s="3">
        <f t="shared" si="6"/>
        <v>2895.6171999999997</v>
      </c>
      <c r="S94" s="3">
        <f t="shared" si="7"/>
        <v>31.921068591762424</v>
      </c>
    </row>
    <row r="95" spans="1:19" x14ac:dyDescent="0.25">
      <c r="A95">
        <v>106.25</v>
      </c>
      <c r="B95">
        <v>2913.8359999999998</v>
      </c>
      <c r="C95">
        <v>3093.384</v>
      </c>
      <c r="D95">
        <v>3139.556</v>
      </c>
      <c r="E95">
        <v>3145.6039999999998</v>
      </c>
      <c r="F95">
        <v>2841.413</v>
      </c>
      <c r="H95" s="2">
        <f t="shared" si="4"/>
        <v>3026.7586000000001</v>
      </c>
      <c r="I95" s="2">
        <f t="shared" si="5"/>
        <v>62.606282233973936</v>
      </c>
      <c r="K95">
        <v>106.25</v>
      </c>
      <c r="L95">
        <v>2699.701</v>
      </c>
      <c r="M95">
        <v>2614.268</v>
      </c>
      <c r="N95">
        <v>2758.2220000000002</v>
      </c>
      <c r="O95">
        <v>2739.2730000000001</v>
      </c>
      <c r="P95">
        <v>2774.163</v>
      </c>
      <c r="R95" s="3">
        <f t="shared" si="6"/>
        <v>2717.1253999999999</v>
      </c>
      <c r="S95" s="3">
        <f t="shared" si="7"/>
        <v>28.562203154868861</v>
      </c>
    </row>
    <row r="96" spans="1:19" x14ac:dyDescent="0.25">
      <c r="A96">
        <v>107.5</v>
      </c>
      <c r="B96">
        <v>2802.0740000000001</v>
      </c>
      <c r="C96">
        <v>2969.64</v>
      </c>
      <c r="D96">
        <v>2980.26</v>
      </c>
      <c r="E96">
        <v>2985.893</v>
      </c>
      <c r="F96">
        <v>2717.7220000000002</v>
      </c>
      <c r="H96" s="2">
        <f t="shared" si="4"/>
        <v>2891.1178</v>
      </c>
      <c r="I96" s="2">
        <f t="shared" si="5"/>
        <v>55.267218142765216</v>
      </c>
      <c r="K96">
        <v>107.5</v>
      </c>
      <c r="L96">
        <v>2597.297</v>
      </c>
      <c r="M96">
        <v>2493.123</v>
      </c>
      <c r="N96">
        <v>2623.4520000000002</v>
      </c>
      <c r="O96">
        <v>2602.58</v>
      </c>
      <c r="P96">
        <v>2657.7260000000001</v>
      </c>
      <c r="R96" s="3">
        <f t="shared" si="6"/>
        <v>2594.8356000000003</v>
      </c>
      <c r="S96" s="3">
        <f t="shared" si="7"/>
        <v>27.555024933031738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tabSelected="1"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6" width="7.85546875" style="7" bestFit="1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8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9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2.8639999999999999</v>
      </c>
      <c r="C3" s="7">
        <v>-4.7E-2</v>
      </c>
      <c r="D3" s="7">
        <v>0.67600000000000005</v>
      </c>
      <c r="E3" s="7">
        <v>0.76200000000000001</v>
      </c>
      <c r="F3" s="7">
        <v>0.749</v>
      </c>
      <c r="G3" s="7">
        <v>0.56200000000000006</v>
      </c>
      <c r="H3" s="7">
        <v>0.51100000000000001</v>
      </c>
      <c r="I3" s="7">
        <v>1.4039999999999999</v>
      </c>
      <c r="J3" s="7">
        <v>1.462</v>
      </c>
      <c r="K3" s="7">
        <v>-2.4670000000000001</v>
      </c>
      <c r="L3" s="7">
        <v>-3.8090000000000002</v>
      </c>
      <c r="M3" s="7">
        <v>-4.6360000000000001</v>
      </c>
      <c r="N3" s="7">
        <v>-1.9810000000000001</v>
      </c>
      <c r="O3" s="7">
        <v>3.1680000000000001</v>
      </c>
      <c r="P3" s="7">
        <v>-2.427</v>
      </c>
      <c r="U3" s="7" t="s">
        <v>0</v>
      </c>
      <c r="V3" s="7">
        <v>1.488</v>
      </c>
      <c r="W3" s="7">
        <v>-0.308</v>
      </c>
      <c r="X3" s="7">
        <v>7.1999999999999995E-2</v>
      </c>
      <c r="Y3" s="7">
        <v>1.2090000000000001</v>
      </c>
      <c r="Z3" s="7">
        <v>0.182</v>
      </c>
      <c r="AA3" s="7">
        <v>0.28999999999999998</v>
      </c>
      <c r="AB3" s="7">
        <v>0.748</v>
      </c>
      <c r="AC3" s="7">
        <v>-0.32300000000000001</v>
      </c>
      <c r="AD3" s="7">
        <v>0.46400000000000002</v>
      </c>
      <c r="AE3" s="7">
        <v>1.216</v>
      </c>
      <c r="AF3" s="7">
        <v>-1.5760000000000001</v>
      </c>
      <c r="AG3" s="7">
        <v>-1.1950000000000001</v>
      </c>
      <c r="AH3" s="7">
        <v>-0.84</v>
      </c>
      <c r="AI3" s="7">
        <v>-1.2170000000000001</v>
      </c>
      <c r="AJ3" s="7">
        <v>-1.83</v>
      </c>
    </row>
    <row r="4" spans="1:39" x14ac:dyDescent="0.2">
      <c r="A4" s="7" t="s">
        <v>1</v>
      </c>
      <c r="B4" s="7">
        <v>326.04899999999998</v>
      </c>
      <c r="C4" s="7">
        <v>326.56700000000001</v>
      </c>
      <c r="D4" s="7">
        <v>326.84500000000003</v>
      </c>
      <c r="E4" s="7">
        <v>326.12799999999999</v>
      </c>
      <c r="F4" s="7">
        <v>325.98899999999998</v>
      </c>
      <c r="G4" s="7">
        <v>326.41000000000003</v>
      </c>
      <c r="H4" s="7">
        <v>325.04399999999998</v>
      </c>
      <c r="I4" s="7">
        <v>326.57400000000001</v>
      </c>
      <c r="J4" s="7">
        <v>326.74700000000001</v>
      </c>
      <c r="K4" s="7">
        <v>324.76799999999997</v>
      </c>
      <c r="L4" s="7">
        <v>326.89299999999997</v>
      </c>
      <c r="M4" s="7">
        <v>327.16300000000001</v>
      </c>
      <c r="N4" s="7">
        <v>325.00900000000001</v>
      </c>
      <c r="O4" s="7">
        <v>325.661</v>
      </c>
      <c r="P4" s="7">
        <v>327.43799999999999</v>
      </c>
      <c r="R4" s="5">
        <f>AVERAGE(B4:P4)</f>
        <v>326.21899999999999</v>
      </c>
      <c r="S4" s="5">
        <f>STDEV(B4:P4)/SQRT(COUNT(B4:P4))</f>
        <v>0.20859180918037862</v>
      </c>
      <c r="U4" s="7" t="s">
        <v>1</v>
      </c>
      <c r="V4" s="7">
        <v>326.70299999999997</v>
      </c>
      <c r="W4" s="7">
        <v>325.42200000000003</v>
      </c>
      <c r="X4" s="7">
        <v>326.72399999999999</v>
      </c>
      <c r="Y4" s="7">
        <v>325.88299999999998</v>
      </c>
      <c r="Z4" s="7">
        <v>325.95299999999997</v>
      </c>
      <c r="AA4" s="7">
        <v>326.03800000000001</v>
      </c>
      <c r="AB4" s="7">
        <v>326.26100000000002</v>
      </c>
      <c r="AC4" s="7">
        <v>326.238</v>
      </c>
      <c r="AD4" s="7">
        <v>326.39999999999998</v>
      </c>
      <c r="AE4" s="7">
        <v>327.32900000000001</v>
      </c>
      <c r="AF4" s="7">
        <v>327.036</v>
      </c>
      <c r="AG4" s="7">
        <v>326.89800000000002</v>
      </c>
      <c r="AH4" s="7">
        <v>325.76499999999999</v>
      </c>
      <c r="AI4" s="7">
        <v>325.92</v>
      </c>
      <c r="AJ4" s="7">
        <v>325.68599999999998</v>
      </c>
      <c r="AL4" s="6">
        <f>AVERAGE(AC4:AJ4)</f>
        <v>326.40899999999999</v>
      </c>
      <c r="AM4" s="6">
        <f>STDEV(AC4:AJ4)/SQRT(COUNT(AC4:AJ4))</f>
        <v>0.21894870566935767</v>
      </c>
    </row>
    <row r="5" spans="1:39" x14ac:dyDescent="0.2">
      <c r="A5" s="7" t="s">
        <v>2</v>
      </c>
      <c r="B5" s="7">
        <v>69.173000000000002</v>
      </c>
      <c r="C5" s="7">
        <v>68.825000000000003</v>
      </c>
      <c r="D5" s="7">
        <v>68.781000000000006</v>
      </c>
      <c r="E5" s="7">
        <v>68.478999999999999</v>
      </c>
      <c r="F5" s="7">
        <v>68.814999999999998</v>
      </c>
      <c r="G5" s="7">
        <v>68.662000000000006</v>
      </c>
      <c r="H5" s="7">
        <v>68.332999999999998</v>
      </c>
      <c r="I5" s="7">
        <v>67.986000000000004</v>
      </c>
      <c r="J5" s="7">
        <v>68.28</v>
      </c>
      <c r="K5" s="7">
        <v>68.605000000000004</v>
      </c>
      <c r="L5" s="7">
        <v>67.897999999999996</v>
      </c>
      <c r="M5" s="7">
        <v>68.629000000000005</v>
      </c>
      <c r="N5" s="7">
        <v>67.918999999999997</v>
      </c>
      <c r="O5" s="7">
        <v>68.924999999999997</v>
      </c>
      <c r="P5" s="7">
        <v>69.396000000000001</v>
      </c>
      <c r="R5" s="5">
        <f t="shared" ref="R5:R68" si="0">AVERAGE(B5:P5)</f>
        <v>68.580399999999997</v>
      </c>
      <c r="S5" s="5">
        <f t="shared" ref="S5:S68" si="1">STDEV(B5:P5)/SQRT(COUNT(B5:P5))</f>
        <v>0.11376708872160932</v>
      </c>
      <c r="U5" s="7" t="s">
        <v>2</v>
      </c>
      <c r="V5" s="7">
        <v>68.546000000000006</v>
      </c>
      <c r="W5" s="7">
        <v>68.585999999999999</v>
      </c>
      <c r="X5" s="7">
        <v>68.066999999999993</v>
      </c>
      <c r="Y5" s="7">
        <v>68.843000000000004</v>
      </c>
      <c r="Z5" s="7">
        <v>68.474999999999994</v>
      </c>
      <c r="AA5" s="7">
        <v>68.924000000000007</v>
      </c>
      <c r="AB5" s="7">
        <v>68.632999999999996</v>
      </c>
      <c r="AC5" s="7">
        <v>68.335999999999999</v>
      </c>
      <c r="AD5" s="7">
        <v>68.477999999999994</v>
      </c>
      <c r="AE5" s="7">
        <v>68.611999999999995</v>
      </c>
      <c r="AF5" s="7">
        <v>68.762</v>
      </c>
      <c r="AG5" s="7">
        <v>68.225999999999999</v>
      </c>
      <c r="AH5" s="7">
        <v>67.814999999999998</v>
      </c>
      <c r="AI5" s="7">
        <v>68.349000000000004</v>
      </c>
      <c r="AJ5" s="7">
        <v>67.668000000000006</v>
      </c>
      <c r="AL5" s="6">
        <f t="shared" ref="AL5:AL68" si="2">AVERAGE(AC5:AJ5)</f>
        <v>68.280749999999998</v>
      </c>
      <c r="AM5" s="6">
        <f t="shared" ref="AM5:AM68" si="3">STDEV(AC5:AJ5)/SQRT(COUNT(AC5:AJ5))</f>
        <v>0.13251209513528442</v>
      </c>
    </row>
    <row r="6" spans="1:39" x14ac:dyDescent="0.2">
      <c r="A6" s="7" t="s">
        <v>3</v>
      </c>
      <c r="B6" s="7">
        <v>30.89</v>
      </c>
      <c r="C6" s="7">
        <v>30.934000000000001</v>
      </c>
      <c r="D6" s="7">
        <v>30.798999999999999</v>
      </c>
      <c r="E6" s="7">
        <v>30.785</v>
      </c>
      <c r="F6" s="7">
        <v>30.664999999999999</v>
      </c>
      <c r="G6" s="7">
        <v>31.853000000000002</v>
      </c>
      <c r="H6" s="7">
        <v>31.088000000000001</v>
      </c>
      <c r="I6" s="7">
        <v>31.222000000000001</v>
      </c>
      <c r="J6" s="7">
        <v>30.562000000000001</v>
      </c>
      <c r="K6" s="7">
        <v>29.643000000000001</v>
      </c>
      <c r="L6" s="7">
        <v>30.11</v>
      </c>
      <c r="M6" s="7">
        <v>29.771999999999998</v>
      </c>
      <c r="N6" s="7">
        <v>30.581</v>
      </c>
      <c r="O6" s="7">
        <v>30.733000000000001</v>
      </c>
      <c r="P6" s="7">
        <v>30.417000000000002</v>
      </c>
      <c r="R6" s="5">
        <f t="shared" si="0"/>
        <v>30.670266666666674</v>
      </c>
      <c r="S6" s="5">
        <f t="shared" si="1"/>
        <v>0.14291520851678755</v>
      </c>
      <c r="U6" s="7" t="s">
        <v>3</v>
      </c>
      <c r="V6" s="7">
        <v>31.716999999999999</v>
      </c>
      <c r="W6" s="7">
        <v>30.678000000000001</v>
      </c>
      <c r="X6" s="7">
        <v>32.287999999999997</v>
      </c>
      <c r="Y6" s="7">
        <v>32.762</v>
      </c>
      <c r="Z6" s="7">
        <v>32.54</v>
      </c>
      <c r="AA6" s="7">
        <v>31.337</v>
      </c>
      <c r="AB6" s="7">
        <v>31.79</v>
      </c>
      <c r="AC6" s="7">
        <v>30.390999999999998</v>
      </c>
      <c r="AD6" s="7">
        <v>31.689</v>
      </c>
      <c r="AE6" s="7">
        <v>32.305999999999997</v>
      </c>
      <c r="AF6" s="7">
        <v>32.033999999999999</v>
      </c>
      <c r="AG6" s="7">
        <v>31</v>
      </c>
      <c r="AH6" s="7">
        <v>31.608000000000001</v>
      </c>
      <c r="AI6" s="7">
        <v>31.853999999999999</v>
      </c>
      <c r="AJ6" s="7">
        <v>31.515999999999998</v>
      </c>
      <c r="AL6" s="6">
        <f t="shared" si="2"/>
        <v>31.54975</v>
      </c>
      <c r="AM6" s="6">
        <f t="shared" si="3"/>
        <v>0.21413570046651653</v>
      </c>
    </row>
    <row r="7" spans="1:39" x14ac:dyDescent="0.2">
      <c r="A7" s="7">
        <v>-3.75</v>
      </c>
      <c r="B7" s="7">
        <v>1031.6479999999999</v>
      </c>
      <c r="C7" s="7">
        <v>1272.0150000000001</v>
      </c>
      <c r="D7" s="7">
        <v>1011.333</v>
      </c>
      <c r="E7" s="7">
        <v>1196.9770000000001</v>
      </c>
      <c r="F7" s="7">
        <v>1422.431</v>
      </c>
      <c r="G7" s="7">
        <v>1307.2739999999999</v>
      </c>
      <c r="H7" s="7">
        <v>1435.579</v>
      </c>
      <c r="I7" s="7">
        <v>1512.91</v>
      </c>
      <c r="J7" s="7">
        <v>1466.7139999999999</v>
      </c>
      <c r="K7" s="7">
        <v>1382.384</v>
      </c>
      <c r="L7" s="7">
        <v>1214.463</v>
      </c>
      <c r="M7" s="7">
        <v>1185.558</v>
      </c>
      <c r="N7" s="7">
        <v>1415.2729999999999</v>
      </c>
      <c r="O7" s="7">
        <v>1539.8050000000001</v>
      </c>
      <c r="P7" s="7">
        <v>1561.886</v>
      </c>
      <c r="R7" s="5">
        <f t="shared" si="0"/>
        <v>1330.4166666666667</v>
      </c>
      <c r="S7" s="5">
        <f t="shared" si="1"/>
        <v>45.039037675445016</v>
      </c>
      <c r="U7" s="7">
        <v>-3.75</v>
      </c>
      <c r="V7" s="7">
        <v>1240.548</v>
      </c>
      <c r="W7" s="7">
        <v>1236.873</v>
      </c>
      <c r="X7" s="7">
        <v>1202.0809999999999</v>
      </c>
      <c r="Y7" s="7">
        <v>993.94299999999998</v>
      </c>
      <c r="Z7" s="7">
        <v>1301.752</v>
      </c>
      <c r="AA7" s="7">
        <v>1390.491</v>
      </c>
      <c r="AB7" s="7">
        <v>1340.2629999999999</v>
      </c>
      <c r="AC7" s="7">
        <v>1106.135</v>
      </c>
      <c r="AD7" s="7">
        <v>1362.7439999999999</v>
      </c>
      <c r="AE7" s="7">
        <v>1276.845</v>
      </c>
      <c r="AF7" s="7">
        <v>1395.07</v>
      </c>
      <c r="AG7" s="7">
        <v>1170.1189999999999</v>
      </c>
      <c r="AH7" s="7">
        <v>1392.941</v>
      </c>
      <c r="AI7" s="7">
        <v>1511.229</v>
      </c>
      <c r="AJ7" s="7">
        <v>1452.886</v>
      </c>
      <c r="AL7" s="6">
        <f t="shared" si="2"/>
        <v>1333.4961249999999</v>
      </c>
      <c r="AM7" s="6">
        <f t="shared" si="3"/>
        <v>49.211262257172358</v>
      </c>
    </row>
    <row r="8" spans="1:39" x14ac:dyDescent="0.2">
      <c r="A8" s="7">
        <v>-2.5</v>
      </c>
      <c r="B8" s="7">
        <v>1171.3209999999999</v>
      </c>
      <c r="C8" s="7">
        <v>1469.0319999999999</v>
      </c>
      <c r="D8" s="7">
        <v>1137.452</v>
      </c>
      <c r="E8" s="7">
        <v>1371.4</v>
      </c>
      <c r="F8" s="7">
        <v>1575.3869999999999</v>
      </c>
      <c r="G8" s="7">
        <v>1448.1120000000001</v>
      </c>
      <c r="H8" s="7">
        <v>1565.039</v>
      </c>
      <c r="I8" s="7">
        <v>1683.7270000000001</v>
      </c>
      <c r="J8" s="7">
        <v>1649.288</v>
      </c>
      <c r="K8" s="7">
        <v>1543.722</v>
      </c>
      <c r="L8" s="7">
        <v>1393.8440000000001</v>
      </c>
      <c r="M8" s="7">
        <v>1313.8630000000001</v>
      </c>
      <c r="N8" s="7">
        <v>1551.8489999999999</v>
      </c>
      <c r="O8" s="7">
        <v>1692.5360000000001</v>
      </c>
      <c r="P8" s="7">
        <v>1753.32</v>
      </c>
      <c r="R8" s="5">
        <f t="shared" si="0"/>
        <v>1487.9928</v>
      </c>
      <c r="S8" s="5">
        <f t="shared" si="1"/>
        <v>47.570029569667753</v>
      </c>
      <c r="U8" s="7">
        <v>-2.5</v>
      </c>
      <c r="V8" s="7">
        <v>1372.001</v>
      </c>
      <c r="W8" s="7">
        <v>1350.32</v>
      </c>
      <c r="X8" s="7">
        <v>1407.5229999999999</v>
      </c>
      <c r="Y8" s="7">
        <v>1179.4090000000001</v>
      </c>
      <c r="Z8" s="7">
        <v>1448.377</v>
      </c>
      <c r="AA8" s="7">
        <v>1547.2139999999999</v>
      </c>
      <c r="AB8" s="7">
        <v>1489.279</v>
      </c>
      <c r="AC8" s="7">
        <v>1247.403</v>
      </c>
      <c r="AD8" s="7">
        <v>1508.5519999999999</v>
      </c>
      <c r="AE8" s="7">
        <v>1443.577</v>
      </c>
      <c r="AF8" s="7">
        <v>1543.2360000000001</v>
      </c>
      <c r="AG8" s="7">
        <v>1293.229</v>
      </c>
      <c r="AH8" s="7">
        <v>1513.8130000000001</v>
      </c>
      <c r="AI8" s="7">
        <v>1655.365</v>
      </c>
      <c r="AJ8" s="7">
        <v>1634.4190000000001</v>
      </c>
      <c r="AL8" s="6">
        <f t="shared" si="2"/>
        <v>1479.9492500000001</v>
      </c>
      <c r="AM8" s="6">
        <f t="shared" si="3"/>
        <v>51.904242761051954</v>
      </c>
    </row>
    <row r="9" spans="1:39" x14ac:dyDescent="0.2">
      <c r="A9" s="7">
        <v>-1.25</v>
      </c>
      <c r="B9" s="7">
        <v>1581.8440000000001</v>
      </c>
      <c r="C9" s="7">
        <v>2015.269</v>
      </c>
      <c r="D9" s="7">
        <v>1537.231</v>
      </c>
      <c r="E9" s="7">
        <v>1845.5440000000001</v>
      </c>
      <c r="F9" s="7">
        <v>2101.357</v>
      </c>
      <c r="G9" s="7">
        <v>1901.117</v>
      </c>
      <c r="H9" s="7">
        <v>2017.913</v>
      </c>
      <c r="I9" s="7">
        <v>2228.0149999999999</v>
      </c>
      <c r="J9" s="7">
        <v>2172.694</v>
      </c>
      <c r="K9" s="7">
        <v>2008.723</v>
      </c>
      <c r="L9" s="7">
        <v>1839.02</v>
      </c>
      <c r="M9" s="7">
        <v>1718.3140000000001</v>
      </c>
      <c r="N9" s="7">
        <v>2019.915</v>
      </c>
      <c r="O9" s="7">
        <v>2206.645</v>
      </c>
      <c r="P9" s="7">
        <v>2332.6280000000002</v>
      </c>
      <c r="R9" s="5">
        <f t="shared" si="0"/>
        <v>1968.4152666666669</v>
      </c>
      <c r="S9" s="5">
        <f t="shared" si="1"/>
        <v>60.134740819695651</v>
      </c>
      <c r="U9" s="7">
        <v>-1.25</v>
      </c>
      <c r="V9" s="7">
        <v>1841.0930000000001</v>
      </c>
      <c r="W9" s="7">
        <v>1774.328</v>
      </c>
      <c r="X9" s="7">
        <v>1896.521</v>
      </c>
      <c r="Y9" s="7">
        <v>1647.6369999999999</v>
      </c>
      <c r="Z9" s="7">
        <v>1955.3620000000001</v>
      </c>
      <c r="AA9" s="7">
        <v>2030.4190000000001</v>
      </c>
      <c r="AB9" s="7">
        <v>1978.173</v>
      </c>
      <c r="AC9" s="7">
        <v>1687.077</v>
      </c>
      <c r="AD9" s="7">
        <v>1999.85</v>
      </c>
      <c r="AE9" s="7">
        <v>1910.6279999999999</v>
      </c>
      <c r="AF9" s="7">
        <v>2065.6239999999998</v>
      </c>
      <c r="AG9" s="7">
        <v>1702.616</v>
      </c>
      <c r="AH9" s="7">
        <v>1954.1020000000001</v>
      </c>
      <c r="AI9" s="7">
        <v>2119.011</v>
      </c>
      <c r="AJ9" s="7">
        <v>2142.63</v>
      </c>
      <c r="AL9" s="6">
        <f t="shared" si="2"/>
        <v>1947.6922500000001</v>
      </c>
      <c r="AM9" s="6">
        <f t="shared" si="3"/>
        <v>61.727611526872636</v>
      </c>
    </row>
    <row r="10" spans="1:39" x14ac:dyDescent="0.2">
      <c r="A10" s="7">
        <v>0</v>
      </c>
      <c r="B10" s="7">
        <v>2180.6190000000001</v>
      </c>
      <c r="C10" s="7">
        <v>2852.3359999999998</v>
      </c>
      <c r="D10" s="7">
        <v>2188.4760000000001</v>
      </c>
      <c r="E10" s="7">
        <v>2576.6</v>
      </c>
      <c r="F10" s="7">
        <v>2918.2</v>
      </c>
      <c r="G10" s="7">
        <v>2664.74</v>
      </c>
      <c r="H10" s="7">
        <v>2818.0010000000002</v>
      </c>
      <c r="I10" s="7">
        <v>3076.8420000000001</v>
      </c>
      <c r="J10" s="7">
        <v>3026.663</v>
      </c>
      <c r="K10" s="7">
        <v>2818.4920000000002</v>
      </c>
      <c r="L10" s="7">
        <v>2572.933</v>
      </c>
      <c r="M10" s="7">
        <v>2400.1170000000002</v>
      </c>
      <c r="N10" s="7">
        <v>2809.4670000000001</v>
      </c>
      <c r="O10" s="7">
        <v>3009.9859999999999</v>
      </c>
      <c r="P10" s="7">
        <v>3265.9140000000002</v>
      </c>
      <c r="R10" s="5">
        <f t="shared" si="0"/>
        <v>2745.2923999999998</v>
      </c>
      <c r="S10" s="5">
        <f t="shared" si="1"/>
        <v>81.621156285890677</v>
      </c>
      <c r="U10" s="7">
        <v>0</v>
      </c>
      <c r="V10" s="7">
        <v>2611.6999999999998</v>
      </c>
      <c r="W10" s="7">
        <v>2427.8629999999998</v>
      </c>
      <c r="X10" s="7">
        <v>2645.837</v>
      </c>
      <c r="Y10" s="7">
        <v>2311.96</v>
      </c>
      <c r="Z10" s="7">
        <v>2750.6880000000001</v>
      </c>
      <c r="AA10" s="7">
        <v>2805.7620000000002</v>
      </c>
      <c r="AB10" s="7">
        <v>2768.9589999999998</v>
      </c>
      <c r="AC10" s="7">
        <v>2319.953</v>
      </c>
      <c r="AD10" s="7">
        <v>2815.3560000000002</v>
      </c>
      <c r="AE10" s="7">
        <v>2671.761</v>
      </c>
      <c r="AF10" s="7">
        <v>2877.951</v>
      </c>
      <c r="AG10" s="7">
        <v>2373.6729999999998</v>
      </c>
      <c r="AH10" s="7">
        <v>2683.3820000000001</v>
      </c>
      <c r="AI10" s="7">
        <v>2868.038</v>
      </c>
      <c r="AJ10" s="7">
        <v>2954.9070000000002</v>
      </c>
      <c r="AL10" s="6">
        <f t="shared" si="2"/>
        <v>2695.6276249999996</v>
      </c>
      <c r="AM10" s="6">
        <f t="shared" si="3"/>
        <v>83.455891269823653</v>
      </c>
    </row>
    <row r="11" spans="1:39" x14ac:dyDescent="0.2">
      <c r="A11" s="7">
        <v>1.25</v>
      </c>
      <c r="B11" s="7">
        <v>2685.66</v>
      </c>
      <c r="C11" s="7">
        <v>3537.4</v>
      </c>
      <c r="D11" s="7">
        <v>2757.973</v>
      </c>
      <c r="E11" s="7">
        <v>3255.02</v>
      </c>
      <c r="F11" s="7">
        <v>3611.011</v>
      </c>
      <c r="G11" s="7">
        <v>3358.1390000000001</v>
      </c>
      <c r="H11" s="7">
        <v>3553.1619999999998</v>
      </c>
      <c r="I11" s="7">
        <v>3805.7310000000002</v>
      </c>
      <c r="J11" s="7">
        <v>3708.3229999999999</v>
      </c>
      <c r="K11" s="7">
        <v>3590.7890000000002</v>
      </c>
      <c r="L11" s="7">
        <v>3190.145</v>
      </c>
      <c r="M11" s="7">
        <v>2974.174</v>
      </c>
      <c r="N11" s="7">
        <v>3457.739</v>
      </c>
      <c r="O11" s="7">
        <v>3719.0859999999998</v>
      </c>
      <c r="P11" s="7">
        <v>4070.82</v>
      </c>
      <c r="R11" s="5">
        <f t="shared" si="0"/>
        <v>3418.3447999999999</v>
      </c>
      <c r="S11" s="5">
        <f t="shared" si="1"/>
        <v>100.08720187293812</v>
      </c>
      <c r="U11" s="7">
        <v>1.25</v>
      </c>
      <c r="V11" s="7">
        <v>3266.52</v>
      </c>
      <c r="W11" s="7">
        <v>2960.5569999999998</v>
      </c>
      <c r="X11" s="7">
        <v>3293.7660000000001</v>
      </c>
      <c r="Y11" s="7">
        <v>2929.8029999999999</v>
      </c>
      <c r="Z11" s="7">
        <v>3497.511</v>
      </c>
      <c r="AA11" s="7">
        <v>3460.7040000000002</v>
      </c>
      <c r="AB11" s="7">
        <v>3424.8429999999998</v>
      </c>
      <c r="AC11" s="7">
        <v>2870.0329999999999</v>
      </c>
      <c r="AD11" s="7">
        <v>3584.6950000000002</v>
      </c>
      <c r="AE11" s="7">
        <v>3387.0859999999998</v>
      </c>
      <c r="AF11" s="7">
        <v>3589.1060000000002</v>
      </c>
      <c r="AG11" s="7">
        <v>2941.8240000000001</v>
      </c>
      <c r="AH11" s="7">
        <v>3313.4459999999999</v>
      </c>
      <c r="AI11" s="7">
        <v>3561.134</v>
      </c>
      <c r="AJ11" s="7">
        <v>3659.2550000000001</v>
      </c>
      <c r="AL11" s="6">
        <f t="shared" si="2"/>
        <v>3363.3223750000002</v>
      </c>
      <c r="AM11" s="6">
        <f t="shared" si="3"/>
        <v>107.79753610140395</v>
      </c>
    </row>
    <row r="12" spans="1:39" x14ac:dyDescent="0.2">
      <c r="A12" s="7">
        <v>2.5</v>
      </c>
      <c r="B12" s="7">
        <v>3011.5990000000002</v>
      </c>
      <c r="C12" s="7">
        <v>3962.08</v>
      </c>
      <c r="D12" s="7">
        <v>3081.7350000000001</v>
      </c>
      <c r="E12" s="7">
        <v>3670.1909999999998</v>
      </c>
      <c r="F12" s="7">
        <v>4000.8690000000001</v>
      </c>
      <c r="G12" s="7">
        <v>3752.297</v>
      </c>
      <c r="H12" s="7">
        <v>3971.3049999999998</v>
      </c>
      <c r="I12" s="7">
        <v>4219.9570000000003</v>
      </c>
      <c r="J12" s="7">
        <v>4144.5389999999998</v>
      </c>
      <c r="K12" s="7">
        <v>3977.3809999999999</v>
      </c>
      <c r="L12" s="7">
        <v>3604.6109999999999</v>
      </c>
      <c r="M12" s="7">
        <v>3319.2080000000001</v>
      </c>
      <c r="N12" s="7">
        <v>3836.2860000000001</v>
      </c>
      <c r="O12" s="7">
        <v>4094.9720000000002</v>
      </c>
      <c r="P12" s="7">
        <v>4559.1670000000004</v>
      </c>
      <c r="R12" s="5">
        <f t="shared" si="0"/>
        <v>3813.746466666666</v>
      </c>
      <c r="S12" s="5">
        <f t="shared" si="1"/>
        <v>109.33279089658748</v>
      </c>
      <c r="U12" s="7">
        <v>2.5</v>
      </c>
      <c r="V12" s="7">
        <v>3639.482</v>
      </c>
      <c r="W12" s="7">
        <v>3262.9630000000002</v>
      </c>
      <c r="X12" s="7">
        <v>3721.491</v>
      </c>
      <c r="Y12" s="7">
        <v>3314.3229999999999</v>
      </c>
      <c r="Z12" s="7">
        <v>3891.7330000000002</v>
      </c>
      <c r="AA12" s="7">
        <v>3836.9830000000002</v>
      </c>
      <c r="AB12" s="7">
        <v>3826.8560000000002</v>
      </c>
      <c r="AC12" s="7">
        <v>3205.3220000000001</v>
      </c>
      <c r="AD12" s="7">
        <v>4037.8150000000001</v>
      </c>
      <c r="AE12" s="7">
        <v>3772.9490000000001</v>
      </c>
      <c r="AF12" s="7">
        <v>4036.2930000000001</v>
      </c>
      <c r="AG12" s="7">
        <v>3267.9609999999998</v>
      </c>
      <c r="AH12" s="7">
        <v>3652.7759999999998</v>
      </c>
      <c r="AI12" s="7">
        <v>3936.2069999999999</v>
      </c>
      <c r="AJ12" s="7">
        <v>4110.1459999999997</v>
      </c>
      <c r="AL12" s="6">
        <f t="shared" si="2"/>
        <v>3752.4336250000001</v>
      </c>
      <c r="AM12" s="6">
        <f t="shared" si="3"/>
        <v>124.50952688563022</v>
      </c>
    </row>
    <row r="13" spans="1:39" x14ac:dyDescent="0.2">
      <c r="A13" s="7">
        <v>3.75</v>
      </c>
      <c r="B13" s="7">
        <v>3099.8249999999998</v>
      </c>
      <c r="C13" s="7">
        <v>4126.7550000000001</v>
      </c>
      <c r="D13" s="7">
        <v>3227.6660000000002</v>
      </c>
      <c r="E13" s="7">
        <v>3849.5839999999998</v>
      </c>
      <c r="F13" s="7">
        <v>4135.5879999999997</v>
      </c>
      <c r="G13" s="7">
        <v>3896.8159999999998</v>
      </c>
      <c r="H13" s="7">
        <v>4113.2700000000004</v>
      </c>
      <c r="I13" s="7">
        <v>4343.759</v>
      </c>
      <c r="J13" s="7">
        <v>4280.8010000000004</v>
      </c>
      <c r="K13" s="7">
        <v>4191.82</v>
      </c>
      <c r="L13" s="7">
        <v>3790.2449999999999</v>
      </c>
      <c r="M13" s="7">
        <v>3487.4119999999998</v>
      </c>
      <c r="N13" s="7">
        <v>3973.0740000000001</v>
      </c>
      <c r="O13" s="7">
        <v>4221.1369999999997</v>
      </c>
      <c r="P13" s="7">
        <v>4733.0559999999996</v>
      </c>
      <c r="R13" s="5">
        <f t="shared" si="0"/>
        <v>3964.7205333333332</v>
      </c>
      <c r="S13" s="5">
        <f t="shared" si="1"/>
        <v>111.18953850819651</v>
      </c>
      <c r="U13" s="7">
        <v>3.75</v>
      </c>
      <c r="V13" s="7">
        <v>3749.3240000000001</v>
      </c>
      <c r="W13" s="7">
        <v>3382.8220000000001</v>
      </c>
      <c r="X13" s="7">
        <v>3880.3339999999998</v>
      </c>
      <c r="Y13" s="7">
        <v>3417.0410000000002</v>
      </c>
      <c r="Z13" s="7">
        <v>3959.261</v>
      </c>
      <c r="AA13" s="7">
        <v>3940.4070000000002</v>
      </c>
      <c r="AB13" s="7">
        <v>3944.8409999999999</v>
      </c>
      <c r="AC13" s="7">
        <v>3347.1089999999999</v>
      </c>
      <c r="AD13" s="7">
        <v>4156.4489999999996</v>
      </c>
      <c r="AE13" s="7">
        <v>3855.8850000000002</v>
      </c>
      <c r="AF13" s="7">
        <v>4203.9110000000001</v>
      </c>
      <c r="AG13" s="7">
        <v>3385.3440000000001</v>
      </c>
      <c r="AH13" s="7">
        <v>3773.6179999999999</v>
      </c>
      <c r="AI13" s="7">
        <v>4060.24</v>
      </c>
      <c r="AJ13" s="7">
        <v>4242.9219999999996</v>
      </c>
      <c r="AL13" s="6">
        <f t="shared" si="2"/>
        <v>3878.1847499999994</v>
      </c>
      <c r="AM13" s="6">
        <f t="shared" si="3"/>
        <v>125.78829291366473</v>
      </c>
    </row>
    <row r="14" spans="1:39" x14ac:dyDescent="0.2">
      <c r="A14" s="7">
        <v>5</v>
      </c>
      <c r="B14" s="7">
        <v>3126.1460000000002</v>
      </c>
      <c r="C14" s="7">
        <v>4122.808</v>
      </c>
      <c r="D14" s="7">
        <v>3245.91</v>
      </c>
      <c r="E14" s="7">
        <v>3905.2750000000001</v>
      </c>
      <c r="F14" s="7">
        <v>4140.1989999999996</v>
      </c>
      <c r="G14" s="7">
        <v>3938.9369999999999</v>
      </c>
      <c r="H14" s="7">
        <v>4140.7309999999998</v>
      </c>
      <c r="I14" s="7">
        <v>4391.5360000000001</v>
      </c>
      <c r="J14" s="7">
        <v>4313.0349999999999</v>
      </c>
      <c r="K14" s="7">
        <v>4289.3010000000004</v>
      </c>
      <c r="L14" s="7">
        <v>3883.5509999999999</v>
      </c>
      <c r="M14" s="7">
        <v>3533.1880000000001</v>
      </c>
      <c r="N14" s="7">
        <v>4003.8939999999998</v>
      </c>
      <c r="O14" s="7">
        <v>4234.55</v>
      </c>
      <c r="P14" s="7">
        <v>4798.817</v>
      </c>
      <c r="R14" s="5">
        <f t="shared" si="0"/>
        <v>4004.525200000001</v>
      </c>
      <c r="S14" s="5">
        <f t="shared" si="1"/>
        <v>112.52105351364455</v>
      </c>
      <c r="U14" s="7">
        <v>5</v>
      </c>
      <c r="V14" s="7">
        <v>3726.8560000000002</v>
      </c>
      <c r="W14" s="7">
        <v>3371.94</v>
      </c>
      <c r="X14" s="7">
        <v>3874.5340000000001</v>
      </c>
      <c r="Y14" s="7">
        <v>3459.962</v>
      </c>
      <c r="Z14" s="7">
        <v>3957.4250000000002</v>
      </c>
      <c r="AA14" s="7">
        <v>3954.759</v>
      </c>
      <c r="AB14" s="7">
        <v>3963.248</v>
      </c>
      <c r="AC14" s="7">
        <v>3379.17</v>
      </c>
      <c r="AD14" s="7">
        <v>4180.5969999999998</v>
      </c>
      <c r="AE14" s="7">
        <v>3863.0639999999999</v>
      </c>
      <c r="AF14" s="7">
        <v>4240.4279999999999</v>
      </c>
      <c r="AG14" s="7">
        <v>3394.087</v>
      </c>
      <c r="AH14" s="7">
        <v>3776.0369999999998</v>
      </c>
      <c r="AI14" s="7">
        <v>4107.9849999999997</v>
      </c>
      <c r="AJ14" s="7">
        <v>4264.8919999999998</v>
      </c>
      <c r="AL14" s="6">
        <f t="shared" si="2"/>
        <v>3900.7825000000003</v>
      </c>
      <c r="AM14" s="6">
        <f t="shared" si="3"/>
        <v>127.82297181802981</v>
      </c>
    </row>
    <row r="15" spans="1:39" x14ac:dyDescent="0.2">
      <c r="A15" s="7">
        <v>6.25</v>
      </c>
      <c r="B15" s="7">
        <v>3153.1309999999999</v>
      </c>
      <c r="C15" s="7">
        <v>4094.3470000000002</v>
      </c>
      <c r="D15" s="7">
        <v>3252.038</v>
      </c>
      <c r="E15" s="7">
        <v>3870.3649999999998</v>
      </c>
      <c r="F15" s="7">
        <v>4093.1529999999998</v>
      </c>
      <c r="G15" s="7">
        <v>3923.5630000000001</v>
      </c>
      <c r="H15" s="7">
        <v>4119.018</v>
      </c>
      <c r="I15" s="7">
        <v>4369.6040000000003</v>
      </c>
      <c r="J15" s="7">
        <v>4280.7120000000004</v>
      </c>
      <c r="K15" s="7">
        <v>4262.8270000000002</v>
      </c>
      <c r="L15" s="7">
        <v>3852.7489999999998</v>
      </c>
      <c r="M15" s="7">
        <v>3512.7869999999998</v>
      </c>
      <c r="N15" s="7">
        <v>3942.348</v>
      </c>
      <c r="O15" s="7">
        <v>4205.9920000000002</v>
      </c>
      <c r="P15" s="7">
        <v>4742.8389999999999</v>
      </c>
      <c r="R15" s="5">
        <f t="shared" si="0"/>
        <v>3978.3648666666659</v>
      </c>
      <c r="S15" s="5">
        <f t="shared" si="1"/>
        <v>108.34501810626529</v>
      </c>
      <c r="U15" s="7">
        <v>6.25</v>
      </c>
      <c r="V15" s="7">
        <v>3669.6590000000001</v>
      </c>
      <c r="W15" s="7">
        <v>3313.4279999999999</v>
      </c>
      <c r="X15" s="7">
        <v>3790.5079999999998</v>
      </c>
      <c r="Y15" s="7">
        <v>3443.92</v>
      </c>
      <c r="Z15" s="7">
        <v>3931.114</v>
      </c>
      <c r="AA15" s="7">
        <v>3909.5230000000001</v>
      </c>
      <c r="AB15" s="7">
        <v>3939.7379999999998</v>
      </c>
      <c r="AC15" s="7">
        <v>3331.8519999999999</v>
      </c>
      <c r="AD15" s="7">
        <v>4176.2979999999998</v>
      </c>
      <c r="AE15" s="7">
        <v>3830.9749999999999</v>
      </c>
      <c r="AF15" s="7">
        <v>4211.9610000000002</v>
      </c>
      <c r="AG15" s="7">
        <v>3344.61</v>
      </c>
      <c r="AH15" s="7">
        <v>3686.7750000000001</v>
      </c>
      <c r="AI15" s="7">
        <v>4072.5859999999998</v>
      </c>
      <c r="AJ15" s="7">
        <v>4232.2309999999998</v>
      </c>
      <c r="AL15" s="6">
        <f t="shared" si="2"/>
        <v>3860.9110000000001</v>
      </c>
      <c r="AM15" s="6">
        <f t="shared" si="3"/>
        <v>132.49525388858274</v>
      </c>
    </row>
    <row r="16" spans="1:39" x14ac:dyDescent="0.2">
      <c r="A16" s="7">
        <v>7.5</v>
      </c>
      <c r="B16" s="7">
        <v>3067.5039999999999</v>
      </c>
      <c r="C16" s="7">
        <v>3952.7669999999998</v>
      </c>
      <c r="D16" s="7">
        <v>3119.2109999999998</v>
      </c>
      <c r="E16" s="7">
        <v>3743.87</v>
      </c>
      <c r="F16" s="7">
        <v>3972.2959999999998</v>
      </c>
      <c r="G16" s="7">
        <v>3803.538</v>
      </c>
      <c r="H16" s="7">
        <v>3970.154</v>
      </c>
      <c r="I16" s="7">
        <v>4194.3100000000004</v>
      </c>
      <c r="J16" s="7">
        <v>4116.1880000000001</v>
      </c>
      <c r="K16" s="7">
        <v>4088.32</v>
      </c>
      <c r="L16" s="7">
        <v>3718.6819999999998</v>
      </c>
      <c r="M16" s="7">
        <v>3382.0929999999998</v>
      </c>
      <c r="N16" s="7">
        <v>3780.4259999999999</v>
      </c>
      <c r="O16" s="7">
        <v>4047.0540000000001</v>
      </c>
      <c r="P16" s="7">
        <v>4553.0910000000003</v>
      </c>
      <c r="R16" s="5">
        <f t="shared" si="0"/>
        <v>3833.9669333333336</v>
      </c>
      <c r="S16" s="5">
        <f t="shared" si="1"/>
        <v>102.73090860502488</v>
      </c>
      <c r="U16" s="7">
        <v>7.5</v>
      </c>
      <c r="V16" s="7">
        <v>3545.8809999999999</v>
      </c>
      <c r="W16" s="7">
        <v>3203.15</v>
      </c>
      <c r="X16" s="7">
        <v>3662.3229999999999</v>
      </c>
      <c r="Y16" s="7">
        <v>3324.8780000000002</v>
      </c>
      <c r="Z16" s="7">
        <v>3822.8470000000002</v>
      </c>
      <c r="AA16" s="7">
        <v>3804.386</v>
      </c>
      <c r="AB16" s="7">
        <v>3820.5650000000001</v>
      </c>
      <c r="AC16" s="7">
        <v>3169.567</v>
      </c>
      <c r="AD16" s="7">
        <v>4027.69</v>
      </c>
      <c r="AE16" s="7">
        <v>3745.9029999999998</v>
      </c>
      <c r="AF16" s="7">
        <v>4052.9569999999999</v>
      </c>
      <c r="AG16" s="7">
        <v>3224.163</v>
      </c>
      <c r="AH16" s="7">
        <v>3516.308</v>
      </c>
      <c r="AI16" s="7">
        <v>3908.587</v>
      </c>
      <c r="AJ16" s="7">
        <v>4059.3980000000001</v>
      </c>
      <c r="AL16" s="6">
        <f t="shared" si="2"/>
        <v>3713.071625</v>
      </c>
      <c r="AM16" s="6">
        <f t="shared" si="3"/>
        <v>130.03418192179006</v>
      </c>
    </row>
    <row r="17" spans="1:39" x14ac:dyDescent="0.2">
      <c r="A17" s="7">
        <v>8.75</v>
      </c>
      <c r="B17" s="7">
        <v>2801.8939999999998</v>
      </c>
      <c r="C17" s="7">
        <v>3646.5320000000002</v>
      </c>
      <c r="D17" s="7">
        <v>2843.8359999999998</v>
      </c>
      <c r="E17" s="7">
        <v>3427.2150000000001</v>
      </c>
      <c r="F17" s="7">
        <v>3652.5740000000001</v>
      </c>
      <c r="G17" s="7">
        <v>3501.672</v>
      </c>
      <c r="H17" s="7">
        <v>3626.7930000000001</v>
      </c>
      <c r="I17" s="7">
        <v>3833.4029999999998</v>
      </c>
      <c r="J17" s="7">
        <v>3754.65</v>
      </c>
      <c r="K17" s="7">
        <v>3785.2559999999999</v>
      </c>
      <c r="L17" s="7">
        <v>3434.8490000000002</v>
      </c>
      <c r="M17" s="7">
        <v>3144.3820000000001</v>
      </c>
      <c r="N17" s="7">
        <v>3515.2020000000002</v>
      </c>
      <c r="O17" s="7">
        <v>3706.529</v>
      </c>
      <c r="P17" s="7">
        <v>4193.5730000000003</v>
      </c>
      <c r="R17" s="5">
        <f t="shared" si="0"/>
        <v>3524.5573333333332</v>
      </c>
      <c r="S17" s="5">
        <f t="shared" si="1"/>
        <v>94.792943029664414</v>
      </c>
      <c r="U17" s="7">
        <v>8.75</v>
      </c>
      <c r="V17" s="7">
        <v>3265.87</v>
      </c>
      <c r="W17" s="7">
        <v>2963.79</v>
      </c>
      <c r="X17" s="7">
        <v>3387.7550000000001</v>
      </c>
      <c r="Y17" s="7">
        <v>3070.89</v>
      </c>
      <c r="Z17" s="7">
        <v>3523.4119999999998</v>
      </c>
      <c r="AA17" s="7">
        <v>3491.268</v>
      </c>
      <c r="AB17" s="7">
        <v>3534.0540000000001</v>
      </c>
      <c r="AC17" s="7">
        <v>2914.6260000000002</v>
      </c>
      <c r="AD17" s="7">
        <v>3690.643</v>
      </c>
      <c r="AE17" s="7">
        <v>3437.8989999999999</v>
      </c>
      <c r="AF17" s="7">
        <v>3740.2289999999998</v>
      </c>
      <c r="AG17" s="7">
        <v>2966.9670000000001</v>
      </c>
      <c r="AH17" s="7">
        <v>3269.3910000000001</v>
      </c>
      <c r="AI17" s="7">
        <v>3568.605</v>
      </c>
      <c r="AJ17" s="7">
        <v>3754.8890000000001</v>
      </c>
      <c r="AL17" s="6">
        <f t="shared" si="2"/>
        <v>3417.9061249999995</v>
      </c>
      <c r="AM17" s="6">
        <f t="shared" si="3"/>
        <v>119.04669580394513</v>
      </c>
    </row>
    <row r="18" spans="1:39" x14ac:dyDescent="0.2">
      <c r="A18" s="7">
        <v>10</v>
      </c>
      <c r="B18" s="7">
        <v>2381.0410000000002</v>
      </c>
      <c r="C18" s="7">
        <v>3139.1109999999999</v>
      </c>
      <c r="D18" s="7">
        <v>2459.0030000000002</v>
      </c>
      <c r="E18" s="7">
        <v>2949.8009999999999</v>
      </c>
      <c r="F18" s="7">
        <v>3138.6759999999999</v>
      </c>
      <c r="G18" s="7">
        <v>3007.2730000000001</v>
      </c>
      <c r="H18" s="7">
        <v>3133.62</v>
      </c>
      <c r="I18" s="7">
        <v>3305.2620000000002</v>
      </c>
      <c r="J18" s="7">
        <v>3229.634</v>
      </c>
      <c r="K18" s="7">
        <v>3282.6950000000002</v>
      </c>
      <c r="L18" s="7">
        <v>3058.0070000000001</v>
      </c>
      <c r="M18" s="7">
        <v>2785.5770000000002</v>
      </c>
      <c r="N18" s="7">
        <v>3055.7530000000002</v>
      </c>
      <c r="O18" s="7">
        <v>3200.3440000000001</v>
      </c>
      <c r="P18" s="7">
        <v>3662.268</v>
      </c>
      <c r="R18" s="5">
        <f t="shared" si="0"/>
        <v>3052.5376666666657</v>
      </c>
      <c r="S18" s="5">
        <f t="shared" si="1"/>
        <v>83.106790880839142</v>
      </c>
      <c r="U18" s="7">
        <v>10</v>
      </c>
      <c r="V18" s="7">
        <v>2855.3</v>
      </c>
      <c r="W18" s="7">
        <v>2574</v>
      </c>
      <c r="X18" s="7">
        <v>2933.94</v>
      </c>
      <c r="Y18" s="7">
        <v>2633.5210000000002</v>
      </c>
      <c r="Z18" s="7">
        <v>3014.4830000000002</v>
      </c>
      <c r="AA18" s="7">
        <v>3034.8</v>
      </c>
      <c r="AB18" s="7">
        <v>3008.7649999999999</v>
      </c>
      <c r="AC18" s="7">
        <v>2569.5030000000002</v>
      </c>
      <c r="AD18" s="7">
        <v>3185.9029999999998</v>
      </c>
      <c r="AE18" s="7">
        <v>2945.7359999999999</v>
      </c>
      <c r="AF18" s="7">
        <v>3253.556</v>
      </c>
      <c r="AG18" s="7">
        <v>2579.3510000000001</v>
      </c>
      <c r="AH18" s="7">
        <v>2847.971</v>
      </c>
      <c r="AI18" s="7">
        <v>3113.4679999999998</v>
      </c>
      <c r="AJ18" s="7">
        <v>3241.15</v>
      </c>
      <c r="AL18" s="6">
        <f t="shared" si="2"/>
        <v>2967.0797500000003</v>
      </c>
      <c r="AM18" s="6">
        <f t="shared" si="3"/>
        <v>99.061631603719647</v>
      </c>
    </row>
    <row r="19" spans="1:39" x14ac:dyDescent="0.2">
      <c r="A19" s="7">
        <v>11.25</v>
      </c>
      <c r="B19" s="7">
        <v>2058.0610000000001</v>
      </c>
      <c r="C19" s="7">
        <v>2685.77</v>
      </c>
      <c r="D19" s="7">
        <v>2137.154</v>
      </c>
      <c r="E19" s="7">
        <v>2519.16</v>
      </c>
      <c r="F19" s="7">
        <v>2700.7750000000001</v>
      </c>
      <c r="G19" s="7">
        <v>2571.1239999999998</v>
      </c>
      <c r="H19" s="7">
        <v>2667.0340000000001</v>
      </c>
      <c r="I19" s="7">
        <v>2791.6060000000002</v>
      </c>
      <c r="J19" s="7">
        <v>2772.5720000000001</v>
      </c>
      <c r="K19" s="7">
        <v>2838.154</v>
      </c>
      <c r="L19" s="7">
        <v>2687.107</v>
      </c>
      <c r="M19" s="7">
        <v>2450.953</v>
      </c>
      <c r="N19" s="7">
        <v>2637.9920000000002</v>
      </c>
      <c r="O19" s="7">
        <v>2766.0920000000001</v>
      </c>
      <c r="P19" s="7">
        <v>3147.761</v>
      </c>
      <c r="R19" s="5">
        <f t="shared" si="0"/>
        <v>2628.7543333333329</v>
      </c>
      <c r="S19" s="5">
        <f t="shared" si="1"/>
        <v>69.247062212236827</v>
      </c>
      <c r="U19" s="7">
        <v>11.25</v>
      </c>
      <c r="V19" s="7">
        <v>2462.107</v>
      </c>
      <c r="W19" s="7">
        <v>2213.3789999999999</v>
      </c>
      <c r="X19" s="7">
        <v>2515.2620000000002</v>
      </c>
      <c r="Y19" s="7">
        <v>2240.5740000000001</v>
      </c>
      <c r="Z19" s="7">
        <v>2551.0729999999999</v>
      </c>
      <c r="AA19" s="7">
        <v>2605.67</v>
      </c>
      <c r="AB19" s="7">
        <v>2559.3890000000001</v>
      </c>
      <c r="AC19" s="7">
        <v>2210.3110000000001</v>
      </c>
      <c r="AD19" s="7">
        <v>2746.643</v>
      </c>
      <c r="AE19" s="7">
        <v>2522.0189999999998</v>
      </c>
      <c r="AF19" s="7">
        <v>2819.7159999999999</v>
      </c>
      <c r="AG19" s="7">
        <v>2210.9870000000001</v>
      </c>
      <c r="AH19" s="7">
        <v>2450.3780000000002</v>
      </c>
      <c r="AI19" s="7">
        <v>2679.047</v>
      </c>
      <c r="AJ19" s="7">
        <v>2773.502</v>
      </c>
      <c r="AL19" s="6">
        <f t="shared" si="2"/>
        <v>2551.5753749999999</v>
      </c>
      <c r="AM19" s="6">
        <f t="shared" si="3"/>
        <v>86.502221069944085</v>
      </c>
    </row>
    <row r="20" spans="1:39" x14ac:dyDescent="0.2">
      <c r="A20" s="7">
        <v>12.5</v>
      </c>
      <c r="B20" s="7">
        <v>1939.7940000000001</v>
      </c>
      <c r="C20" s="7">
        <v>2493.7530000000002</v>
      </c>
      <c r="D20" s="7">
        <v>1982.7470000000001</v>
      </c>
      <c r="E20" s="7">
        <v>2321.7649999999999</v>
      </c>
      <c r="F20" s="7">
        <v>2490.62</v>
      </c>
      <c r="G20" s="7">
        <v>2390.1350000000002</v>
      </c>
      <c r="H20" s="7">
        <v>2469.7869999999998</v>
      </c>
      <c r="I20" s="7">
        <v>2607.3870000000002</v>
      </c>
      <c r="J20" s="7">
        <v>2598.7249999999999</v>
      </c>
      <c r="K20" s="7">
        <v>2674.7310000000002</v>
      </c>
      <c r="L20" s="7">
        <v>2526.4589999999998</v>
      </c>
      <c r="M20" s="7">
        <v>2326.692</v>
      </c>
      <c r="N20" s="7">
        <v>2468.5030000000002</v>
      </c>
      <c r="O20" s="7">
        <v>2592.1179999999999</v>
      </c>
      <c r="P20" s="7">
        <v>2935.9259999999999</v>
      </c>
      <c r="R20" s="5">
        <f t="shared" si="0"/>
        <v>2454.6094666666668</v>
      </c>
      <c r="S20" s="5">
        <f t="shared" si="1"/>
        <v>64.638530107555795</v>
      </c>
      <c r="U20" s="7">
        <v>12.5</v>
      </c>
      <c r="V20" s="7">
        <v>2281.817</v>
      </c>
      <c r="W20" s="7">
        <v>2043.5419999999999</v>
      </c>
      <c r="X20" s="7">
        <v>2338.29</v>
      </c>
      <c r="Y20" s="7">
        <v>2086.6410000000001</v>
      </c>
      <c r="Z20" s="7">
        <v>2385.895</v>
      </c>
      <c r="AA20" s="7">
        <v>2421.085</v>
      </c>
      <c r="AB20" s="7">
        <v>2388.3850000000002</v>
      </c>
      <c r="AC20" s="7">
        <v>2049.402</v>
      </c>
      <c r="AD20" s="7">
        <v>2551.306</v>
      </c>
      <c r="AE20" s="7">
        <v>2332.0909999999999</v>
      </c>
      <c r="AF20" s="7">
        <v>2636.6370000000002</v>
      </c>
      <c r="AG20" s="7">
        <v>2063.6860000000001</v>
      </c>
      <c r="AH20" s="7">
        <v>2265.7869999999998</v>
      </c>
      <c r="AI20" s="7">
        <v>2519.1320000000001</v>
      </c>
      <c r="AJ20" s="7">
        <v>2563.9380000000001</v>
      </c>
      <c r="AL20" s="6">
        <f t="shared" si="2"/>
        <v>2372.7473749999999</v>
      </c>
      <c r="AM20" s="6">
        <f t="shared" si="3"/>
        <v>81.576854425736272</v>
      </c>
    </row>
    <row r="21" spans="1:39" x14ac:dyDescent="0.2">
      <c r="A21" s="7">
        <v>13.75</v>
      </c>
      <c r="B21" s="7">
        <v>1893.126</v>
      </c>
      <c r="C21" s="7">
        <v>2452.038</v>
      </c>
      <c r="D21" s="7">
        <v>1927.1079999999999</v>
      </c>
      <c r="E21" s="7">
        <v>2276.4859999999999</v>
      </c>
      <c r="F21" s="7">
        <v>2455.1709999999998</v>
      </c>
      <c r="G21" s="7">
        <v>2341.998</v>
      </c>
      <c r="H21" s="7">
        <v>2441.2979999999998</v>
      </c>
      <c r="I21" s="7">
        <v>2569.1970000000001</v>
      </c>
      <c r="J21" s="7">
        <v>2561.9459999999999</v>
      </c>
      <c r="K21" s="7">
        <v>2621.9140000000002</v>
      </c>
      <c r="L21" s="7">
        <v>2475.0230000000001</v>
      </c>
      <c r="M21" s="7">
        <v>2281.2530000000002</v>
      </c>
      <c r="N21" s="7">
        <v>2435.1880000000001</v>
      </c>
      <c r="O21" s="7">
        <v>2557.9589999999998</v>
      </c>
      <c r="P21" s="7">
        <v>2880.6170000000002</v>
      </c>
      <c r="R21" s="5">
        <f t="shared" si="0"/>
        <v>2411.3548000000001</v>
      </c>
      <c r="S21" s="5">
        <f t="shared" si="1"/>
        <v>64.943293152616903</v>
      </c>
      <c r="U21" s="7">
        <v>13.75</v>
      </c>
      <c r="V21" s="7">
        <v>2205.2330000000002</v>
      </c>
      <c r="W21" s="7">
        <v>2005.4929999999999</v>
      </c>
      <c r="X21" s="7">
        <v>2293.8760000000002</v>
      </c>
      <c r="Y21" s="7">
        <v>2067.1729999999998</v>
      </c>
      <c r="Z21" s="7">
        <v>2342.029</v>
      </c>
      <c r="AA21" s="7">
        <v>2380.1</v>
      </c>
      <c r="AB21" s="7">
        <v>2361.7310000000002</v>
      </c>
      <c r="AC21" s="7">
        <v>2011.6420000000001</v>
      </c>
      <c r="AD21" s="7">
        <v>2507.5329999999999</v>
      </c>
      <c r="AE21" s="7">
        <v>2290.6149999999998</v>
      </c>
      <c r="AF21" s="7">
        <v>2603.3989999999999</v>
      </c>
      <c r="AG21" s="7">
        <v>2027.5060000000001</v>
      </c>
      <c r="AH21" s="7">
        <v>2229.0259999999998</v>
      </c>
      <c r="AI21" s="7">
        <v>2485.6219999999998</v>
      </c>
      <c r="AJ21" s="7">
        <v>2542.7069999999999</v>
      </c>
      <c r="AL21" s="6">
        <f t="shared" si="2"/>
        <v>2337.2562499999999</v>
      </c>
      <c r="AM21" s="6">
        <f t="shared" si="3"/>
        <v>82.36543048810627</v>
      </c>
    </row>
    <row r="22" spans="1:39" x14ac:dyDescent="0.2">
      <c r="A22" s="7">
        <v>15</v>
      </c>
      <c r="B22" s="7">
        <v>1879.143</v>
      </c>
      <c r="C22" s="7">
        <v>2466.1419999999998</v>
      </c>
      <c r="D22" s="7">
        <v>1919.9649999999999</v>
      </c>
      <c r="E22" s="7">
        <v>2273.5050000000001</v>
      </c>
      <c r="F22" s="7">
        <v>2461.7719999999999</v>
      </c>
      <c r="G22" s="7">
        <v>2326.59</v>
      </c>
      <c r="H22" s="7">
        <v>2448.0970000000002</v>
      </c>
      <c r="I22" s="7">
        <v>2565.3240000000001</v>
      </c>
      <c r="J22" s="7">
        <v>2553.259</v>
      </c>
      <c r="K22" s="7">
        <v>2608.009</v>
      </c>
      <c r="L22" s="7">
        <v>2476.0039999999999</v>
      </c>
      <c r="M22" s="7">
        <v>2276.8780000000002</v>
      </c>
      <c r="N22" s="7">
        <v>2424.2190000000001</v>
      </c>
      <c r="O22" s="7">
        <v>2552.8130000000001</v>
      </c>
      <c r="P22" s="7">
        <v>2881.8389999999999</v>
      </c>
      <c r="R22" s="5">
        <f t="shared" si="0"/>
        <v>2407.5706</v>
      </c>
      <c r="S22" s="5">
        <f t="shared" si="1"/>
        <v>65.606718024168913</v>
      </c>
      <c r="U22" s="7">
        <v>15</v>
      </c>
      <c r="V22" s="7">
        <v>2190.154</v>
      </c>
      <c r="W22" s="7">
        <v>2005.809</v>
      </c>
      <c r="X22" s="7">
        <v>2283.4720000000002</v>
      </c>
      <c r="Y22" s="7">
        <v>2059.799</v>
      </c>
      <c r="Z22" s="7">
        <v>2341.8589999999999</v>
      </c>
      <c r="AA22" s="7">
        <v>2368.1480000000001</v>
      </c>
      <c r="AB22" s="7">
        <v>2362.9679999999998</v>
      </c>
      <c r="AC22" s="7">
        <v>2002.92</v>
      </c>
      <c r="AD22" s="7">
        <v>2500.9059999999999</v>
      </c>
      <c r="AE22" s="7">
        <v>2283.116</v>
      </c>
      <c r="AF22" s="7">
        <v>2600.489</v>
      </c>
      <c r="AG22" s="7">
        <v>2013.7809999999999</v>
      </c>
      <c r="AH22" s="7">
        <v>2232.4</v>
      </c>
      <c r="AI22" s="7">
        <v>2463.9720000000002</v>
      </c>
      <c r="AJ22" s="7">
        <v>2562.04</v>
      </c>
      <c r="AL22" s="6">
        <f t="shared" si="2"/>
        <v>2332.453</v>
      </c>
      <c r="AM22" s="6">
        <f t="shared" si="3"/>
        <v>83.753009805831539</v>
      </c>
    </row>
    <row r="23" spans="1:39" x14ac:dyDescent="0.2">
      <c r="A23" s="7">
        <v>16.25</v>
      </c>
      <c r="B23" s="7">
        <v>1882.538</v>
      </c>
      <c r="C23" s="7">
        <v>2453.1039999999998</v>
      </c>
      <c r="D23" s="7">
        <v>1931.001</v>
      </c>
      <c r="E23" s="7">
        <v>2253.7559999999999</v>
      </c>
      <c r="F23" s="7">
        <v>2443.2849999999999</v>
      </c>
      <c r="G23" s="7">
        <v>2320.5929999999998</v>
      </c>
      <c r="H23" s="7">
        <v>2445.87</v>
      </c>
      <c r="I23" s="7">
        <v>2552.462</v>
      </c>
      <c r="J23" s="7">
        <v>2553.8090000000002</v>
      </c>
      <c r="K23" s="7">
        <v>2597.6460000000002</v>
      </c>
      <c r="L23" s="7">
        <v>2488.6950000000002</v>
      </c>
      <c r="M23" s="7">
        <v>2281.34</v>
      </c>
      <c r="N23" s="7">
        <v>2414.0219999999999</v>
      </c>
      <c r="O23" s="7">
        <v>2545.9160000000002</v>
      </c>
      <c r="P23" s="7">
        <v>2884.2869999999998</v>
      </c>
      <c r="R23" s="5">
        <f t="shared" si="0"/>
        <v>2403.2215999999994</v>
      </c>
      <c r="S23" s="5">
        <f t="shared" si="1"/>
        <v>64.954070540271715</v>
      </c>
      <c r="U23" s="7">
        <v>16.25</v>
      </c>
      <c r="V23" s="7">
        <v>2198.6930000000002</v>
      </c>
      <c r="W23" s="7">
        <v>2003.9690000000001</v>
      </c>
      <c r="X23" s="7">
        <v>2291.636</v>
      </c>
      <c r="Y23" s="7">
        <v>2053.0740000000001</v>
      </c>
      <c r="Z23" s="7">
        <v>2338.694</v>
      </c>
      <c r="AA23" s="7">
        <v>2356.3910000000001</v>
      </c>
      <c r="AB23" s="7">
        <v>2352.88</v>
      </c>
      <c r="AC23" s="7">
        <v>2007.104</v>
      </c>
      <c r="AD23" s="7">
        <v>2501.317</v>
      </c>
      <c r="AE23" s="7">
        <v>2276.9259999999999</v>
      </c>
      <c r="AF23" s="7">
        <v>2587.433</v>
      </c>
      <c r="AG23" s="7">
        <v>2000.7560000000001</v>
      </c>
      <c r="AH23" s="7">
        <v>2221.337</v>
      </c>
      <c r="AI23" s="7">
        <v>2435.2190000000001</v>
      </c>
      <c r="AJ23" s="7">
        <v>2548.509</v>
      </c>
      <c r="AL23" s="6">
        <f t="shared" si="2"/>
        <v>2322.3251249999994</v>
      </c>
      <c r="AM23" s="6">
        <f t="shared" si="3"/>
        <v>82.511383496771757</v>
      </c>
    </row>
    <row r="24" spans="1:39" x14ac:dyDescent="0.2">
      <c r="A24" s="7">
        <v>17.5</v>
      </c>
      <c r="B24" s="7">
        <v>1886.53</v>
      </c>
      <c r="C24" s="7">
        <v>2434.8960000000002</v>
      </c>
      <c r="D24" s="7">
        <v>1942.3240000000001</v>
      </c>
      <c r="E24" s="7">
        <v>2246.7130000000002</v>
      </c>
      <c r="F24" s="7">
        <v>2440.989</v>
      </c>
      <c r="G24" s="7">
        <v>2321.4009999999998</v>
      </c>
      <c r="H24" s="7">
        <v>2443.7330000000002</v>
      </c>
      <c r="I24" s="7">
        <v>2544.7359999999999</v>
      </c>
      <c r="J24" s="7">
        <v>2550.587</v>
      </c>
      <c r="K24" s="7">
        <v>2589.951</v>
      </c>
      <c r="L24" s="7">
        <v>2482.6750000000002</v>
      </c>
      <c r="M24" s="7">
        <v>2271.259</v>
      </c>
      <c r="N24" s="7">
        <v>2409.3780000000002</v>
      </c>
      <c r="O24" s="7">
        <v>2529.5549999999998</v>
      </c>
      <c r="P24" s="7">
        <v>2865.7620000000002</v>
      </c>
      <c r="R24" s="5">
        <f t="shared" si="0"/>
        <v>2397.3659333333335</v>
      </c>
      <c r="S24" s="5">
        <f t="shared" si="1"/>
        <v>63.411814341197804</v>
      </c>
      <c r="U24" s="7">
        <v>17.5</v>
      </c>
      <c r="V24" s="7">
        <v>2207.9810000000002</v>
      </c>
      <c r="W24" s="7">
        <v>1994.5150000000001</v>
      </c>
      <c r="X24" s="7">
        <v>2304.7339999999999</v>
      </c>
      <c r="Y24" s="7">
        <v>2056.8609999999999</v>
      </c>
      <c r="Z24" s="7">
        <v>2329.788</v>
      </c>
      <c r="AA24" s="7">
        <v>2355.1950000000002</v>
      </c>
      <c r="AB24" s="7">
        <v>2358.3209999999999</v>
      </c>
      <c r="AC24" s="7">
        <v>2005.7619999999999</v>
      </c>
      <c r="AD24" s="7">
        <v>2514.145</v>
      </c>
      <c r="AE24" s="7">
        <v>2261.0970000000002</v>
      </c>
      <c r="AF24" s="7">
        <v>2573.029</v>
      </c>
      <c r="AG24" s="7">
        <v>1995.154</v>
      </c>
      <c r="AH24" s="7">
        <v>2208.6750000000002</v>
      </c>
      <c r="AI24" s="7">
        <v>2425.0569999999998</v>
      </c>
      <c r="AJ24" s="7">
        <v>2524.373</v>
      </c>
      <c r="AL24" s="6">
        <f t="shared" si="2"/>
        <v>2313.4115000000002</v>
      </c>
      <c r="AM24" s="6">
        <f t="shared" si="3"/>
        <v>81.756088565317256</v>
      </c>
    </row>
    <row r="25" spans="1:39" x14ac:dyDescent="0.2">
      <c r="A25" s="7">
        <v>18.75</v>
      </c>
      <c r="B25" s="7">
        <v>1900.221</v>
      </c>
      <c r="C25" s="7">
        <v>2431.2460000000001</v>
      </c>
      <c r="D25" s="7">
        <v>1943.0440000000001</v>
      </c>
      <c r="E25" s="7">
        <v>2253.509</v>
      </c>
      <c r="F25" s="7">
        <v>2455.4499999999998</v>
      </c>
      <c r="G25" s="7">
        <v>2319.3440000000001</v>
      </c>
      <c r="H25" s="7">
        <v>2450.616</v>
      </c>
      <c r="I25" s="7">
        <v>2554.2550000000001</v>
      </c>
      <c r="J25" s="7">
        <v>2552.1489999999999</v>
      </c>
      <c r="K25" s="7">
        <v>2600.201</v>
      </c>
      <c r="L25" s="7">
        <v>2486.578</v>
      </c>
      <c r="M25" s="7">
        <v>2253.5880000000002</v>
      </c>
      <c r="N25" s="7">
        <v>2404.9</v>
      </c>
      <c r="O25" s="7">
        <v>2519.1489999999999</v>
      </c>
      <c r="P25" s="7">
        <v>2857.8530000000001</v>
      </c>
      <c r="R25" s="5">
        <f t="shared" si="0"/>
        <v>2398.8068666666672</v>
      </c>
      <c r="S25" s="5">
        <f t="shared" si="1"/>
        <v>62.979623704955372</v>
      </c>
      <c r="U25" s="7">
        <v>18.75</v>
      </c>
      <c r="V25" s="7">
        <v>2223.143</v>
      </c>
      <c r="W25" s="7">
        <v>2002.261</v>
      </c>
      <c r="X25" s="7">
        <v>2301.2170000000001</v>
      </c>
      <c r="Y25" s="7">
        <v>2062.067</v>
      </c>
      <c r="Z25" s="7">
        <v>2336.1410000000001</v>
      </c>
      <c r="AA25" s="7">
        <v>2343.6210000000001</v>
      </c>
      <c r="AB25" s="7">
        <v>2365.0520000000001</v>
      </c>
      <c r="AC25" s="7">
        <v>2009.66</v>
      </c>
      <c r="AD25" s="7">
        <v>2519.924</v>
      </c>
      <c r="AE25" s="7">
        <v>2261.5940000000001</v>
      </c>
      <c r="AF25" s="7">
        <v>2569.806</v>
      </c>
      <c r="AG25" s="7">
        <v>1996.5260000000001</v>
      </c>
      <c r="AH25" s="7">
        <v>2205.6210000000001</v>
      </c>
      <c r="AI25" s="7">
        <v>2428.3449999999998</v>
      </c>
      <c r="AJ25" s="7">
        <v>2514.3040000000001</v>
      </c>
      <c r="AL25" s="6">
        <f t="shared" si="2"/>
        <v>2313.2224999999999</v>
      </c>
      <c r="AM25" s="6">
        <f t="shared" si="3"/>
        <v>81.167596846190477</v>
      </c>
    </row>
    <row r="26" spans="1:39" x14ac:dyDescent="0.2">
      <c r="A26" s="7">
        <v>20</v>
      </c>
      <c r="B26" s="7">
        <v>1917.5119999999999</v>
      </c>
      <c r="C26" s="7">
        <v>2449.9090000000001</v>
      </c>
      <c r="D26" s="7">
        <v>1951.663</v>
      </c>
      <c r="E26" s="7">
        <v>2271.6390000000001</v>
      </c>
      <c r="F26" s="7">
        <v>2460.9749999999999</v>
      </c>
      <c r="G26" s="7">
        <v>2339.7260000000001</v>
      </c>
      <c r="H26" s="7">
        <v>2467.277</v>
      </c>
      <c r="I26" s="7">
        <v>2569.317</v>
      </c>
      <c r="J26" s="7">
        <v>2565.9189999999999</v>
      </c>
      <c r="K26" s="7">
        <v>2618.0949999999998</v>
      </c>
      <c r="L26" s="7">
        <v>2494.5140000000001</v>
      </c>
      <c r="M26" s="7">
        <v>2262.0279999999998</v>
      </c>
      <c r="N26" s="7">
        <v>2406.3969999999999</v>
      </c>
      <c r="O26" s="7">
        <v>2537.5030000000002</v>
      </c>
      <c r="P26" s="7">
        <v>2858.0909999999999</v>
      </c>
      <c r="R26" s="5">
        <f t="shared" si="0"/>
        <v>2411.3710000000001</v>
      </c>
      <c r="S26" s="5">
        <f t="shared" si="1"/>
        <v>62.61116270792369</v>
      </c>
      <c r="U26" s="7">
        <v>20</v>
      </c>
      <c r="V26" s="7">
        <v>2245.8980000000001</v>
      </c>
      <c r="W26" s="7">
        <v>2006.67</v>
      </c>
      <c r="X26" s="7">
        <v>2303.2199999999998</v>
      </c>
      <c r="Y26" s="7">
        <v>2068.9369999999999</v>
      </c>
      <c r="Z26" s="7">
        <v>2342.4780000000001</v>
      </c>
      <c r="AA26" s="7">
        <v>2339.5369999999998</v>
      </c>
      <c r="AB26" s="7">
        <v>2382.9760000000001</v>
      </c>
      <c r="AC26" s="7">
        <v>2016.0650000000001</v>
      </c>
      <c r="AD26" s="7">
        <v>2526.232</v>
      </c>
      <c r="AE26" s="7">
        <v>2286.0819999999999</v>
      </c>
      <c r="AF26" s="7">
        <v>2576.944</v>
      </c>
      <c r="AG26" s="7">
        <v>2010.681</v>
      </c>
      <c r="AH26" s="7">
        <v>2219.373</v>
      </c>
      <c r="AI26" s="7">
        <v>2446.7959999999998</v>
      </c>
      <c r="AJ26" s="7">
        <v>2534.3389999999999</v>
      </c>
      <c r="AL26" s="6">
        <f t="shared" si="2"/>
        <v>2327.0640000000003</v>
      </c>
      <c r="AM26" s="6">
        <f t="shared" si="3"/>
        <v>81.229617285990997</v>
      </c>
    </row>
    <row r="27" spans="1:39" x14ac:dyDescent="0.2">
      <c r="A27" s="7">
        <v>21.25</v>
      </c>
      <c r="B27" s="7">
        <v>1936.5609999999999</v>
      </c>
      <c r="C27" s="7">
        <v>2471.703</v>
      </c>
      <c r="D27" s="7">
        <v>1958.7180000000001</v>
      </c>
      <c r="E27" s="7">
        <v>2300.1570000000002</v>
      </c>
      <c r="F27" s="7">
        <v>2466.6880000000001</v>
      </c>
      <c r="G27" s="7">
        <v>2363.2460000000001</v>
      </c>
      <c r="H27" s="7">
        <v>2488.4389999999999</v>
      </c>
      <c r="I27" s="7">
        <v>2592.0700000000002</v>
      </c>
      <c r="J27" s="7">
        <v>2580.1080000000002</v>
      </c>
      <c r="K27" s="7">
        <v>2620.413</v>
      </c>
      <c r="L27" s="7">
        <v>2516.915</v>
      </c>
      <c r="M27" s="7">
        <v>2274.5909999999999</v>
      </c>
      <c r="N27" s="7">
        <v>2418.5549999999998</v>
      </c>
      <c r="O27" s="7">
        <v>2574.2220000000002</v>
      </c>
      <c r="P27" s="7">
        <v>2863.828</v>
      </c>
      <c r="R27" s="5">
        <f t="shared" si="0"/>
        <v>2428.4142666666671</v>
      </c>
      <c r="S27" s="5">
        <f t="shared" si="1"/>
        <v>62.460147597638048</v>
      </c>
      <c r="U27" s="7">
        <v>21.25</v>
      </c>
      <c r="V27" s="7">
        <v>2257.627</v>
      </c>
      <c r="W27" s="7">
        <v>2026.096</v>
      </c>
      <c r="X27" s="7">
        <v>2304.9560000000001</v>
      </c>
      <c r="Y27" s="7">
        <v>2081.6950000000002</v>
      </c>
      <c r="Z27" s="7">
        <v>2347.0529999999999</v>
      </c>
      <c r="AA27" s="7">
        <v>2356.8629999999998</v>
      </c>
      <c r="AB27" s="7">
        <v>2391.3150000000001</v>
      </c>
      <c r="AC27" s="7">
        <v>2014.133</v>
      </c>
      <c r="AD27" s="7">
        <v>2529.7379999999998</v>
      </c>
      <c r="AE27" s="7">
        <v>2302.5940000000001</v>
      </c>
      <c r="AF27" s="7">
        <v>2584.4319999999998</v>
      </c>
      <c r="AG27" s="7">
        <v>2032.162</v>
      </c>
      <c r="AH27" s="7">
        <v>2242.0210000000002</v>
      </c>
      <c r="AI27" s="7">
        <v>2461.681</v>
      </c>
      <c r="AJ27" s="7">
        <v>2552.44</v>
      </c>
      <c r="AL27" s="6">
        <f t="shared" si="2"/>
        <v>2339.9001250000001</v>
      </c>
      <c r="AM27" s="6">
        <f t="shared" si="3"/>
        <v>81.024365828046129</v>
      </c>
    </row>
    <row r="28" spans="1:39" x14ac:dyDescent="0.2">
      <c r="A28" s="7">
        <v>22.5</v>
      </c>
      <c r="B28" s="7">
        <v>1950.4349999999999</v>
      </c>
      <c r="C28" s="7">
        <v>2482.1979999999999</v>
      </c>
      <c r="D28" s="7">
        <v>1961.1579999999999</v>
      </c>
      <c r="E28" s="7">
        <v>2329.9859999999999</v>
      </c>
      <c r="F28" s="7">
        <v>2491.895</v>
      </c>
      <c r="G28" s="7">
        <v>2390.7600000000002</v>
      </c>
      <c r="H28" s="7">
        <v>2501.5189999999998</v>
      </c>
      <c r="I28" s="7">
        <v>2602.4969999999998</v>
      </c>
      <c r="J28" s="7">
        <v>2596.1289999999999</v>
      </c>
      <c r="K28" s="7">
        <v>2611.0909999999999</v>
      </c>
      <c r="L28" s="7">
        <v>2521.59</v>
      </c>
      <c r="M28" s="7">
        <v>2289.0450000000001</v>
      </c>
      <c r="N28" s="7">
        <v>2435.232</v>
      </c>
      <c r="O28" s="7">
        <v>2599.3200000000002</v>
      </c>
      <c r="P28" s="7">
        <v>2886.3009999999999</v>
      </c>
      <c r="R28" s="5">
        <f t="shared" si="0"/>
        <v>2443.277066666667</v>
      </c>
      <c r="S28" s="5">
        <f t="shared" si="1"/>
        <v>62.704015933018631</v>
      </c>
      <c r="U28" s="7">
        <v>22.5</v>
      </c>
      <c r="V28" s="7">
        <v>2261.2150000000001</v>
      </c>
      <c r="W28" s="7">
        <v>2050.6080000000002</v>
      </c>
      <c r="X28" s="7">
        <v>2318.3989999999999</v>
      </c>
      <c r="Y28" s="7">
        <v>2092.902</v>
      </c>
      <c r="Z28" s="7">
        <v>2356.8020000000001</v>
      </c>
      <c r="AA28" s="7">
        <v>2370.04</v>
      </c>
      <c r="AB28" s="7">
        <v>2389.5410000000002</v>
      </c>
      <c r="AC28" s="7">
        <v>2021.9549999999999</v>
      </c>
      <c r="AD28" s="7">
        <v>2539.2779999999998</v>
      </c>
      <c r="AE28" s="7">
        <v>2307.078</v>
      </c>
      <c r="AF28" s="7">
        <v>2607.5309999999999</v>
      </c>
      <c r="AG28" s="7">
        <v>2057.8029999999999</v>
      </c>
      <c r="AH28" s="7">
        <v>2269.4270000000001</v>
      </c>
      <c r="AI28" s="7">
        <v>2476.7460000000001</v>
      </c>
      <c r="AJ28" s="7">
        <v>2550.8449999999998</v>
      </c>
      <c r="AL28" s="6">
        <f t="shared" si="2"/>
        <v>2353.8328750000001</v>
      </c>
      <c r="AM28" s="6">
        <f t="shared" si="3"/>
        <v>80.151756462671102</v>
      </c>
    </row>
    <row r="29" spans="1:39" x14ac:dyDescent="0.2">
      <c r="A29" s="7">
        <v>23.75</v>
      </c>
      <c r="B29" s="7">
        <v>1957.7819999999999</v>
      </c>
      <c r="C29" s="7">
        <v>2501.2199999999998</v>
      </c>
      <c r="D29" s="7">
        <v>1978.317</v>
      </c>
      <c r="E29" s="7">
        <v>2356.2750000000001</v>
      </c>
      <c r="F29" s="7">
        <v>2519.4279999999999</v>
      </c>
      <c r="G29" s="7">
        <v>2418.4899999999998</v>
      </c>
      <c r="H29" s="7">
        <v>2519.2550000000001</v>
      </c>
      <c r="I29" s="7">
        <v>2625.0340000000001</v>
      </c>
      <c r="J29" s="7">
        <v>2626.4479999999999</v>
      </c>
      <c r="K29" s="7">
        <v>2627.0540000000001</v>
      </c>
      <c r="L29" s="7">
        <v>2519.9209999999998</v>
      </c>
      <c r="M29" s="7">
        <v>2306.5410000000002</v>
      </c>
      <c r="N29" s="7">
        <v>2458.9760000000001</v>
      </c>
      <c r="O29" s="7">
        <v>2600.509</v>
      </c>
      <c r="P29" s="7">
        <v>2929.221</v>
      </c>
      <c r="R29" s="5">
        <f t="shared" si="0"/>
        <v>2462.9647333333332</v>
      </c>
      <c r="S29" s="5">
        <f t="shared" si="1"/>
        <v>63.816479282650931</v>
      </c>
      <c r="U29" s="7">
        <v>23.75</v>
      </c>
      <c r="V29" s="7">
        <v>2283.1439999999998</v>
      </c>
      <c r="W29" s="7">
        <v>2081.0639999999999</v>
      </c>
      <c r="X29" s="7">
        <v>2358.4830000000002</v>
      </c>
      <c r="Y29" s="7">
        <v>2105.6990000000001</v>
      </c>
      <c r="Z29" s="7">
        <v>2406.915</v>
      </c>
      <c r="AA29" s="7">
        <v>2411.0500000000002</v>
      </c>
      <c r="AB29" s="7">
        <v>2405.056</v>
      </c>
      <c r="AC29" s="7">
        <v>2043.288</v>
      </c>
      <c r="AD29" s="7">
        <v>2572.9470000000001</v>
      </c>
      <c r="AE29" s="7">
        <v>2321.578</v>
      </c>
      <c r="AF29" s="7">
        <v>2639.5529999999999</v>
      </c>
      <c r="AG29" s="7">
        <v>2071.0120000000002</v>
      </c>
      <c r="AH29" s="7">
        <v>2297.4520000000002</v>
      </c>
      <c r="AI29" s="7">
        <v>2499.6880000000001</v>
      </c>
      <c r="AJ29" s="7">
        <v>2561.2579999999998</v>
      </c>
      <c r="AL29" s="6">
        <f t="shared" si="2"/>
        <v>2375.8470000000007</v>
      </c>
      <c r="AM29" s="6">
        <f t="shared" si="3"/>
        <v>81.362708939002601</v>
      </c>
    </row>
    <row r="30" spans="1:39" x14ac:dyDescent="0.2">
      <c r="A30" s="7">
        <v>25</v>
      </c>
      <c r="B30" s="7">
        <v>1980.778</v>
      </c>
      <c r="C30" s="7">
        <v>2560.8760000000002</v>
      </c>
      <c r="D30" s="7">
        <v>2027.8589999999999</v>
      </c>
      <c r="E30" s="7">
        <v>2377.3890000000001</v>
      </c>
      <c r="F30" s="7">
        <v>2539.7190000000001</v>
      </c>
      <c r="G30" s="7">
        <v>2437.86</v>
      </c>
      <c r="H30" s="7">
        <v>2548.3670000000002</v>
      </c>
      <c r="I30" s="7">
        <v>2657.5740000000001</v>
      </c>
      <c r="J30" s="7">
        <v>2661.337</v>
      </c>
      <c r="K30" s="7">
        <v>2684.3690000000001</v>
      </c>
      <c r="L30" s="7">
        <v>2559.6660000000002</v>
      </c>
      <c r="M30" s="7">
        <v>2321.5509999999999</v>
      </c>
      <c r="N30" s="7">
        <v>2487.7359999999999</v>
      </c>
      <c r="O30" s="7">
        <v>2628.0329999999999</v>
      </c>
      <c r="P30" s="7">
        <v>2972.4580000000001</v>
      </c>
      <c r="R30" s="5">
        <f t="shared" si="0"/>
        <v>2496.3714666666669</v>
      </c>
      <c r="S30" s="5">
        <f t="shared" si="1"/>
        <v>64.691333791126311</v>
      </c>
      <c r="U30" s="7">
        <v>25</v>
      </c>
      <c r="V30" s="7">
        <v>2309.15</v>
      </c>
      <c r="W30" s="7">
        <v>2106.3159999999998</v>
      </c>
      <c r="X30" s="7">
        <v>2395.3629999999998</v>
      </c>
      <c r="Y30" s="7">
        <v>2153.64</v>
      </c>
      <c r="Z30" s="7">
        <v>2450.02</v>
      </c>
      <c r="AA30" s="7">
        <v>2458.5410000000002</v>
      </c>
      <c r="AB30" s="7">
        <v>2440.5650000000001</v>
      </c>
      <c r="AC30" s="7">
        <v>2079.1930000000002</v>
      </c>
      <c r="AD30" s="7">
        <v>2624.864</v>
      </c>
      <c r="AE30" s="7">
        <v>2365.1419999999998</v>
      </c>
      <c r="AF30" s="7">
        <v>2666.0639999999999</v>
      </c>
      <c r="AG30" s="7">
        <v>2093.6680000000001</v>
      </c>
      <c r="AH30" s="7">
        <v>2305.942</v>
      </c>
      <c r="AI30" s="7">
        <v>2532.7020000000002</v>
      </c>
      <c r="AJ30" s="7">
        <v>2607.9479999999999</v>
      </c>
      <c r="AL30" s="6">
        <f t="shared" si="2"/>
        <v>2409.4403750000001</v>
      </c>
      <c r="AM30" s="6">
        <f t="shared" si="3"/>
        <v>83.271448294533641</v>
      </c>
    </row>
    <row r="31" spans="1:39" x14ac:dyDescent="0.2">
      <c r="A31" s="7">
        <v>26.25</v>
      </c>
      <c r="B31" s="7">
        <v>1987.347</v>
      </c>
      <c r="C31" s="7">
        <v>2589.7139999999999</v>
      </c>
      <c r="D31" s="7">
        <v>2048.953</v>
      </c>
      <c r="E31" s="7">
        <v>2392.4389999999999</v>
      </c>
      <c r="F31" s="7">
        <v>2548.5100000000002</v>
      </c>
      <c r="G31" s="7">
        <v>2455.0059999999999</v>
      </c>
      <c r="H31" s="7">
        <v>2570.6709999999998</v>
      </c>
      <c r="I31" s="7">
        <v>2669.261</v>
      </c>
      <c r="J31" s="7">
        <v>2678.7339999999999</v>
      </c>
      <c r="K31" s="7">
        <v>2705.2539999999999</v>
      </c>
      <c r="L31" s="7">
        <v>2588.9090000000001</v>
      </c>
      <c r="M31" s="7">
        <v>2347.7080000000001</v>
      </c>
      <c r="N31" s="7">
        <v>2522.6280000000002</v>
      </c>
      <c r="O31" s="7">
        <v>2652.6309999999999</v>
      </c>
      <c r="P31" s="7">
        <v>2982.9140000000002</v>
      </c>
      <c r="R31" s="5">
        <f t="shared" si="0"/>
        <v>2516.0452666666665</v>
      </c>
      <c r="S31" s="5">
        <f t="shared" si="1"/>
        <v>64.815524068401913</v>
      </c>
      <c r="U31" s="7">
        <v>26.25</v>
      </c>
      <c r="V31" s="7">
        <v>2309.4259999999999</v>
      </c>
      <c r="W31" s="7">
        <v>2117.0419999999999</v>
      </c>
      <c r="X31" s="7">
        <v>2414.3009999999999</v>
      </c>
      <c r="Y31" s="7">
        <v>2184.5149999999999</v>
      </c>
      <c r="Z31" s="7">
        <v>2471.6210000000001</v>
      </c>
      <c r="AA31" s="7">
        <v>2468.5070000000001</v>
      </c>
      <c r="AB31" s="7">
        <v>2469.2049999999999</v>
      </c>
      <c r="AC31" s="7">
        <v>2098.143</v>
      </c>
      <c r="AD31" s="7">
        <v>2637.8490000000002</v>
      </c>
      <c r="AE31" s="7">
        <v>2399.6129999999998</v>
      </c>
      <c r="AF31" s="7">
        <v>2681.1509999999998</v>
      </c>
      <c r="AG31" s="7">
        <v>2089.7779999999998</v>
      </c>
      <c r="AH31" s="7">
        <v>2308.0880000000002</v>
      </c>
      <c r="AI31" s="7">
        <v>2535.9879999999998</v>
      </c>
      <c r="AJ31" s="7">
        <v>2632.8919999999998</v>
      </c>
      <c r="AL31" s="6">
        <f t="shared" si="2"/>
        <v>2422.9377500000001</v>
      </c>
      <c r="AM31" s="6">
        <f t="shared" si="3"/>
        <v>84.509470269767903</v>
      </c>
    </row>
    <row r="32" spans="1:39" x14ac:dyDescent="0.2">
      <c r="A32" s="7">
        <v>27.5</v>
      </c>
      <c r="B32" s="7">
        <v>2003.5329999999999</v>
      </c>
      <c r="C32" s="7">
        <v>2570.1610000000001</v>
      </c>
      <c r="D32" s="7">
        <v>2031.8779999999999</v>
      </c>
      <c r="E32" s="7">
        <v>2388.723</v>
      </c>
      <c r="F32" s="7">
        <v>2561.2530000000002</v>
      </c>
      <c r="G32" s="7">
        <v>2451.42</v>
      </c>
      <c r="H32" s="7">
        <v>2585.1039999999998</v>
      </c>
      <c r="I32" s="7">
        <v>2679.3989999999999</v>
      </c>
      <c r="J32" s="7">
        <v>2665.567</v>
      </c>
      <c r="K32" s="7">
        <v>2688.8310000000001</v>
      </c>
      <c r="L32" s="7">
        <v>2598.1669999999999</v>
      </c>
      <c r="M32" s="7">
        <v>2348.6460000000002</v>
      </c>
      <c r="N32" s="7">
        <v>2546.8359999999998</v>
      </c>
      <c r="O32" s="7">
        <v>2659.8989999999999</v>
      </c>
      <c r="P32" s="7">
        <v>2973.6610000000001</v>
      </c>
      <c r="R32" s="5">
        <f t="shared" si="0"/>
        <v>2516.8718666666668</v>
      </c>
      <c r="S32" s="5">
        <f t="shared" si="1"/>
        <v>64.436087975374164</v>
      </c>
      <c r="U32" s="7">
        <v>27.5</v>
      </c>
      <c r="V32" s="7">
        <v>2311.2930000000001</v>
      </c>
      <c r="W32" s="7">
        <v>2115.3209999999999</v>
      </c>
      <c r="X32" s="7">
        <v>2415.5230000000001</v>
      </c>
      <c r="Y32" s="7">
        <v>2188.346</v>
      </c>
      <c r="Z32" s="7">
        <v>2467.7049999999999</v>
      </c>
      <c r="AA32" s="7">
        <v>2460.5940000000001</v>
      </c>
      <c r="AB32" s="7">
        <v>2494.37</v>
      </c>
      <c r="AC32" s="7">
        <v>2091.9769999999999</v>
      </c>
      <c r="AD32" s="7">
        <v>2640.819</v>
      </c>
      <c r="AE32" s="7">
        <v>2393.4789999999998</v>
      </c>
      <c r="AF32" s="7">
        <v>2699.78</v>
      </c>
      <c r="AG32" s="7">
        <v>2084.614</v>
      </c>
      <c r="AH32" s="7">
        <v>2321.8339999999998</v>
      </c>
      <c r="AI32" s="7">
        <v>2551.5859999999998</v>
      </c>
      <c r="AJ32" s="7">
        <v>2648.1950000000002</v>
      </c>
      <c r="AL32" s="6">
        <f t="shared" si="2"/>
        <v>2429.0355</v>
      </c>
      <c r="AM32" s="6">
        <f t="shared" si="3"/>
        <v>87.23893452364851</v>
      </c>
    </row>
    <row r="33" spans="1:39" x14ac:dyDescent="0.2">
      <c r="A33" s="7">
        <v>28.75</v>
      </c>
      <c r="B33" s="7">
        <v>2009.37</v>
      </c>
      <c r="C33" s="7">
        <v>2560.3159999999998</v>
      </c>
      <c r="D33" s="7">
        <v>2012.05</v>
      </c>
      <c r="E33" s="7">
        <v>2397.0509999999999</v>
      </c>
      <c r="F33" s="7">
        <v>2585.9070000000002</v>
      </c>
      <c r="G33" s="7">
        <v>2472.1559999999999</v>
      </c>
      <c r="H33" s="7">
        <v>2601.7469999999998</v>
      </c>
      <c r="I33" s="7">
        <v>2692.7280000000001</v>
      </c>
      <c r="J33" s="7">
        <v>2699.12</v>
      </c>
      <c r="K33" s="7">
        <v>2701.797</v>
      </c>
      <c r="L33" s="7">
        <v>2624.1610000000001</v>
      </c>
      <c r="M33" s="7">
        <v>2360.3519999999999</v>
      </c>
      <c r="N33" s="7">
        <v>2556.3960000000002</v>
      </c>
      <c r="O33" s="7">
        <v>2675.259</v>
      </c>
      <c r="P33" s="7">
        <v>3011.5160000000001</v>
      </c>
      <c r="R33" s="5">
        <f t="shared" si="0"/>
        <v>2530.6617333333334</v>
      </c>
      <c r="S33" s="5">
        <f t="shared" si="1"/>
        <v>67.097384380818482</v>
      </c>
      <c r="U33" s="7">
        <v>28.75</v>
      </c>
      <c r="V33" s="7">
        <v>2328.0709999999999</v>
      </c>
      <c r="W33" s="7">
        <v>2122.5700000000002</v>
      </c>
      <c r="X33" s="7">
        <v>2419.3240000000001</v>
      </c>
      <c r="Y33" s="7">
        <v>2199.9969999999998</v>
      </c>
      <c r="Z33" s="7">
        <v>2491.3789999999999</v>
      </c>
      <c r="AA33" s="7">
        <v>2477.4430000000002</v>
      </c>
      <c r="AB33" s="7">
        <v>2513.1579999999999</v>
      </c>
      <c r="AC33" s="7">
        <v>2090.9810000000002</v>
      </c>
      <c r="AD33" s="7">
        <v>2665.3829999999998</v>
      </c>
      <c r="AE33" s="7">
        <v>2400.6</v>
      </c>
      <c r="AF33" s="7">
        <v>2725.34</v>
      </c>
      <c r="AG33" s="7">
        <v>2106.9119999999998</v>
      </c>
      <c r="AH33" s="7">
        <v>2361.2950000000001</v>
      </c>
      <c r="AI33" s="7">
        <v>2604.203</v>
      </c>
      <c r="AJ33" s="7">
        <v>2679.2910000000002</v>
      </c>
      <c r="AL33" s="6">
        <f t="shared" si="2"/>
        <v>2454.2506250000001</v>
      </c>
      <c r="AM33" s="6">
        <f t="shared" si="3"/>
        <v>90.170799518575834</v>
      </c>
    </row>
    <row r="34" spans="1:39" x14ac:dyDescent="0.2">
      <c r="A34" s="7">
        <v>30</v>
      </c>
      <c r="B34" s="7">
        <v>2026.9349999999999</v>
      </c>
      <c r="C34" s="7">
        <v>2569.5230000000001</v>
      </c>
      <c r="D34" s="7">
        <v>2022.1179999999999</v>
      </c>
      <c r="E34" s="7">
        <v>2423.1880000000001</v>
      </c>
      <c r="F34" s="7">
        <v>2608.998</v>
      </c>
      <c r="G34" s="7">
        <v>2480.5770000000002</v>
      </c>
      <c r="H34" s="7">
        <v>2622.7919999999999</v>
      </c>
      <c r="I34" s="7">
        <v>2699.5059999999999</v>
      </c>
      <c r="J34" s="7">
        <v>2725.944</v>
      </c>
      <c r="K34" s="7">
        <v>2746.364</v>
      </c>
      <c r="L34" s="7">
        <v>2639.1689999999999</v>
      </c>
      <c r="M34" s="7">
        <v>2377.3440000000001</v>
      </c>
      <c r="N34" s="7">
        <v>2557.1790000000001</v>
      </c>
      <c r="O34" s="7">
        <v>2719.0590000000002</v>
      </c>
      <c r="P34" s="7">
        <v>3042.4029999999998</v>
      </c>
      <c r="R34" s="5">
        <f t="shared" si="0"/>
        <v>2550.7399333333333</v>
      </c>
      <c r="S34" s="5">
        <f t="shared" si="1"/>
        <v>68.418570620045543</v>
      </c>
      <c r="U34" s="7">
        <v>30</v>
      </c>
      <c r="V34" s="7">
        <v>2347.9050000000002</v>
      </c>
      <c r="W34" s="7">
        <v>2144.498</v>
      </c>
      <c r="X34" s="7">
        <v>2438.1660000000002</v>
      </c>
      <c r="Y34" s="7">
        <v>2215.462</v>
      </c>
      <c r="Z34" s="7">
        <v>2512.4690000000001</v>
      </c>
      <c r="AA34" s="7">
        <v>2518.692</v>
      </c>
      <c r="AB34" s="7">
        <v>2518.9070000000002</v>
      </c>
      <c r="AC34" s="7">
        <v>2116.6779999999999</v>
      </c>
      <c r="AD34" s="7">
        <v>2698.0549999999998</v>
      </c>
      <c r="AE34" s="7">
        <v>2425.6680000000001</v>
      </c>
      <c r="AF34" s="7">
        <v>2739.5140000000001</v>
      </c>
      <c r="AG34" s="7">
        <v>2116.8519999999999</v>
      </c>
      <c r="AH34" s="7">
        <v>2387.2539999999999</v>
      </c>
      <c r="AI34" s="7">
        <v>2649.5839999999998</v>
      </c>
      <c r="AJ34" s="7">
        <v>2710.4369999999999</v>
      </c>
      <c r="AL34" s="6">
        <f t="shared" si="2"/>
        <v>2480.5052500000002</v>
      </c>
      <c r="AM34" s="6">
        <f t="shared" si="3"/>
        <v>91.825390722351429</v>
      </c>
    </row>
    <row r="35" spans="1:39" x14ac:dyDescent="0.2">
      <c r="A35" s="7">
        <v>31.25</v>
      </c>
      <c r="B35" s="7">
        <v>2031.0630000000001</v>
      </c>
      <c r="C35" s="7">
        <v>2550.3069999999998</v>
      </c>
      <c r="D35" s="7">
        <v>2042.2260000000001</v>
      </c>
      <c r="E35" s="7">
        <v>2413.855</v>
      </c>
      <c r="F35" s="7">
        <v>2598.6819999999998</v>
      </c>
      <c r="G35" s="7">
        <v>2460.2080000000001</v>
      </c>
      <c r="H35" s="7">
        <v>2612.2440000000001</v>
      </c>
      <c r="I35" s="7">
        <v>2690.5419999999999</v>
      </c>
      <c r="J35" s="7">
        <v>2703.087</v>
      </c>
      <c r="K35" s="7">
        <v>2747.6880000000001</v>
      </c>
      <c r="L35" s="7">
        <v>2624.7240000000002</v>
      </c>
      <c r="M35" s="7">
        <v>2367.895</v>
      </c>
      <c r="N35" s="7">
        <v>2547.877</v>
      </c>
      <c r="O35" s="7">
        <v>2713.11</v>
      </c>
      <c r="P35" s="7">
        <v>3044.57</v>
      </c>
      <c r="R35" s="5">
        <f t="shared" si="0"/>
        <v>2543.2051999999999</v>
      </c>
      <c r="S35" s="5">
        <f t="shared" si="1"/>
        <v>67.312452560690716</v>
      </c>
      <c r="U35" s="7">
        <v>31.25</v>
      </c>
      <c r="V35" s="7">
        <v>2351.1379999999999</v>
      </c>
      <c r="W35" s="7">
        <v>2143.5810000000001</v>
      </c>
      <c r="X35" s="7">
        <v>2437.0320000000002</v>
      </c>
      <c r="Y35" s="7">
        <v>2216.7069999999999</v>
      </c>
      <c r="Z35" s="7">
        <v>2478.9050000000002</v>
      </c>
      <c r="AA35" s="7">
        <v>2522.63</v>
      </c>
      <c r="AB35" s="7">
        <v>2514.116</v>
      </c>
      <c r="AC35" s="7">
        <v>2126.732</v>
      </c>
      <c r="AD35" s="7">
        <v>2688.4259999999999</v>
      </c>
      <c r="AE35" s="7">
        <v>2436.134</v>
      </c>
      <c r="AF35" s="7">
        <v>2716.288</v>
      </c>
      <c r="AG35" s="7">
        <v>2117.13</v>
      </c>
      <c r="AH35" s="7">
        <v>2375.4180000000001</v>
      </c>
      <c r="AI35" s="7">
        <v>2644.2460000000001</v>
      </c>
      <c r="AJ35" s="7">
        <v>2686.127</v>
      </c>
      <c r="AL35" s="6">
        <f t="shared" si="2"/>
        <v>2473.812625</v>
      </c>
      <c r="AM35" s="6">
        <f t="shared" si="3"/>
        <v>88.415291743998324</v>
      </c>
    </row>
    <row r="36" spans="1:39" x14ac:dyDescent="0.2">
      <c r="A36" s="7">
        <v>32.5</v>
      </c>
      <c r="B36" s="7">
        <v>2004.7850000000001</v>
      </c>
      <c r="C36" s="7">
        <v>2536.9549999999999</v>
      </c>
      <c r="D36" s="7">
        <v>2027.981</v>
      </c>
      <c r="E36" s="7">
        <v>2412.895</v>
      </c>
      <c r="F36" s="7">
        <v>2604.1640000000002</v>
      </c>
      <c r="G36" s="7">
        <v>2453.4769999999999</v>
      </c>
      <c r="H36" s="7">
        <v>2583.125</v>
      </c>
      <c r="I36" s="7">
        <v>2670.6590000000001</v>
      </c>
      <c r="J36" s="7">
        <v>2683.6570000000002</v>
      </c>
      <c r="K36" s="7">
        <v>2726.4319999999998</v>
      </c>
      <c r="L36" s="7">
        <v>2574.346</v>
      </c>
      <c r="M36" s="7">
        <v>2339.6849999999999</v>
      </c>
      <c r="N36" s="7">
        <v>2531.5590000000002</v>
      </c>
      <c r="O36" s="7">
        <v>2693.2939999999999</v>
      </c>
      <c r="P36" s="7">
        <v>3006.7750000000001</v>
      </c>
      <c r="R36" s="5">
        <f t="shared" si="0"/>
        <v>2523.3192666666669</v>
      </c>
      <c r="S36" s="5">
        <f t="shared" si="1"/>
        <v>66.522239881358587</v>
      </c>
      <c r="U36" s="7">
        <v>32.5</v>
      </c>
      <c r="V36" s="7">
        <v>2335.8560000000002</v>
      </c>
      <c r="W36" s="7">
        <v>2130.1219999999998</v>
      </c>
      <c r="X36" s="7">
        <v>2430.3490000000002</v>
      </c>
      <c r="Y36" s="7">
        <v>2205.4470000000001</v>
      </c>
      <c r="Z36" s="7">
        <v>2470.201</v>
      </c>
      <c r="AA36" s="7">
        <v>2499.7220000000002</v>
      </c>
      <c r="AB36" s="7">
        <v>2516.2280000000001</v>
      </c>
      <c r="AC36" s="7">
        <v>2121.5540000000001</v>
      </c>
      <c r="AD36" s="7">
        <v>2666.7350000000001</v>
      </c>
      <c r="AE36" s="7">
        <v>2403.1849999999999</v>
      </c>
      <c r="AF36" s="7">
        <v>2711.23</v>
      </c>
      <c r="AG36" s="7">
        <v>2104.4549999999999</v>
      </c>
      <c r="AH36" s="7">
        <v>2360.0349999999999</v>
      </c>
      <c r="AI36" s="7">
        <v>2599.9409999999998</v>
      </c>
      <c r="AJ36" s="7">
        <v>2645.8629999999998</v>
      </c>
      <c r="AL36" s="6">
        <f t="shared" si="2"/>
        <v>2451.6247499999999</v>
      </c>
      <c r="AM36" s="6">
        <f t="shared" si="3"/>
        <v>85.940400887714446</v>
      </c>
    </row>
    <row r="37" spans="1:39" x14ac:dyDescent="0.2">
      <c r="A37" s="7">
        <v>33.75</v>
      </c>
      <c r="B37" s="7">
        <v>1994.944</v>
      </c>
      <c r="C37" s="7">
        <v>2568.0169999999998</v>
      </c>
      <c r="D37" s="7">
        <v>2050.3890000000001</v>
      </c>
      <c r="E37" s="7">
        <v>2427.826</v>
      </c>
      <c r="F37" s="7">
        <v>2618.3710000000001</v>
      </c>
      <c r="G37" s="7">
        <v>2457.0450000000001</v>
      </c>
      <c r="H37" s="7">
        <v>2584.3429999999998</v>
      </c>
      <c r="I37" s="7">
        <v>2669.326</v>
      </c>
      <c r="J37" s="7">
        <v>2701.1089999999999</v>
      </c>
      <c r="K37" s="7">
        <v>2725.5259999999998</v>
      </c>
      <c r="L37" s="7">
        <v>2583.0929999999998</v>
      </c>
      <c r="M37" s="7">
        <v>2333.4059999999999</v>
      </c>
      <c r="N37" s="7">
        <v>2521.79</v>
      </c>
      <c r="O37" s="7">
        <v>2698.8539999999998</v>
      </c>
      <c r="P37" s="7">
        <v>2971.7620000000002</v>
      </c>
      <c r="R37" s="5">
        <f t="shared" si="0"/>
        <v>2527.0534000000002</v>
      </c>
      <c r="S37" s="5">
        <f t="shared" si="1"/>
        <v>65.329658325026941</v>
      </c>
      <c r="U37" s="7">
        <v>33.75</v>
      </c>
      <c r="V37" s="7">
        <v>2347.0100000000002</v>
      </c>
      <c r="W37" s="7">
        <v>2144.6779999999999</v>
      </c>
      <c r="X37" s="7">
        <v>2437.29</v>
      </c>
      <c r="Y37" s="7">
        <v>2210.6750000000002</v>
      </c>
      <c r="Z37" s="7">
        <v>2495.5770000000002</v>
      </c>
      <c r="AA37" s="7">
        <v>2494.616</v>
      </c>
      <c r="AB37" s="7">
        <v>2530.3090000000002</v>
      </c>
      <c r="AC37" s="7">
        <v>2139.7080000000001</v>
      </c>
      <c r="AD37" s="7">
        <v>2666.0059999999999</v>
      </c>
      <c r="AE37" s="7">
        <v>2396.511</v>
      </c>
      <c r="AF37" s="7">
        <v>2720.1590000000001</v>
      </c>
      <c r="AG37" s="7">
        <v>2106.7020000000002</v>
      </c>
      <c r="AH37" s="7">
        <v>2363.5479999999998</v>
      </c>
      <c r="AI37" s="7">
        <v>2595.248</v>
      </c>
      <c r="AJ37" s="7">
        <v>2651.6179999999999</v>
      </c>
      <c r="AL37" s="6">
        <f t="shared" si="2"/>
        <v>2454.9374999999995</v>
      </c>
      <c r="AM37" s="6">
        <f t="shared" si="3"/>
        <v>85.111891584380984</v>
      </c>
    </row>
    <row r="38" spans="1:39" x14ac:dyDescent="0.2">
      <c r="A38" s="7">
        <v>35</v>
      </c>
      <c r="B38" s="7">
        <v>1991.8630000000001</v>
      </c>
      <c r="C38" s="7">
        <v>2563.3670000000002</v>
      </c>
      <c r="D38" s="7">
        <v>2055.0949999999998</v>
      </c>
      <c r="E38" s="7">
        <v>2419.3670000000002</v>
      </c>
      <c r="F38" s="7">
        <v>2593.6669999999999</v>
      </c>
      <c r="G38" s="7">
        <v>2452.0059999999999</v>
      </c>
      <c r="H38" s="7">
        <v>2566.4450000000002</v>
      </c>
      <c r="I38" s="7">
        <v>2659.13</v>
      </c>
      <c r="J38" s="7">
        <v>2682.085</v>
      </c>
      <c r="K38" s="7">
        <v>2723.7910000000002</v>
      </c>
      <c r="L38" s="7">
        <v>2587.4250000000002</v>
      </c>
      <c r="M38" s="7">
        <v>2321.27</v>
      </c>
      <c r="N38" s="7">
        <v>2503.5949999999998</v>
      </c>
      <c r="O38" s="7">
        <v>2690.72</v>
      </c>
      <c r="P38" s="7">
        <v>2957.2130000000002</v>
      </c>
      <c r="R38" s="5">
        <f t="shared" si="0"/>
        <v>2517.8026000000004</v>
      </c>
      <c r="S38" s="5">
        <f t="shared" si="1"/>
        <v>64.401147458928619</v>
      </c>
      <c r="U38" s="7">
        <v>35</v>
      </c>
      <c r="V38" s="7">
        <v>2343.087</v>
      </c>
      <c r="W38" s="7">
        <v>2135.8470000000002</v>
      </c>
      <c r="X38" s="7">
        <v>2424.5</v>
      </c>
      <c r="Y38" s="7">
        <v>2218.7779999999998</v>
      </c>
      <c r="Z38" s="7">
        <v>2489.194</v>
      </c>
      <c r="AA38" s="7">
        <v>2489.1329999999998</v>
      </c>
      <c r="AB38" s="7">
        <v>2519.3290000000002</v>
      </c>
      <c r="AC38" s="7">
        <v>2131.625</v>
      </c>
      <c r="AD38" s="7">
        <v>2661.895</v>
      </c>
      <c r="AE38" s="7">
        <v>2402.31</v>
      </c>
      <c r="AF38" s="7">
        <v>2703.3809999999999</v>
      </c>
      <c r="AG38" s="7">
        <v>2099.9229999999998</v>
      </c>
      <c r="AH38" s="7">
        <v>2356.7199999999998</v>
      </c>
      <c r="AI38" s="7">
        <v>2578.4740000000002</v>
      </c>
      <c r="AJ38" s="7">
        <v>2637.4160000000002</v>
      </c>
      <c r="AL38" s="6">
        <f t="shared" si="2"/>
        <v>2446.4679999999998</v>
      </c>
      <c r="AM38" s="6">
        <f t="shared" si="3"/>
        <v>84.041230185376463</v>
      </c>
    </row>
    <row r="39" spans="1:39" x14ac:dyDescent="0.2">
      <c r="A39" s="7">
        <v>36.25</v>
      </c>
      <c r="B39" s="7">
        <v>1904.9760000000001</v>
      </c>
      <c r="C39" s="7">
        <v>2448.0590000000002</v>
      </c>
      <c r="D39" s="7">
        <v>1954.8140000000001</v>
      </c>
      <c r="E39" s="7">
        <v>2309.721</v>
      </c>
      <c r="F39" s="7">
        <v>2477.0120000000002</v>
      </c>
      <c r="G39" s="7">
        <v>2343.1210000000001</v>
      </c>
      <c r="H39" s="7">
        <v>2442.5010000000002</v>
      </c>
      <c r="I39" s="7">
        <v>2530.9540000000002</v>
      </c>
      <c r="J39" s="7">
        <v>2545.462</v>
      </c>
      <c r="K39" s="7">
        <v>2599.3710000000001</v>
      </c>
      <c r="L39" s="7">
        <v>2452.8620000000001</v>
      </c>
      <c r="M39" s="7">
        <v>2211.1930000000002</v>
      </c>
      <c r="N39" s="7">
        <v>2390.6779999999999</v>
      </c>
      <c r="O39" s="7">
        <v>2558.393</v>
      </c>
      <c r="P39" s="7">
        <v>2825.7860000000001</v>
      </c>
      <c r="R39" s="5">
        <f t="shared" si="0"/>
        <v>2399.6601999999998</v>
      </c>
      <c r="S39" s="5">
        <f t="shared" si="1"/>
        <v>61.242622325056615</v>
      </c>
      <c r="U39" s="7">
        <v>36.25</v>
      </c>
      <c r="V39" s="7">
        <v>2243.6179999999999</v>
      </c>
      <c r="W39" s="7">
        <v>2043.0250000000001</v>
      </c>
      <c r="X39" s="7">
        <v>2316.2359999999999</v>
      </c>
      <c r="Y39" s="7">
        <v>2112.3339999999998</v>
      </c>
      <c r="Z39" s="7">
        <v>2380.8150000000001</v>
      </c>
      <c r="AA39" s="7">
        <v>2364.3409999999999</v>
      </c>
      <c r="AB39" s="7">
        <v>2410.1419999999998</v>
      </c>
      <c r="AC39" s="7">
        <v>2028.749</v>
      </c>
      <c r="AD39" s="7">
        <v>2555.1909999999998</v>
      </c>
      <c r="AE39" s="7">
        <v>2300.7779999999998</v>
      </c>
      <c r="AF39" s="7">
        <v>2584.1460000000002</v>
      </c>
      <c r="AG39" s="7">
        <v>2002.335</v>
      </c>
      <c r="AH39" s="7">
        <v>2253.0329999999999</v>
      </c>
      <c r="AI39" s="7">
        <v>2460.165</v>
      </c>
      <c r="AJ39" s="7">
        <v>2513.3879999999999</v>
      </c>
      <c r="AL39" s="6">
        <f t="shared" si="2"/>
        <v>2337.223125</v>
      </c>
      <c r="AM39" s="6">
        <f t="shared" si="3"/>
        <v>81.323014982457778</v>
      </c>
    </row>
    <row r="40" spans="1:39" x14ac:dyDescent="0.2">
      <c r="A40" s="7">
        <v>37.5</v>
      </c>
      <c r="B40" s="7">
        <v>1748.777</v>
      </c>
      <c r="C40" s="7">
        <v>2242.17</v>
      </c>
      <c r="D40" s="7">
        <v>1779.175</v>
      </c>
      <c r="E40" s="7">
        <v>2110.538</v>
      </c>
      <c r="F40" s="7">
        <v>2273.3809999999999</v>
      </c>
      <c r="G40" s="7">
        <v>2155.0360000000001</v>
      </c>
      <c r="H40" s="7">
        <v>2269.5410000000002</v>
      </c>
      <c r="I40" s="7">
        <v>2329.9389999999999</v>
      </c>
      <c r="J40" s="7">
        <v>2341.6419999999998</v>
      </c>
      <c r="K40" s="7">
        <v>2386.13</v>
      </c>
      <c r="L40" s="7">
        <v>2238.69</v>
      </c>
      <c r="M40" s="7">
        <v>2018.925</v>
      </c>
      <c r="N40" s="7">
        <v>2201.9079999999999</v>
      </c>
      <c r="O40" s="7">
        <v>2341.5810000000001</v>
      </c>
      <c r="P40" s="7">
        <v>2594.8670000000002</v>
      </c>
      <c r="R40" s="5">
        <f t="shared" si="0"/>
        <v>2202.1533333333332</v>
      </c>
      <c r="S40" s="5">
        <f t="shared" si="1"/>
        <v>57.092046873086716</v>
      </c>
      <c r="U40" s="7">
        <v>37.5</v>
      </c>
      <c r="V40" s="7">
        <v>2051.5100000000002</v>
      </c>
      <c r="W40" s="7">
        <v>1870</v>
      </c>
      <c r="X40" s="7">
        <v>2121.866</v>
      </c>
      <c r="Y40" s="7">
        <v>1946.3</v>
      </c>
      <c r="Z40" s="7">
        <v>2191.0140000000001</v>
      </c>
      <c r="AA40" s="7">
        <v>2171.2719999999999</v>
      </c>
      <c r="AB40" s="7">
        <v>2200.895</v>
      </c>
      <c r="AC40" s="7">
        <v>1854.2070000000001</v>
      </c>
      <c r="AD40" s="7">
        <v>2343.5770000000002</v>
      </c>
      <c r="AE40" s="7">
        <v>2122.326</v>
      </c>
      <c r="AF40" s="7">
        <v>2349.8719999999998</v>
      </c>
      <c r="AG40" s="7">
        <v>1837.37</v>
      </c>
      <c r="AH40" s="7">
        <v>2060.3969999999999</v>
      </c>
      <c r="AI40" s="7">
        <v>2268.1790000000001</v>
      </c>
      <c r="AJ40" s="7">
        <v>2306.2460000000001</v>
      </c>
      <c r="AL40" s="6">
        <f t="shared" si="2"/>
        <v>2142.7717499999999</v>
      </c>
      <c r="AM40" s="6">
        <f t="shared" si="3"/>
        <v>74.331249763606451</v>
      </c>
    </row>
    <row r="41" spans="1:39" x14ac:dyDescent="0.2">
      <c r="A41" s="7">
        <v>38.75</v>
      </c>
      <c r="B41" s="7">
        <v>1623.98</v>
      </c>
      <c r="C41" s="7">
        <v>2048.241</v>
      </c>
      <c r="D41" s="7">
        <v>1644.2850000000001</v>
      </c>
      <c r="E41" s="7">
        <v>1953.7470000000001</v>
      </c>
      <c r="F41" s="7">
        <v>2086.4569999999999</v>
      </c>
      <c r="G41" s="7">
        <v>1994.748</v>
      </c>
      <c r="H41" s="7">
        <v>2110.9119999999998</v>
      </c>
      <c r="I41" s="7">
        <v>2166.1109999999999</v>
      </c>
      <c r="J41" s="7">
        <v>2174.1080000000002</v>
      </c>
      <c r="K41" s="7">
        <v>2183.1819999999998</v>
      </c>
      <c r="L41" s="7">
        <v>2077.5410000000002</v>
      </c>
      <c r="M41" s="7">
        <v>1864.107</v>
      </c>
      <c r="N41" s="7">
        <v>2030.0419999999999</v>
      </c>
      <c r="O41" s="7">
        <v>2155.3670000000002</v>
      </c>
      <c r="P41" s="7">
        <v>2379.9110000000001</v>
      </c>
      <c r="R41" s="5">
        <f t="shared" si="0"/>
        <v>2032.8492666666668</v>
      </c>
      <c r="S41" s="5">
        <f t="shared" si="1"/>
        <v>51.700783019626876</v>
      </c>
      <c r="U41" s="7">
        <v>38.75</v>
      </c>
      <c r="V41" s="7">
        <v>1905.2460000000001</v>
      </c>
      <c r="W41" s="7">
        <v>1710.559</v>
      </c>
      <c r="X41" s="7">
        <v>1955.7239999999999</v>
      </c>
      <c r="Y41" s="7">
        <v>1799.6</v>
      </c>
      <c r="Z41" s="7">
        <v>2018.3710000000001</v>
      </c>
      <c r="AA41" s="7">
        <v>2017.5450000000001</v>
      </c>
      <c r="AB41" s="7">
        <v>2034.4939999999999</v>
      </c>
      <c r="AC41" s="7">
        <v>1714.857</v>
      </c>
      <c r="AD41" s="7">
        <v>2173.0819999999999</v>
      </c>
      <c r="AE41" s="7">
        <v>1974.15</v>
      </c>
      <c r="AF41" s="7">
        <v>2152.3339999999998</v>
      </c>
      <c r="AG41" s="7">
        <v>1698.6569999999999</v>
      </c>
      <c r="AH41" s="7">
        <v>1902.174</v>
      </c>
      <c r="AI41" s="7">
        <v>2111.4369999999999</v>
      </c>
      <c r="AJ41" s="7">
        <v>2122.143</v>
      </c>
      <c r="AL41" s="6">
        <f t="shared" si="2"/>
        <v>1981.1042500000001</v>
      </c>
      <c r="AM41" s="6">
        <f t="shared" si="3"/>
        <v>68.137994386850707</v>
      </c>
    </row>
    <row r="42" spans="1:39" x14ac:dyDescent="0.2">
      <c r="A42" s="7">
        <v>40</v>
      </c>
      <c r="B42" s="7">
        <v>1558.0150000000001</v>
      </c>
      <c r="C42" s="7">
        <v>1946.1389999999999</v>
      </c>
      <c r="D42" s="7">
        <v>1574.5519999999999</v>
      </c>
      <c r="E42" s="7">
        <v>1873.2560000000001</v>
      </c>
      <c r="F42" s="7">
        <v>2001.088</v>
      </c>
      <c r="G42" s="7">
        <v>1908.4290000000001</v>
      </c>
      <c r="H42" s="7">
        <v>2019.8969999999999</v>
      </c>
      <c r="I42" s="7">
        <v>2068.4160000000002</v>
      </c>
      <c r="J42" s="7">
        <v>2078.1770000000001</v>
      </c>
      <c r="K42" s="7">
        <v>2071.373</v>
      </c>
      <c r="L42" s="7">
        <v>1990.556</v>
      </c>
      <c r="M42" s="7">
        <v>1779.2439999999999</v>
      </c>
      <c r="N42" s="7">
        <v>1940.08</v>
      </c>
      <c r="O42" s="7">
        <v>2055.261</v>
      </c>
      <c r="P42" s="7">
        <v>2271.4850000000001</v>
      </c>
      <c r="R42" s="5">
        <f t="shared" si="0"/>
        <v>1942.3978666666667</v>
      </c>
      <c r="S42" s="5">
        <f t="shared" si="1"/>
        <v>48.765288867220839</v>
      </c>
      <c r="U42" s="7">
        <v>40</v>
      </c>
      <c r="V42" s="7">
        <v>1826.3389999999999</v>
      </c>
      <c r="W42" s="7">
        <v>1625.9780000000001</v>
      </c>
      <c r="X42" s="7">
        <v>1873.299</v>
      </c>
      <c r="Y42" s="7">
        <v>1718.4369999999999</v>
      </c>
      <c r="Z42" s="7">
        <v>1925.921</v>
      </c>
      <c r="AA42" s="7">
        <v>1931.751</v>
      </c>
      <c r="AB42" s="7">
        <v>1944.3040000000001</v>
      </c>
      <c r="AC42" s="7">
        <v>1631.154</v>
      </c>
      <c r="AD42" s="7">
        <v>2083.1640000000002</v>
      </c>
      <c r="AE42" s="7">
        <v>1898.989</v>
      </c>
      <c r="AF42" s="7">
        <v>2043.5229999999999</v>
      </c>
      <c r="AG42" s="7">
        <v>1610.9639999999999</v>
      </c>
      <c r="AH42" s="7">
        <v>1821.741</v>
      </c>
      <c r="AI42" s="7">
        <v>2031.5239999999999</v>
      </c>
      <c r="AJ42" s="7">
        <v>2032.9110000000001</v>
      </c>
      <c r="AL42" s="6">
        <f t="shared" si="2"/>
        <v>1894.2462500000001</v>
      </c>
      <c r="AM42" s="6">
        <f t="shared" si="3"/>
        <v>66.921119347373136</v>
      </c>
    </row>
    <row r="43" spans="1:39" x14ac:dyDescent="0.2">
      <c r="A43" s="7">
        <v>41.25</v>
      </c>
      <c r="B43" s="7">
        <v>1518.3109999999999</v>
      </c>
      <c r="C43" s="7">
        <v>1911.63</v>
      </c>
      <c r="D43" s="7">
        <v>1543.48</v>
      </c>
      <c r="E43" s="7">
        <v>1833.8430000000001</v>
      </c>
      <c r="F43" s="7">
        <v>1958.3019999999999</v>
      </c>
      <c r="G43" s="7">
        <v>1865.961</v>
      </c>
      <c r="H43" s="7">
        <v>1971.5609999999999</v>
      </c>
      <c r="I43" s="7">
        <v>2031.914</v>
      </c>
      <c r="J43" s="7">
        <v>2032.934</v>
      </c>
      <c r="K43" s="7">
        <v>2011.4780000000001</v>
      </c>
      <c r="L43" s="7">
        <v>1950.827</v>
      </c>
      <c r="M43" s="7">
        <v>1742.34</v>
      </c>
      <c r="N43" s="7">
        <v>1904.886</v>
      </c>
      <c r="O43" s="7">
        <v>2010.0550000000001</v>
      </c>
      <c r="P43" s="7">
        <v>2213.5320000000002</v>
      </c>
      <c r="R43" s="5">
        <f t="shared" si="0"/>
        <v>1900.0702666666666</v>
      </c>
      <c r="S43" s="5">
        <f t="shared" si="1"/>
        <v>47.427244273274262</v>
      </c>
      <c r="U43" s="7">
        <v>41.25</v>
      </c>
      <c r="V43" s="7">
        <v>1789.37</v>
      </c>
      <c r="W43" s="7">
        <v>1590.885</v>
      </c>
      <c r="X43" s="7">
        <v>1838.4970000000001</v>
      </c>
      <c r="Y43" s="7">
        <v>1669.7370000000001</v>
      </c>
      <c r="Z43" s="7">
        <v>1877.2670000000001</v>
      </c>
      <c r="AA43" s="7">
        <v>1881.7059999999999</v>
      </c>
      <c r="AB43" s="7">
        <v>1890.2260000000001</v>
      </c>
      <c r="AC43" s="7">
        <v>1581.877</v>
      </c>
      <c r="AD43" s="7">
        <v>2020.3230000000001</v>
      </c>
      <c r="AE43" s="7">
        <v>1847.8869999999999</v>
      </c>
      <c r="AF43" s="7">
        <v>2007.7850000000001</v>
      </c>
      <c r="AG43" s="7">
        <v>1572.2090000000001</v>
      </c>
      <c r="AH43" s="7">
        <v>1782.248</v>
      </c>
      <c r="AI43" s="7">
        <v>1982.0709999999999</v>
      </c>
      <c r="AJ43" s="7">
        <v>1986.146</v>
      </c>
      <c r="AL43" s="6">
        <f t="shared" si="2"/>
        <v>1847.56825</v>
      </c>
      <c r="AM43" s="6">
        <f t="shared" si="3"/>
        <v>65.939608020399447</v>
      </c>
    </row>
    <row r="44" spans="1:39" x14ac:dyDescent="0.2">
      <c r="A44" s="7">
        <v>42.5</v>
      </c>
      <c r="B44" s="7">
        <v>1503.441</v>
      </c>
      <c r="C44" s="7">
        <v>1896.819</v>
      </c>
      <c r="D44" s="7">
        <v>1529.722</v>
      </c>
      <c r="E44" s="7">
        <v>1821.674</v>
      </c>
      <c r="F44" s="7">
        <v>1947.2570000000001</v>
      </c>
      <c r="G44" s="7">
        <v>1845.6859999999999</v>
      </c>
      <c r="H44" s="7">
        <v>1957.703</v>
      </c>
      <c r="I44" s="7">
        <v>2014.913</v>
      </c>
      <c r="J44" s="7">
        <v>2014.123</v>
      </c>
      <c r="K44" s="7">
        <v>1992.7249999999999</v>
      </c>
      <c r="L44" s="7">
        <v>1922.682</v>
      </c>
      <c r="M44" s="7">
        <v>1729.57</v>
      </c>
      <c r="N44" s="7">
        <v>1892.2719999999999</v>
      </c>
      <c r="O44" s="7">
        <v>1992.8979999999999</v>
      </c>
      <c r="P44" s="7">
        <v>2194.1309999999999</v>
      </c>
      <c r="R44" s="5">
        <f t="shared" si="0"/>
        <v>1883.7077333333334</v>
      </c>
      <c r="S44" s="5">
        <f t="shared" si="1"/>
        <v>47.037566863647008</v>
      </c>
      <c r="U44" s="7">
        <v>42.5</v>
      </c>
      <c r="V44" s="7">
        <v>1773.8320000000001</v>
      </c>
      <c r="W44" s="7">
        <v>1589.087</v>
      </c>
      <c r="X44" s="7">
        <v>1819.5060000000001</v>
      </c>
      <c r="Y44" s="7">
        <v>1649.434</v>
      </c>
      <c r="Z44" s="7">
        <v>1861.712</v>
      </c>
      <c r="AA44" s="7">
        <v>1860.6030000000001</v>
      </c>
      <c r="AB44" s="7">
        <v>1878.556</v>
      </c>
      <c r="AC44" s="7">
        <v>1565.415</v>
      </c>
      <c r="AD44" s="7">
        <v>2004.385</v>
      </c>
      <c r="AE44" s="7">
        <v>1825.789</v>
      </c>
      <c r="AF44" s="7">
        <v>2012.4649999999999</v>
      </c>
      <c r="AG44" s="7">
        <v>1562.617</v>
      </c>
      <c r="AH44" s="7">
        <v>1758.662</v>
      </c>
      <c r="AI44" s="7">
        <v>1965.1469999999999</v>
      </c>
      <c r="AJ44" s="7">
        <v>1963.3520000000001</v>
      </c>
      <c r="AL44" s="6">
        <f t="shared" si="2"/>
        <v>1832.229</v>
      </c>
      <c r="AM44" s="6">
        <f t="shared" si="3"/>
        <v>66.32133061762903</v>
      </c>
    </row>
    <row r="45" spans="1:39" x14ac:dyDescent="0.2">
      <c r="A45" s="7">
        <v>43.75</v>
      </c>
      <c r="B45" s="7">
        <v>1507.5840000000001</v>
      </c>
      <c r="C45" s="7">
        <v>1893.0509999999999</v>
      </c>
      <c r="D45" s="7">
        <v>1511.789</v>
      </c>
      <c r="E45" s="7">
        <v>1817.8009999999999</v>
      </c>
      <c r="F45" s="7">
        <v>1944.6659999999999</v>
      </c>
      <c r="G45" s="7">
        <v>1845.92</v>
      </c>
      <c r="H45" s="7">
        <v>1955.269</v>
      </c>
      <c r="I45" s="7">
        <v>2002.2439999999999</v>
      </c>
      <c r="J45" s="7">
        <v>2011.268</v>
      </c>
      <c r="K45" s="7">
        <v>2001.2360000000001</v>
      </c>
      <c r="L45" s="7">
        <v>1921.5340000000001</v>
      </c>
      <c r="M45" s="7">
        <v>1722.587</v>
      </c>
      <c r="N45" s="7">
        <v>1884.56</v>
      </c>
      <c r="O45" s="7">
        <v>1996.8389999999999</v>
      </c>
      <c r="P45" s="7">
        <v>2190.1709999999998</v>
      </c>
      <c r="R45" s="5">
        <f t="shared" si="0"/>
        <v>1880.4346</v>
      </c>
      <c r="S45" s="5">
        <f t="shared" si="1"/>
        <v>47.437827004035093</v>
      </c>
      <c r="U45" s="7">
        <v>43.75</v>
      </c>
      <c r="V45" s="7">
        <v>1768.1590000000001</v>
      </c>
      <c r="W45" s="7">
        <v>1591.7850000000001</v>
      </c>
      <c r="X45" s="7">
        <v>1802.817</v>
      </c>
      <c r="Y45" s="7">
        <v>1642.317</v>
      </c>
      <c r="Z45" s="7">
        <v>1857.068</v>
      </c>
      <c r="AA45" s="7">
        <v>1854.357</v>
      </c>
      <c r="AB45" s="7">
        <v>1881.136</v>
      </c>
      <c r="AC45" s="7">
        <v>1571.1990000000001</v>
      </c>
      <c r="AD45" s="7">
        <v>2001.922</v>
      </c>
      <c r="AE45" s="7">
        <v>1819.625</v>
      </c>
      <c r="AF45" s="7">
        <v>2008.924</v>
      </c>
      <c r="AG45" s="7">
        <v>1560.6969999999999</v>
      </c>
      <c r="AH45" s="7">
        <v>1751.0619999999999</v>
      </c>
      <c r="AI45" s="7">
        <v>1946.3910000000001</v>
      </c>
      <c r="AJ45" s="7">
        <v>1949.624</v>
      </c>
      <c r="AL45" s="6">
        <f t="shared" si="2"/>
        <v>1826.1804999999999</v>
      </c>
      <c r="AM45" s="6">
        <f t="shared" si="3"/>
        <v>64.800785565399266</v>
      </c>
    </row>
    <row r="46" spans="1:39" x14ac:dyDescent="0.2">
      <c r="A46" s="7">
        <v>45</v>
      </c>
      <c r="B46" s="7">
        <v>1517.12</v>
      </c>
      <c r="C46" s="7">
        <v>1897.3040000000001</v>
      </c>
      <c r="D46" s="7">
        <v>1503.2660000000001</v>
      </c>
      <c r="E46" s="7">
        <v>1825.75</v>
      </c>
      <c r="F46" s="7">
        <v>1948.376</v>
      </c>
      <c r="G46" s="7">
        <v>1852.8209999999999</v>
      </c>
      <c r="H46" s="7">
        <v>1956.288</v>
      </c>
      <c r="I46" s="7">
        <v>2000.4670000000001</v>
      </c>
      <c r="J46" s="7">
        <v>2023.175</v>
      </c>
      <c r="K46" s="7">
        <v>2013.4770000000001</v>
      </c>
      <c r="L46" s="7">
        <v>1932.2370000000001</v>
      </c>
      <c r="M46" s="7">
        <v>1727.9570000000001</v>
      </c>
      <c r="N46" s="7">
        <v>1897.104</v>
      </c>
      <c r="O46" s="7">
        <v>2010.33</v>
      </c>
      <c r="P46" s="7">
        <v>2199.9490000000001</v>
      </c>
      <c r="R46" s="5">
        <f t="shared" si="0"/>
        <v>1887.0413999999998</v>
      </c>
      <c r="S46" s="5">
        <f t="shared" si="1"/>
        <v>48.09029658097063</v>
      </c>
      <c r="U46" s="7">
        <v>45</v>
      </c>
      <c r="V46" s="7">
        <v>1781.5519999999999</v>
      </c>
      <c r="W46" s="7">
        <v>1590.6110000000001</v>
      </c>
      <c r="X46" s="7">
        <v>1806.2919999999999</v>
      </c>
      <c r="Y46" s="7">
        <v>1650.318</v>
      </c>
      <c r="Z46" s="7">
        <v>1869.5709999999999</v>
      </c>
      <c r="AA46" s="7">
        <v>1854.961</v>
      </c>
      <c r="AB46" s="7">
        <v>1878.7919999999999</v>
      </c>
      <c r="AC46" s="7">
        <v>1580.0530000000001</v>
      </c>
      <c r="AD46" s="7">
        <v>2012.509</v>
      </c>
      <c r="AE46" s="7">
        <v>1834.213</v>
      </c>
      <c r="AF46" s="7">
        <v>1996.376</v>
      </c>
      <c r="AG46" s="7">
        <v>1562.2339999999999</v>
      </c>
      <c r="AH46" s="7">
        <v>1765.4069999999999</v>
      </c>
      <c r="AI46" s="7">
        <v>1939.7329999999999</v>
      </c>
      <c r="AJ46" s="7">
        <v>1964.414</v>
      </c>
      <c r="AL46" s="6">
        <f t="shared" si="2"/>
        <v>1831.867375</v>
      </c>
      <c r="AM46" s="6">
        <f t="shared" si="3"/>
        <v>64.007980112119469</v>
      </c>
    </row>
    <row r="47" spans="1:39" x14ac:dyDescent="0.2">
      <c r="A47" s="7">
        <v>46.25</v>
      </c>
      <c r="B47" s="7">
        <v>1535.2739999999999</v>
      </c>
      <c r="C47" s="7">
        <v>1930.7070000000001</v>
      </c>
      <c r="D47" s="7">
        <v>1529.799</v>
      </c>
      <c r="E47" s="7">
        <v>1850.258</v>
      </c>
      <c r="F47" s="7">
        <v>1975.578</v>
      </c>
      <c r="G47" s="7">
        <v>1888.673</v>
      </c>
      <c r="H47" s="7">
        <v>1986.4449999999999</v>
      </c>
      <c r="I47" s="7">
        <v>2027.8109999999999</v>
      </c>
      <c r="J47" s="7">
        <v>2057.2739999999999</v>
      </c>
      <c r="K47" s="7">
        <v>2045.8109999999999</v>
      </c>
      <c r="L47" s="7">
        <v>1977.085</v>
      </c>
      <c r="M47" s="7">
        <v>1779.1510000000001</v>
      </c>
      <c r="N47" s="7">
        <v>1958.5170000000001</v>
      </c>
      <c r="O47" s="7">
        <v>2045.011</v>
      </c>
      <c r="P47" s="7">
        <v>2270.81</v>
      </c>
      <c r="R47" s="5">
        <f t="shared" si="0"/>
        <v>1923.8802666666668</v>
      </c>
      <c r="S47" s="5">
        <f t="shared" si="1"/>
        <v>49.908524032947533</v>
      </c>
      <c r="U47" s="7">
        <v>46.25</v>
      </c>
      <c r="V47" s="7">
        <v>1809.6859999999999</v>
      </c>
      <c r="W47" s="7">
        <v>1610.9290000000001</v>
      </c>
      <c r="X47" s="7">
        <v>1846.2739999999999</v>
      </c>
      <c r="Y47" s="7">
        <v>1688.5229999999999</v>
      </c>
      <c r="Z47" s="7">
        <v>1893.69</v>
      </c>
      <c r="AA47" s="7">
        <v>1872.0930000000001</v>
      </c>
      <c r="AB47" s="7">
        <v>1899.402</v>
      </c>
      <c r="AC47" s="7">
        <v>1609.3510000000001</v>
      </c>
      <c r="AD47" s="7">
        <v>2031.788</v>
      </c>
      <c r="AE47" s="7">
        <v>1865.365</v>
      </c>
      <c r="AF47" s="7">
        <v>2043.9690000000001</v>
      </c>
      <c r="AG47" s="7">
        <v>1600.3230000000001</v>
      </c>
      <c r="AH47" s="7">
        <v>1814.481</v>
      </c>
      <c r="AI47" s="7">
        <v>1997.2829999999999</v>
      </c>
      <c r="AJ47" s="7">
        <v>2003.5039999999999</v>
      </c>
      <c r="AL47" s="6">
        <f t="shared" si="2"/>
        <v>1870.7579999999998</v>
      </c>
      <c r="AM47" s="6">
        <f t="shared" si="3"/>
        <v>64.673311123511908</v>
      </c>
    </row>
    <row r="48" spans="1:39" x14ac:dyDescent="0.2">
      <c r="A48" s="7">
        <v>47.5</v>
      </c>
      <c r="B48" s="7">
        <v>1581.472</v>
      </c>
      <c r="C48" s="7">
        <v>2015.547</v>
      </c>
      <c r="D48" s="7">
        <v>1596.194</v>
      </c>
      <c r="E48" s="7">
        <v>1912.0039999999999</v>
      </c>
      <c r="F48" s="7">
        <v>2067.06</v>
      </c>
      <c r="G48" s="7">
        <v>1967.6030000000001</v>
      </c>
      <c r="H48" s="7">
        <v>2059.83</v>
      </c>
      <c r="I48" s="7">
        <v>2104.4059999999999</v>
      </c>
      <c r="J48" s="7">
        <v>2144.482</v>
      </c>
      <c r="K48" s="7">
        <v>2136.7629999999999</v>
      </c>
      <c r="L48" s="7">
        <v>2080.9830000000002</v>
      </c>
      <c r="M48" s="7">
        <v>1889.165</v>
      </c>
      <c r="N48" s="7">
        <v>2055.4369999999999</v>
      </c>
      <c r="O48" s="7">
        <v>2134.587</v>
      </c>
      <c r="P48" s="7">
        <v>2404.3029999999999</v>
      </c>
      <c r="R48" s="5">
        <f t="shared" si="0"/>
        <v>2009.9890666666668</v>
      </c>
      <c r="S48" s="5">
        <f t="shared" si="1"/>
        <v>53.798997784563717</v>
      </c>
      <c r="U48" s="7">
        <v>47.5</v>
      </c>
      <c r="V48" s="7">
        <v>1872.299</v>
      </c>
      <c r="W48" s="7">
        <v>1693.2529999999999</v>
      </c>
      <c r="X48" s="7">
        <v>1944.7570000000001</v>
      </c>
      <c r="Y48" s="7">
        <v>1781.8209999999999</v>
      </c>
      <c r="Z48" s="7">
        <v>1984.318</v>
      </c>
      <c r="AA48" s="7">
        <v>1947.1610000000001</v>
      </c>
      <c r="AB48" s="7">
        <v>1968.269</v>
      </c>
      <c r="AC48" s="7">
        <v>1681.037</v>
      </c>
      <c r="AD48" s="7">
        <v>2112.5509999999999</v>
      </c>
      <c r="AE48" s="7">
        <v>1933.886</v>
      </c>
      <c r="AF48" s="7">
        <v>2152.8789999999999</v>
      </c>
      <c r="AG48" s="7">
        <v>1684.06</v>
      </c>
      <c r="AH48" s="7">
        <v>1906.3920000000001</v>
      </c>
      <c r="AI48" s="7">
        <v>2099.634</v>
      </c>
      <c r="AJ48" s="7">
        <v>2099.1579999999999</v>
      </c>
      <c r="AL48" s="6">
        <f t="shared" si="2"/>
        <v>1958.699625</v>
      </c>
      <c r="AM48" s="6">
        <f t="shared" si="3"/>
        <v>67.723464622931687</v>
      </c>
    </row>
    <row r="49" spans="1:39" x14ac:dyDescent="0.2">
      <c r="A49" s="7">
        <v>48.75</v>
      </c>
      <c r="B49" s="7">
        <v>1654.3430000000001</v>
      </c>
      <c r="C49" s="7">
        <v>2135.614</v>
      </c>
      <c r="D49" s="7">
        <v>1682.42</v>
      </c>
      <c r="E49" s="7">
        <v>2033.904</v>
      </c>
      <c r="F49" s="7">
        <v>2185.6410000000001</v>
      </c>
      <c r="G49" s="7">
        <v>2070.8470000000002</v>
      </c>
      <c r="H49" s="7">
        <v>2180.6039999999998</v>
      </c>
      <c r="I49" s="7">
        <v>2225.89</v>
      </c>
      <c r="J49" s="7">
        <v>2255.797</v>
      </c>
      <c r="K49" s="7">
        <v>2251.4659999999999</v>
      </c>
      <c r="L49" s="7">
        <v>2189.8420000000001</v>
      </c>
      <c r="M49" s="7">
        <v>1982.595</v>
      </c>
      <c r="N49" s="7">
        <v>2160.922</v>
      </c>
      <c r="O49" s="7">
        <v>2253.163</v>
      </c>
      <c r="P49" s="7">
        <v>2522.2539999999999</v>
      </c>
      <c r="R49" s="5">
        <f t="shared" si="0"/>
        <v>2119.0201333333334</v>
      </c>
      <c r="S49" s="5">
        <f t="shared" si="1"/>
        <v>56.831511962564484</v>
      </c>
      <c r="U49" s="7">
        <v>48.75</v>
      </c>
      <c r="V49" s="7">
        <v>1982.047</v>
      </c>
      <c r="W49" s="7">
        <v>1801.1759999999999</v>
      </c>
      <c r="X49" s="7">
        <v>2060.1489999999999</v>
      </c>
      <c r="Y49" s="7">
        <v>1883.65</v>
      </c>
      <c r="Z49" s="7">
        <v>2099.7330000000002</v>
      </c>
      <c r="AA49" s="7">
        <v>2052</v>
      </c>
      <c r="AB49" s="7">
        <v>2085.6019999999999</v>
      </c>
      <c r="AC49" s="7">
        <v>1769.1859999999999</v>
      </c>
      <c r="AD49" s="7">
        <v>2247.3809999999999</v>
      </c>
      <c r="AE49" s="7">
        <v>2045.328</v>
      </c>
      <c r="AF49" s="7">
        <v>2277.2170000000001</v>
      </c>
      <c r="AG49" s="7">
        <v>1774.9169999999999</v>
      </c>
      <c r="AH49" s="7">
        <v>2008.8910000000001</v>
      </c>
      <c r="AI49" s="7">
        <v>2199.7040000000002</v>
      </c>
      <c r="AJ49" s="7">
        <v>2217.6289999999999</v>
      </c>
      <c r="AL49" s="6">
        <f t="shared" si="2"/>
        <v>2067.5316250000001</v>
      </c>
      <c r="AM49" s="6">
        <f t="shared" si="3"/>
        <v>72.564954579608369</v>
      </c>
    </row>
    <row r="50" spans="1:39" x14ac:dyDescent="0.2">
      <c r="A50" s="7">
        <v>50</v>
      </c>
      <c r="B50" s="7">
        <v>1739.0239999999999</v>
      </c>
      <c r="C50" s="7">
        <v>2243.6770000000001</v>
      </c>
      <c r="D50" s="7">
        <v>1783.634</v>
      </c>
      <c r="E50" s="7">
        <v>2141.6869999999999</v>
      </c>
      <c r="F50" s="7">
        <v>2285.297</v>
      </c>
      <c r="G50" s="7">
        <v>2174.0880000000002</v>
      </c>
      <c r="H50" s="7">
        <v>2289.0909999999999</v>
      </c>
      <c r="I50" s="7">
        <v>2336.681</v>
      </c>
      <c r="J50" s="7">
        <v>2342.1869999999999</v>
      </c>
      <c r="K50" s="7">
        <v>2348.877</v>
      </c>
      <c r="L50" s="7">
        <v>2270.8690000000001</v>
      </c>
      <c r="M50" s="7">
        <v>2046.6469999999999</v>
      </c>
      <c r="N50" s="7">
        <v>2261.3530000000001</v>
      </c>
      <c r="O50" s="7">
        <v>2345.37</v>
      </c>
      <c r="P50" s="7">
        <v>2600.9299999999998</v>
      </c>
      <c r="R50" s="5">
        <f t="shared" si="0"/>
        <v>2213.9607999999998</v>
      </c>
      <c r="S50" s="5">
        <f t="shared" si="1"/>
        <v>56.878002780068883</v>
      </c>
      <c r="U50" s="7">
        <v>50</v>
      </c>
      <c r="V50" s="7">
        <v>2076.9850000000001</v>
      </c>
      <c r="W50" s="7">
        <v>1869.8869999999999</v>
      </c>
      <c r="X50" s="7">
        <v>2136.58</v>
      </c>
      <c r="Y50" s="7">
        <v>1953.932</v>
      </c>
      <c r="Z50" s="7">
        <v>2177.9140000000002</v>
      </c>
      <c r="AA50" s="7">
        <v>2138.2620000000002</v>
      </c>
      <c r="AB50" s="7">
        <v>2176.991</v>
      </c>
      <c r="AC50" s="7">
        <v>1847.556</v>
      </c>
      <c r="AD50" s="7">
        <v>2340.1819999999998</v>
      </c>
      <c r="AE50" s="7">
        <v>2136.241</v>
      </c>
      <c r="AF50" s="7">
        <v>2358.8939999999998</v>
      </c>
      <c r="AG50" s="7">
        <v>1856.9459999999999</v>
      </c>
      <c r="AH50" s="7">
        <v>2078.6419999999998</v>
      </c>
      <c r="AI50" s="7">
        <v>2265.5259999999998</v>
      </c>
      <c r="AJ50" s="7">
        <v>2305.0610000000001</v>
      </c>
      <c r="AL50" s="6">
        <f t="shared" si="2"/>
        <v>2148.6309999999999</v>
      </c>
      <c r="AM50" s="6">
        <f t="shared" si="3"/>
        <v>73.169979178378085</v>
      </c>
    </row>
    <row r="51" spans="1:39" x14ac:dyDescent="0.2">
      <c r="A51" s="7">
        <v>51.25</v>
      </c>
      <c r="B51" s="7">
        <v>1813.3610000000001</v>
      </c>
      <c r="C51" s="7">
        <v>2315.9639999999999</v>
      </c>
      <c r="D51" s="7">
        <v>1839.93</v>
      </c>
      <c r="E51" s="7">
        <v>2219.79</v>
      </c>
      <c r="F51" s="7">
        <v>2369.6750000000002</v>
      </c>
      <c r="G51" s="7">
        <v>2254.8420000000001</v>
      </c>
      <c r="H51" s="7">
        <v>2359.9050000000002</v>
      </c>
      <c r="I51" s="7">
        <v>2418.1750000000002</v>
      </c>
      <c r="J51" s="7">
        <v>2426.3910000000001</v>
      </c>
      <c r="K51" s="7">
        <v>2401.5070000000001</v>
      </c>
      <c r="L51" s="7">
        <v>2313.7750000000001</v>
      </c>
      <c r="M51" s="7">
        <v>2085.1320000000001</v>
      </c>
      <c r="N51" s="7">
        <v>2300.5129999999999</v>
      </c>
      <c r="O51" s="7">
        <v>2415.1329999999998</v>
      </c>
      <c r="P51" s="7">
        <v>2625.855</v>
      </c>
      <c r="R51" s="5">
        <f t="shared" si="0"/>
        <v>2277.3298666666674</v>
      </c>
      <c r="S51" s="5">
        <f t="shared" si="1"/>
        <v>56.230092627047568</v>
      </c>
      <c r="U51" s="7">
        <v>51.25</v>
      </c>
      <c r="V51" s="7">
        <v>2137.7510000000002</v>
      </c>
      <c r="W51" s="7">
        <v>1917.9839999999999</v>
      </c>
      <c r="X51" s="7">
        <v>2172.9409999999998</v>
      </c>
      <c r="Y51" s="7">
        <v>2010.373</v>
      </c>
      <c r="Z51" s="7">
        <v>2215.643</v>
      </c>
      <c r="AA51" s="7">
        <v>2214.8180000000002</v>
      </c>
      <c r="AB51" s="7">
        <v>2238.7280000000001</v>
      </c>
      <c r="AC51" s="7">
        <v>1875.2439999999999</v>
      </c>
      <c r="AD51" s="7">
        <v>2415.6210000000001</v>
      </c>
      <c r="AE51" s="7">
        <v>2180.3980000000001</v>
      </c>
      <c r="AF51" s="7">
        <v>2400.2629999999999</v>
      </c>
      <c r="AG51" s="7">
        <v>1892.309</v>
      </c>
      <c r="AH51" s="7">
        <v>2116.9920000000002</v>
      </c>
      <c r="AI51" s="7">
        <v>2328.6109999999999</v>
      </c>
      <c r="AJ51" s="7">
        <v>2356.1619999999998</v>
      </c>
      <c r="AL51" s="6">
        <f t="shared" si="2"/>
        <v>2195.6999999999998</v>
      </c>
      <c r="AM51" s="6">
        <f t="shared" si="3"/>
        <v>77.320287240339255</v>
      </c>
    </row>
    <row r="52" spans="1:39" x14ac:dyDescent="0.2">
      <c r="A52" s="7">
        <v>52.5</v>
      </c>
      <c r="B52" s="7">
        <v>1842.203</v>
      </c>
      <c r="C52" s="7">
        <v>2329.1559999999999</v>
      </c>
      <c r="D52" s="7">
        <v>1850.8510000000001</v>
      </c>
      <c r="E52" s="7">
        <v>2248.7840000000001</v>
      </c>
      <c r="F52" s="7">
        <v>2415.1109999999999</v>
      </c>
      <c r="G52" s="7">
        <v>2282.9839999999999</v>
      </c>
      <c r="H52" s="7">
        <v>2389.1840000000002</v>
      </c>
      <c r="I52" s="7">
        <v>2450.4459999999999</v>
      </c>
      <c r="J52" s="7">
        <v>2461.1129999999998</v>
      </c>
      <c r="K52" s="7">
        <v>2438.3519999999999</v>
      </c>
      <c r="L52" s="7">
        <v>2381.7159999999999</v>
      </c>
      <c r="M52" s="7">
        <v>2170.7730000000001</v>
      </c>
      <c r="N52" s="7">
        <v>2334.87</v>
      </c>
      <c r="O52" s="7">
        <v>2458.0529999999999</v>
      </c>
      <c r="P52" s="7">
        <v>2684.8670000000002</v>
      </c>
      <c r="R52" s="5">
        <f t="shared" si="0"/>
        <v>2315.8975333333337</v>
      </c>
      <c r="S52" s="5">
        <f t="shared" si="1"/>
        <v>57.649104338465662</v>
      </c>
      <c r="U52" s="7">
        <v>52.5</v>
      </c>
      <c r="V52" s="7">
        <v>2170.605</v>
      </c>
      <c r="W52" s="7">
        <v>1945.644</v>
      </c>
      <c r="X52" s="7">
        <v>2184.1019999999999</v>
      </c>
      <c r="Y52" s="7">
        <v>2024.78</v>
      </c>
      <c r="Z52" s="7">
        <v>2244.0189999999998</v>
      </c>
      <c r="AA52" s="7">
        <v>2244.884</v>
      </c>
      <c r="AB52" s="7">
        <v>2257.5529999999999</v>
      </c>
      <c r="AC52" s="7">
        <v>1893.201</v>
      </c>
      <c r="AD52" s="7">
        <v>2430.4899999999998</v>
      </c>
      <c r="AE52" s="7">
        <v>2215.6790000000001</v>
      </c>
      <c r="AF52" s="7">
        <v>2447.4079999999999</v>
      </c>
      <c r="AG52" s="7">
        <v>1910.077</v>
      </c>
      <c r="AH52" s="7">
        <v>2133.1849999999999</v>
      </c>
      <c r="AI52" s="7">
        <v>2368.8789999999999</v>
      </c>
      <c r="AJ52" s="7">
        <v>2370.6979999999999</v>
      </c>
      <c r="AL52" s="6">
        <f t="shared" si="2"/>
        <v>2221.2021249999998</v>
      </c>
      <c r="AM52" s="6">
        <f t="shared" si="3"/>
        <v>79.202395477941138</v>
      </c>
    </row>
    <row r="53" spans="1:39" x14ac:dyDescent="0.2">
      <c r="A53" s="7">
        <v>53.75</v>
      </c>
      <c r="B53" s="7">
        <v>1821.643</v>
      </c>
      <c r="C53" s="7">
        <v>2339.4839999999999</v>
      </c>
      <c r="D53" s="7">
        <v>1850.9580000000001</v>
      </c>
      <c r="E53" s="7">
        <v>2234.0790000000002</v>
      </c>
      <c r="F53" s="7">
        <v>2403.181</v>
      </c>
      <c r="G53" s="7">
        <v>2280.1289999999999</v>
      </c>
      <c r="H53" s="7">
        <v>2377.5239999999999</v>
      </c>
      <c r="I53" s="7">
        <v>2443.085</v>
      </c>
      <c r="J53" s="7">
        <v>2460.8850000000002</v>
      </c>
      <c r="K53" s="7">
        <v>2535.5219999999999</v>
      </c>
      <c r="L53" s="7">
        <v>2524.0230000000001</v>
      </c>
      <c r="M53" s="7">
        <v>2302.9270000000001</v>
      </c>
      <c r="N53" s="7">
        <v>2421.2020000000002</v>
      </c>
      <c r="O53" s="7">
        <v>2517.6889999999999</v>
      </c>
      <c r="P53" s="7">
        <v>2799.33</v>
      </c>
      <c r="R53" s="5">
        <f t="shared" si="0"/>
        <v>2354.1107333333334</v>
      </c>
      <c r="S53" s="5">
        <f t="shared" si="1"/>
        <v>64.473395582871291</v>
      </c>
      <c r="U53" s="7">
        <v>53.75</v>
      </c>
      <c r="V53" s="7">
        <v>2182.2310000000002</v>
      </c>
      <c r="W53" s="7">
        <v>1988.1569999999999</v>
      </c>
      <c r="X53" s="7">
        <v>2234.9349999999999</v>
      </c>
      <c r="Y53" s="7">
        <v>2040.463</v>
      </c>
      <c r="Z53" s="7">
        <v>2286.375</v>
      </c>
      <c r="AA53" s="7">
        <v>2262.3130000000001</v>
      </c>
      <c r="AB53" s="7">
        <v>2265.7950000000001</v>
      </c>
      <c r="AC53" s="7">
        <v>1947.8710000000001</v>
      </c>
      <c r="AD53" s="7">
        <v>2435.1410000000001</v>
      </c>
      <c r="AE53" s="7">
        <v>2238.0360000000001</v>
      </c>
      <c r="AF53" s="7">
        <v>2536.4740000000002</v>
      </c>
      <c r="AG53" s="7">
        <v>1966.127</v>
      </c>
      <c r="AH53" s="7">
        <v>2181.0639999999999</v>
      </c>
      <c r="AI53" s="7">
        <v>2419.2930000000001</v>
      </c>
      <c r="AJ53" s="7">
        <v>2445.5479999999998</v>
      </c>
      <c r="AL53" s="6">
        <f t="shared" si="2"/>
        <v>2271.19425</v>
      </c>
      <c r="AM53" s="6">
        <f t="shared" si="3"/>
        <v>79.777730849026057</v>
      </c>
    </row>
    <row r="54" spans="1:39" x14ac:dyDescent="0.2">
      <c r="A54" s="7">
        <v>55</v>
      </c>
      <c r="B54" s="7">
        <v>1776.4949999999999</v>
      </c>
      <c r="C54" s="7">
        <v>2328.0810000000001</v>
      </c>
      <c r="D54" s="7">
        <v>1844.777</v>
      </c>
      <c r="E54" s="7">
        <v>2236.7370000000001</v>
      </c>
      <c r="F54" s="7">
        <v>2363.9090000000001</v>
      </c>
      <c r="G54" s="7">
        <v>2261.308</v>
      </c>
      <c r="H54" s="7">
        <v>2359.67</v>
      </c>
      <c r="I54" s="7">
        <v>2407.174</v>
      </c>
      <c r="J54" s="7">
        <v>2437.9180000000001</v>
      </c>
      <c r="K54" s="7">
        <v>2595.2310000000002</v>
      </c>
      <c r="L54" s="7">
        <v>2582.232</v>
      </c>
      <c r="M54" s="7">
        <v>2324.6410000000001</v>
      </c>
      <c r="N54" s="7">
        <v>2421.8670000000002</v>
      </c>
      <c r="O54" s="7">
        <v>2524.116</v>
      </c>
      <c r="P54" s="7">
        <v>2801.6280000000002</v>
      </c>
      <c r="R54" s="5">
        <f t="shared" si="0"/>
        <v>2351.0522666666666</v>
      </c>
      <c r="S54" s="5">
        <f t="shared" si="1"/>
        <v>67.990349740552205</v>
      </c>
      <c r="U54" s="7">
        <v>55</v>
      </c>
      <c r="V54" s="7">
        <v>2153.7420000000002</v>
      </c>
      <c r="W54" s="7">
        <v>2002.1780000000001</v>
      </c>
      <c r="X54" s="7">
        <v>2256.0010000000002</v>
      </c>
      <c r="Y54" s="7">
        <v>2028.0350000000001</v>
      </c>
      <c r="Z54" s="7">
        <v>2288.3789999999999</v>
      </c>
      <c r="AA54" s="7">
        <v>2265.0210000000002</v>
      </c>
      <c r="AB54" s="7">
        <v>2279.77</v>
      </c>
      <c r="AC54" s="7">
        <v>1963.645</v>
      </c>
      <c r="AD54" s="7">
        <v>2435.009</v>
      </c>
      <c r="AE54" s="7">
        <v>2210.7829999999999</v>
      </c>
      <c r="AF54" s="7">
        <v>2554.2190000000001</v>
      </c>
      <c r="AG54" s="7">
        <v>1997.6369999999999</v>
      </c>
      <c r="AH54" s="7">
        <v>2198.5320000000002</v>
      </c>
      <c r="AI54" s="7">
        <v>2438.9169999999999</v>
      </c>
      <c r="AJ54" s="7">
        <v>2510.1120000000001</v>
      </c>
      <c r="AL54" s="6">
        <f t="shared" si="2"/>
        <v>2288.6067499999999</v>
      </c>
      <c r="AM54" s="6">
        <f t="shared" si="3"/>
        <v>81.072582583392958</v>
      </c>
    </row>
    <row r="55" spans="1:39" x14ac:dyDescent="0.2">
      <c r="A55" s="7">
        <v>56.25</v>
      </c>
      <c r="B55" s="7">
        <v>1688.662</v>
      </c>
      <c r="C55" s="7">
        <v>2204.4369999999999</v>
      </c>
      <c r="D55" s="7">
        <v>1756.2159999999999</v>
      </c>
      <c r="E55" s="7">
        <v>2115.4670000000001</v>
      </c>
      <c r="F55" s="7">
        <v>2249.748</v>
      </c>
      <c r="G55" s="7">
        <v>2154.5300000000002</v>
      </c>
      <c r="H55" s="7">
        <v>2246.116</v>
      </c>
      <c r="I55" s="7">
        <v>2287.5680000000002</v>
      </c>
      <c r="J55" s="7">
        <v>2316.0810000000001</v>
      </c>
      <c r="K55" s="7">
        <v>2478.5610000000001</v>
      </c>
      <c r="L55" s="7">
        <v>2470.9670000000001</v>
      </c>
      <c r="M55" s="7">
        <v>2241.7750000000001</v>
      </c>
      <c r="N55" s="7">
        <v>2294.9899999999998</v>
      </c>
      <c r="O55" s="7">
        <v>2381.6799999999998</v>
      </c>
      <c r="P55" s="7">
        <v>2649.0540000000001</v>
      </c>
      <c r="R55" s="5">
        <f t="shared" si="0"/>
        <v>2235.7234666666677</v>
      </c>
      <c r="S55" s="5">
        <f t="shared" si="1"/>
        <v>64.390569769245317</v>
      </c>
      <c r="U55" s="7">
        <v>56.25</v>
      </c>
      <c r="V55" s="7">
        <v>2042.008</v>
      </c>
      <c r="W55" s="7">
        <v>1902.8520000000001</v>
      </c>
      <c r="X55" s="7">
        <v>2132.4389999999999</v>
      </c>
      <c r="Y55" s="7">
        <v>1923.4580000000001</v>
      </c>
      <c r="Z55" s="7">
        <v>2173.1170000000002</v>
      </c>
      <c r="AA55" s="7">
        <v>2151.7860000000001</v>
      </c>
      <c r="AB55" s="7">
        <v>2166.7170000000001</v>
      </c>
      <c r="AC55" s="7">
        <v>1867.943</v>
      </c>
      <c r="AD55" s="7">
        <v>2318.0250000000001</v>
      </c>
      <c r="AE55" s="7">
        <v>2095.471</v>
      </c>
      <c r="AF55" s="7">
        <v>2431.2820000000002</v>
      </c>
      <c r="AG55" s="7">
        <v>1894.404</v>
      </c>
      <c r="AH55" s="7">
        <v>2092.328</v>
      </c>
      <c r="AI55" s="7">
        <v>2328.89</v>
      </c>
      <c r="AJ55" s="7">
        <v>2404.029</v>
      </c>
      <c r="AL55" s="6">
        <f t="shared" si="2"/>
        <v>2179.0464999999999</v>
      </c>
      <c r="AM55" s="6">
        <f t="shared" si="3"/>
        <v>78.866939669882314</v>
      </c>
    </row>
    <row r="56" spans="1:39" x14ac:dyDescent="0.2">
      <c r="A56" s="7">
        <v>57.5</v>
      </c>
      <c r="B56" s="7">
        <v>1541.693</v>
      </c>
      <c r="C56" s="7">
        <v>2032.86</v>
      </c>
      <c r="D56" s="7">
        <v>1599.866</v>
      </c>
      <c r="E56" s="7">
        <v>1914.0319999999999</v>
      </c>
      <c r="F56" s="7">
        <v>2067.096</v>
      </c>
      <c r="G56" s="7">
        <v>1958.4169999999999</v>
      </c>
      <c r="H56" s="7">
        <v>2056.4160000000002</v>
      </c>
      <c r="I56" s="7">
        <v>2097.7939999999999</v>
      </c>
      <c r="J56" s="7">
        <v>2115.7950000000001</v>
      </c>
      <c r="K56" s="7">
        <v>2297.9140000000002</v>
      </c>
      <c r="L56" s="7">
        <v>2325.6239999999998</v>
      </c>
      <c r="M56" s="7">
        <v>2128.0729999999999</v>
      </c>
      <c r="N56" s="7">
        <v>2151.2779999999998</v>
      </c>
      <c r="O56" s="7">
        <v>2205.1179999999999</v>
      </c>
      <c r="P56" s="7">
        <v>2450.415</v>
      </c>
      <c r="R56" s="5">
        <f t="shared" si="0"/>
        <v>2062.8260666666665</v>
      </c>
      <c r="S56" s="5">
        <f t="shared" si="1"/>
        <v>62.899032742693066</v>
      </c>
      <c r="U56" s="7">
        <v>57.5</v>
      </c>
      <c r="V56" s="7">
        <v>1872.075</v>
      </c>
      <c r="W56" s="7">
        <v>1751.9259999999999</v>
      </c>
      <c r="X56" s="7">
        <v>1958.2090000000001</v>
      </c>
      <c r="Y56" s="7">
        <v>1762.7760000000001</v>
      </c>
      <c r="Z56" s="7">
        <v>1997.259</v>
      </c>
      <c r="AA56" s="7">
        <v>1971.26</v>
      </c>
      <c r="AB56" s="7">
        <v>1976.2860000000001</v>
      </c>
      <c r="AC56" s="7">
        <v>1724.867</v>
      </c>
      <c r="AD56" s="7">
        <v>2126.665</v>
      </c>
      <c r="AE56" s="7">
        <v>1936.4380000000001</v>
      </c>
      <c r="AF56" s="7">
        <v>2273.0700000000002</v>
      </c>
      <c r="AG56" s="7">
        <v>1745.432</v>
      </c>
      <c r="AH56" s="7">
        <v>1926.9079999999999</v>
      </c>
      <c r="AI56" s="7">
        <v>2158.0259999999998</v>
      </c>
      <c r="AJ56" s="7">
        <v>2204.9140000000002</v>
      </c>
      <c r="AL56" s="6">
        <f t="shared" si="2"/>
        <v>2012.0400000000002</v>
      </c>
      <c r="AM56" s="6">
        <f t="shared" si="3"/>
        <v>73.95692774200208</v>
      </c>
    </row>
    <row r="57" spans="1:39" x14ac:dyDescent="0.2">
      <c r="A57" s="7">
        <v>58.75</v>
      </c>
      <c r="B57" s="7">
        <v>1417.079</v>
      </c>
      <c r="C57" s="7">
        <v>1893.365</v>
      </c>
      <c r="D57" s="7">
        <v>1477.86</v>
      </c>
      <c r="E57" s="7">
        <v>1778.231</v>
      </c>
      <c r="F57" s="7">
        <v>1929.0519999999999</v>
      </c>
      <c r="G57" s="7">
        <v>1794.914</v>
      </c>
      <c r="H57" s="7">
        <v>1914.5419999999999</v>
      </c>
      <c r="I57" s="7">
        <v>1955.635</v>
      </c>
      <c r="J57" s="7">
        <v>1960.925</v>
      </c>
      <c r="K57" s="7">
        <v>2188.6590000000001</v>
      </c>
      <c r="L57" s="7">
        <v>2220.5039999999999</v>
      </c>
      <c r="M57" s="7">
        <v>2052.6909999999998</v>
      </c>
      <c r="N57" s="7">
        <v>2033.0909999999999</v>
      </c>
      <c r="O57" s="7">
        <v>2082.5239999999999</v>
      </c>
      <c r="P57" s="7">
        <v>2303.7429999999999</v>
      </c>
      <c r="R57" s="5">
        <f t="shared" si="0"/>
        <v>1933.521</v>
      </c>
      <c r="S57" s="5">
        <f t="shared" si="1"/>
        <v>63.685813483814727</v>
      </c>
      <c r="U57" s="7">
        <v>58.75</v>
      </c>
      <c r="V57" s="7">
        <v>1747.6020000000001</v>
      </c>
      <c r="W57" s="7">
        <v>1637.4469999999999</v>
      </c>
      <c r="X57" s="7">
        <v>1827.576</v>
      </c>
      <c r="Y57" s="7">
        <v>1639.7360000000001</v>
      </c>
      <c r="Z57" s="7">
        <v>1867.8219999999999</v>
      </c>
      <c r="AA57" s="7">
        <v>1838.3009999999999</v>
      </c>
      <c r="AB57" s="7">
        <v>1844.0820000000001</v>
      </c>
      <c r="AC57" s="7">
        <v>1627.7360000000001</v>
      </c>
      <c r="AD57" s="7">
        <v>1972.0060000000001</v>
      </c>
      <c r="AE57" s="7">
        <v>1794.018</v>
      </c>
      <c r="AF57" s="7">
        <v>2153.4560000000001</v>
      </c>
      <c r="AG57" s="7">
        <v>1641.096</v>
      </c>
      <c r="AH57" s="7">
        <v>1798.95</v>
      </c>
      <c r="AI57" s="7">
        <v>2028.097</v>
      </c>
      <c r="AJ57" s="7">
        <v>2059.904</v>
      </c>
      <c r="AL57" s="6">
        <f t="shared" si="2"/>
        <v>1884.4078750000001</v>
      </c>
      <c r="AM57" s="6">
        <f t="shared" si="3"/>
        <v>69.700927109646088</v>
      </c>
    </row>
    <row r="58" spans="1:39" x14ac:dyDescent="0.2">
      <c r="A58" s="7">
        <v>60</v>
      </c>
      <c r="B58" s="7">
        <v>1349.2329999999999</v>
      </c>
      <c r="C58" s="7">
        <v>1775.45</v>
      </c>
      <c r="D58" s="7">
        <v>1403.633</v>
      </c>
      <c r="E58" s="7">
        <v>1697.92</v>
      </c>
      <c r="F58" s="7">
        <v>1833.623</v>
      </c>
      <c r="G58" s="7">
        <v>1709.7750000000001</v>
      </c>
      <c r="H58" s="7">
        <v>1830.37</v>
      </c>
      <c r="I58" s="7">
        <v>1846.7080000000001</v>
      </c>
      <c r="J58" s="7">
        <v>1866.242</v>
      </c>
      <c r="K58" s="7">
        <v>2076.0619999999999</v>
      </c>
      <c r="L58" s="7">
        <v>2116.0219999999999</v>
      </c>
      <c r="M58" s="7">
        <v>1964.1969999999999</v>
      </c>
      <c r="N58" s="7">
        <v>1918.2139999999999</v>
      </c>
      <c r="O58" s="7">
        <v>1977.9580000000001</v>
      </c>
      <c r="P58" s="7">
        <v>2192.3589999999999</v>
      </c>
      <c r="R58" s="5">
        <f t="shared" si="0"/>
        <v>1837.1844000000003</v>
      </c>
      <c r="S58" s="5">
        <f t="shared" si="1"/>
        <v>60.551966146662316</v>
      </c>
      <c r="U58" s="7">
        <v>60</v>
      </c>
      <c r="V58" s="7">
        <v>1670.6389999999999</v>
      </c>
      <c r="W58" s="7">
        <v>1552.585</v>
      </c>
      <c r="X58" s="7">
        <v>1730.162</v>
      </c>
      <c r="Y58" s="7">
        <v>1554.4010000000001</v>
      </c>
      <c r="Z58" s="7">
        <v>1781.354</v>
      </c>
      <c r="AA58" s="7">
        <v>1733.954</v>
      </c>
      <c r="AB58" s="7">
        <v>1753.3309999999999</v>
      </c>
      <c r="AC58" s="7">
        <v>1541.1969999999999</v>
      </c>
      <c r="AD58" s="7">
        <v>1873.1780000000001</v>
      </c>
      <c r="AE58" s="7">
        <v>1688.4670000000001</v>
      </c>
      <c r="AF58" s="7">
        <v>2042.883</v>
      </c>
      <c r="AG58" s="7">
        <v>1562.5139999999999</v>
      </c>
      <c r="AH58" s="7">
        <v>1716.9860000000001</v>
      </c>
      <c r="AI58" s="7">
        <v>1932.5070000000001</v>
      </c>
      <c r="AJ58" s="7">
        <v>1952.741</v>
      </c>
      <c r="AL58" s="6">
        <f t="shared" si="2"/>
        <v>1788.809125</v>
      </c>
      <c r="AM58" s="6">
        <f t="shared" si="3"/>
        <v>66.405509039815783</v>
      </c>
    </row>
    <row r="59" spans="1:39" x14ac:dyDescent="0.2">
      <c r="A59" s="7">
        <v>61.25</v>
      </c>
      <c r="B59" s="7">
        <v>1299.9269999999999</v>
      </c>
      <c r="C59" s="7">
        <v>1693.5309999999999</v>
      </c>
      <c r="D59" s="7">
        <v>1342.5619999999999</v>
      </c>
      <c r="E59" s="7">
        <v>1636.941</v>
      </c>
      <c r="F59" s="7">
        <v>1762.2650000000001</v>
      </c>
      <c r="G59" s="7">
        <v>1661.991</v>
      </c>
      <c r="H59" s="7">
        <v>1761.4359999999999</v>
      </c>
      <c r="I59" s="7">
        <v>1773.8689999999999</v>
      </c>
      <c r="J59" s="7">
        <v>1797.1379999999999</v>
      </c>
      <c r="K59" s="7">
        <v>1986.9110000000001</v>
      </c>
      <c r="L59" s="7">
        <v>2024.96</v>
      </c>
      <c r="M59" s="7">
        <v>1867.1780000000001</v>
      </c>
      <c r="N59" s="7">
        <v>1827.1669999999999</v>
      </c>
      <c r="O59" s="7">
        <v>1903.4359999999999</v>
      </c>
      <c r="P59" s="7">
        <v>2099.0729999999999</v>
      </c>
      <c r="R59" s="5">
        <f t="shared" si="0"/>
        <v>1762.5590000000002</v>
      </c>
      <c r="S59" s="5">
        <f t="shared" si="1"/>
        <v>57.313046903492349</v>
      </c>
      <c r="U59" s="7">
        <v>61.25</v>
      </c>
      <c r="V59" s="7">
        <v>1623.49</v>
      </c>
      <c r="W59" s="7">
        <v>1495.289</v>
      </c>
      <c r="X59" s="7">
        <v>1666.299</v>
      </c>
      <c r="Y59" s="7">
        <v>1517.8019999999999</v>
      </c>
      <c r="Z59" s="7">
        <v>1712.124</v>
      </c>
      <c r="AA59" s="7">
        <v>1682.0219999999999</v>
      </c>
      <c r="AB59" s="7">
        <v>1689.6220000000001</v>
      </c>
      <c r="AC59" s="7">
        <v>1479.67</v>
      </c>
      <c r="AD59" s="7">
        <v>1804.5119999999999</v>
      </c>
      <c r="AE59" s="7">
        <v>1633.4659999999999</v>
      </c>
      <c r="AF59" s="7">
        <v>1938.221</v>
      </c>
      <c r="AG59" s="7">
        <v>1494.4449999999999</v>
      </c>
      <c r="AH59" s="7">
        <v>1648.9659999999999</v>
      </c>
      <c r="AI59" s="7">
        <v>1844.193</v>
      </c>
      <c r="AJ59" s="7">
        <v>1875.3330000000001</v>
      </c>
      <c r="AL59" s="6">
        <f t="shared" si="2"/>
        <v>1714.8507499999998</v>
      </c>
      <c r="AM59" s="6">
        <f t="shared" si="3"/>
        <v>62.000912458075391</v>
      </c>
    </row>
    <row r="60" spans="1:39" x14ac:dyDescent="0.2">
      <c r="A60" s="7">
        <v>62.5</v>
      </c>
      <c r="B60" s="7">
        <v>1262.136</v>
      </c>
      <c r="C60" s="7">
        <v>1636.779</v>
      </c>
      <c r="D60" s="7">
        <v>1292.4829999999999</v>
      </c>
      <c r="E60" s="7">
        <v>1591.8130000000001</v>
      </c>
      <c r="F60" s="7">
        <v>1703.5809999999999</v>
      </c>
      <c r="G60" s="7">
        <v>1619.6869999999999</v>
      </c>
      <c r="H60" s="7">
        <v>1713.01</v>
      </c>
      <c r="I60" s="7">
        <v>1724.5840000000001</v>
      </c>
      <c r="J60" s="7">
        <v>1745.501</v>
      </c>
      <c r="K60" s="7">
        <v>1911.327</v>
      </c>
      <c r="L60" s="7">
        <v>1943.0139999999999</v>
      </c>
      <c r="M60" s="7">
        <v>1785.24</v>
      </c>
      <c r="N60" s="7">
        <v>1766.742</v>
      </c>
      <c r="O60" s="7">
        <v>1836.0630000000001</v>
      </c>
      <c r="P60" s="7">
        <v>2016.2159999999999</v>
      </c>
      <c r="R60" s="5">
        <f t="shared" si="0"/>
        <v>1703.2117333333333</v>
      </c>
      <c r="S60" s="5">
        <f t="shared" si="1"/>
        <v>54.186165548172951</v>
      </c>
      <c r="U60" s="7">
        <v>62.5</v>
      </c>
      <c r="V60" s="7">
        <v>1571.518</v>
      </c>
      <c r="W60" s="7">
        <v>1450.365</v>
      </c>
      <c r="X60" s="7">
        <v>1614.7529999999999</v>
      </c>
      <c r="Y60" s="7">
        <v>1476.7739999999999</v>
      </c>
      <c r="Z60" s="7">
        <v>1657.0050000000001</v>
      </c>
      <c r="AA60" s="7">
        <v>1629.8989999999999</v>
      </c>
      <c r="AB60" s="7">
        <v>1641.826</v>
      </c>
      <c r="AC60" s="7">
        <v>1428.0920000000001</v>
      </c>
      <c r="AD60" s="7">
        <v>1760.7190000000001</v>
      </c>
      <c r="AE60" s="7">
        <v>1605.335</v>
      </c>
      <c r="AF60" s="7">
        <v>1860.818</v>
      </c>
      <c r="AG60" s="7">
        <v>1440.0340000000001</v>
      </c>
      <c r="AH60" s="7">
        <v>1589.577</v>
      </c>
      <c r="AI60" s="7">
        <v>1776.011</v>
      </c>
      <c r="AJ60" s="7">
        <v>1804.7270000000001</v>
      </c>
      <c r="AL60" s="6">
        <f t="shared" si="2"/>
        <v>1658.1641250000002</v>
      </c>
      <c r="AM60" s="6">
        <f t="shared" si="3"/>
        <v>59.004192044305952</v>
      </c>
    </row>
    <row r="61" spans="1:39" x14ac:dyDescent="0.2">
      <c r="A61" s="7">
        <v>63.75</v>
      </c>
      <c r="B61" s="7">
        <v>1233.2159999999999</v>
      </c>
      <c r="C61" s="7">
        <v>1585.2929999999999</v>
      </c>
      <c r="D61" s="7">
        <v>1259.6500000000001</v>
      </c>
      <c r="E61" s="7">
        <v>1545.568</v>
      </c>
      <c r="F61" s="7">
        <v>1659.5650000000001</v>
      </c>
      <c r="G61" s="7">
        <v>1588.2550000000001</v>
      </c>
      <c r="H61" s="7">
        <v>1668.9549999999999</v>
      </c>
      <c r="I61" s="7">
        <v>1680.442</v>
      </c>
      <c r="J61" s="7">
        <v>1696.1990000000001</v>
      </c>
      <c r="K61" s="7">
        <v>1831.029</v>
      </c>
      <c r="L61" s="7">
        <v>1868.7919999999999</v>
      </c>
      <c r="M61" s="7">
        <v>1715.183</v>
      </c>
      <c r="N61" s="7">
        <v>1710.7270000000001</v>
      </c>
      <c r="O61" s="7">
        <v>1779.23</v>
      </c>
      <c r="P61" s="7">
        <v>1949.4749999999999</v>
      </c>
      <c r="R61" s="5">
        <f t="shared" si="0"/>
        <v>1651.4386</v>
      </c>
      <c r="S61" s="5">
        <f t="shared" si="1"/>
        <v>50.870143173696789</v>
      </c>
      <c r="U61" s="7">
        <v>63.75</v>
      </c>
      <c r="V61" s="7">
        <v>1536.605</v>
      </c>
      <c r="W61" s="7">
        <v>1406.0830000000001</v>
      </c>
      <c r="X61" s="7">
        <v>1567.0060000000001</v>
      </c>
      <c r="Y61" s="7">
        <v>1431.5229999999999</v>
      </c>
      <c r="Z61" s="7">
        <v>1610.6690000000001</v>
      </c>
      <c r="AA61" s="7">
        <v>1585.6780000000001</v>
      </c>
      <c r="AB61" s="7">
        <v>1590.027</v>
      </c>
      <c r="AC61" s="7">
        <v>1384.4860000000001</v>
      </c>
      <c r="AD61" s="7">
        <v>1731.133</v>
      </c>
      <c r="AE61" s="7">
        <v>1565.356</v>
      </c>
      <c r="AF61" s="7">
        <v>1806.7159999999999</v>
      </c>
      <c r="AG61" s="7">
        <v>1394.4860000000001</v>
      </c>
      <c r="AH61" s="7">
        <v>1546.26</v>
      </c>
      <c r="AI61" s="7">
        <v>1729.675</v>
      </c>
      <c r="AJ61" s="7">
        <v>1746.0820000000001</v>
      </c>
      <c r="AL61" s="6">
        <f t="shared" si="2"/>
        <v>1613.0242499999999</v>
      </c>
      <c r="AM61" s="6">
        <f t="shared" si="3"/>
        <v>58.170985452601563</v>
      </c>
    </row>
    <row r="62" spans="1:39" x14ac:dyDescent="0.2">
      <c r="A62" s="7">
        <v>65</v>
      </c>
      <c r="B62" s="7">
        <v>1210.2639999999999</v>
      </c>
      <c r="C62" s="7">
        <v>1550.9860000000001</v>
      </c>
      <c r="D62" s="7">
        <v>1228.6500000000001</v>
      </c>
      <c r="E62" s="7">
        <v>1506.7139999999999</v>
      </c>
      <c r="F62" s="7">
        <v>1619.2170000000001</v>
      </c>
      <c r="G62" s="7">
        <v>1559.414</v>
      </c>
      <c r="H62" s="7">
        <v>1640.4970000000001</v>
      </c>
      <c r="I62" s="7">
        <v>1646.1769999999999</v>
      </c>
      <c r="J62" s="7">
        <v>1661.1880000000001</v>
      </c>
      <c r="K62" s="7">
        <v>1756.287</v>
      </c>
      <c r="L62" s="7">
        <v>1771.2349999999999</v>
      </c>
      <c r="M62" s="7">
        <v>1639.386</v>
      </c>
      <c r="N62" s="7">
        <v>1644.1569999999999</v>
      </c>
      <c r="O62" s="7">
        <v>1725.306</v>
      </c>
      <c r="P62" s="7">
        <v>1891.7570000000001</v>
      </c>
      <c r="R62" s="5">
        <f t="shared" si="0"/>
        <v>1603.4156666666668</v>
      </c>
      <c r="S62" s="5">
        <f t="shared" si="1"/>
        <v>47.224354118315631</v>
      </c>
      <c r="U62" s="7">
        <v>65</v>
      </c>
      <c r="V62" s="7">
        <v>1501.259</v>
      </c>
      <c r="W62" s="7">
        <v>1367.809</v>
      </c>
      <c r="X62" s="7">
        <v>1525.1279999999999</v>
      </c>
      <c r="Y62" s="7">
        <v>1394.8409999999999</v>
      </c>
      <c r="Z62" s="7">
        <v>1586.88</v>
      </c>
      <c r="AA62" s="7">
        <v>1538.489</v>
      </c>
      <c r="AB62" s="7">
        <v>1569.8530000000001</v>
      </c>
      <c r="AC62" s="7">
        <v>1346.6089999999999</v>
      </c>
      <c r="AD62" s="7">
        <v>1704.797</v>
      </c>
      <c r="AE62" s="7">
        <v>1523.4</v>
      </c>
      <c r="AF62" s="7">
        <v>1753.6510000000001</v>
      </c>
      <c r="AG62" s="7">
        <v>1347.0329999999999</v>
      </c>
      <c r="AH62" s="7">
        <v>1501.02</v>
      </c>
      <c r="AI62" s="7">
        <v>1683.106</v>
      </c>
      <c r="AJ62" s="7">
        <v>1691.6679999999999</v>
      </c>
      <c r="AL62" s="6">
        <f t="shared" si="2"/>
        <v>1568.9105</v>
      </c>
      <c r="AM62" s="6">
        <f t="shared" si="3"/>
        <v>57.636811891050037</v>
      </c>
    </row>
    <row r="63" spans="1:39" x14ac:dyDescent="0.2">
      <c r="A63" s="7">
        <v>66.25</v>
      </c>
      <c r="B63" s="7">
        <v>1203.078</v>
      </c>
      <c r="C63" s="7">
        <v>1522.8889999999999</v>
      </c>
      <c r="D63" s="7">
        <v>1209.087</v>
      </c>
      <c r="E63" s="7">
        <v>1483.2550000000001</v>
      </c>
      <c r="F63" s="7">
        <v>1586.1990000000001</v>
      </c>
      <c r="G63" s="7">
        <v>1536.9770000000001</v>
      </c>
      <c r="H63" s="7">
        <v>1617.3219999999999</v>
      </c>
      <c r="I63" s="7">
        <v>1615.152</v>
      </c>
      <c r="J63" s="7">
        <v>1647.2570000000001</v>
      </c>
      <c r="K63" s="7">
        <v>1673.0340000000001</v>
      </c>
      <c r="L63" s="7">
        <v>1682.0619999999999</v>
      </c>
      <c r="M63" s="7">
        <v>1553.588</v>
      </c>
      <c r="N63" s="7">
        <v>1598.145</v>
      </c>
      <c r="O63" s="7">
        <v>1674.752</v>
      </c>
      <c r="P63" s="7">
        <v>1833.0930000000001</v>
      </c>
      <c r="R63" s="5">
        <f t="shared" si="0"/>
        <v>1562.3926666666666</v>
      </c>
      <c r="S63" s="5">
        <f t="shared" si="1"/>
        <v>43.083084796999309</v>
      </c>
      <c r="U63" s="7">
        <v>66.25</v>
      </c>
      <c r="V63" s="7">
        <v>1474.6569999999999</v>
      </c>
      <c r="W63" s="7">
        <v>1336.3520000000001</v>
      </c>
      <c r="X63" s="7">
        <v>1502.0329999999999</v>
      </c>
      <c r="Y63" s="7">
        <v>1372.6610000000001</v>
      </c>
      <c r="Z63" s="7">
        <v>1555.8240000000001</v>
      </c>
      <c r="AA63" s="7">
        <v>1509.961</v>
      </c>
      <c r="AB63" s="7">
        <v>1551.077</v>
      </c>
      <c r="AC63" s="7">
        <v>1312.2090000000001</v>
      </c>
      <c r="AD63" s="7">
        <v>1671.5029999999999</v>
      </c>
      <c r="AE63" s="7">
        <v>1506.7950000000001</v>
      </c>
      <c r="AF63" s="7">
        <v>1704.8330000000001</v>
      </c>
      <c r="AG63" s="7">
        <v>1306.241</v>
      </c>
      <c r="AH63" s="7">
        <v>1460.7049999999999</v>
      </c>
      <c r="AI63" s="7">
        <v>1638.37</v>
      </c>
      <c r="AJ63" s="7">
        <v>1633.6880000000001</v>
      </c>
      <c r="AL63" s="6">
        <f t="shared" si="2"/>
        <v>1529.2929999999999</v>
      </c>
      <c r="AM63" s="6">
        <f t="shared" si="3"/>
        <v>56.048801306476271</v>
      </c>
    </row>
    <row r="64" spans="1:39" x14ac:dyDescent="0.2">
      <c r="A64" s="7">
        <v>67.5</v>
      </c>
      <c r="B64" s="7">
        <v>1202.0239999999999</v>
      </c>
      <c r="C64" s="7">
        <v>1503.116</v>
      </c>
      <c r="D64" s="7">
        <v>1201.328</v>
      </c>
      <c r="E64" s="7">
        <v>1469.7840000000001</v>
      </c>
      <c r="F64" s="7">
        <v>1568.3530000000001</v>
      </c>
      <c r="G64" s="7">
        <v>1519.204</v>
      </c>
      <c r="H64" s="7">
        <v>1600.307</v>
      </c>
      <c r="I64" s="7">
        <v>1605.3330000000001</v>
      </c>
      <c r="J64" s="7">
        <v>1625.723</v>
      </c>
      <c r="K64" s="7">
        <v>1615.222</v>
      </c>
      <c r="L64" s="7">
        <v>1600.373</v>
      </c>
      <c r="M64" s="7">
        <v>1476.4680000000001</v>
      </c>
      <c r="N64" s="7">
        <v>1555.326</v>
      </c>
      <c r="O64" s="7">
        <v>1636.4659999999999</v>
      </c>
      <c r="P64" s="7">
        <v>1772.2449999999999</v>
      </c>
      <c r="R64" s="5">
        <f t="shared" si="0"/>
        <v>1530.0848000000003</v>
      </c>
      <c r="S64" s="5">
        <f t="shared" si="1"/>
        <v>39.46370010120814</v>
      </c>
      <c r="U64" s="7">
        <v>67.5</v>
      </c>
      <c r="V64" s="7">
        <v>1454.134</v>
      </c>
      <c r="W64" s="7">
        <v>1315.356</v>
      </c>
      <c r="X64" s="7">
        <v>1471.914</v>
      </c>
      <c r="Y64" s="7">
        <v>1356.6569999999999</v>
      </c>
      <c r="Z64" s="7">
        <v>1521.509</v>
      </c>
      <c r="AA64" s="7">
        <v>1497.748</v>
      </c>
      <c r="AB64" s="7">
        <v>1544.742</v>
      </c>
      <c r="AC64" s="7">
        <v>1295.625</v>
      </c>
      <c r="AD64" s="7">
        <v>1645.5519999999999</v>
      </c>
      <c r="AE64" s="7">
        <v>1487.6379999999999</v>
      </c>
      <c r="AF64" s="7">
        <v>1661.0309999999999</v>
      </c>
      <c r="AG64" s="7">
        <v>1275.6690000000001</v>
      </c>
      <c r="AH64" s="7">
        <v>1437.5519999999999</v>
      </c>
      <c r="AI64" s="7">
        <v>1603.069</v>
      </c>
      <c r="AJ64" s="7">
        <v>1591.5840000000001</v>
      </c>
      <c r="AL64" s="6">
        <f t="shared" si="2"/>
        <v>1499.7149999999999</v>
      </c>
      <c r="AM64" s="6">
        <f t="shared" si="3"/>
        <v>53.830533624381921</v>
      </c>
    </row>
    <row r="65" spans="1:39" x14ac:dyDescent="0.2">
      <c r="A65" s="7">
        <v>68.75</v>
      </c>
      <c r="B65" s="7">
        <v>1200.2159999999999</v>
      </c>
      <c r="C65" s="7">
        <v>1484.23</v>
      </c>
      <c r="D65" s="7">
        <v>1191.2950000000001</v>
      </c>
      <c r="E65" s="7">
        <v>1455.665</v>
      </c>
      <c r="F65" s="7">
        <v>1550.252</v>
      </c>
      <c r="G65" s="7">
        <v>1509.3019999999999</v>
      </c>
      <c r="H65" s="7">
        <v>1583.2919999999999</v>
      </c>
      <c r="I65" s="7">
        <v>1595.991</v>
      </c>
      <c r="J65" s="7">
        <v>1609.4970000000001</v>
      </c>
      <c r="K65" s="7">
        <v>1576.0309999999999</v>
      </c>
      <c r="L65" s="7">
        <v>1531.585</v>
      </c>
      <c r="M65" s="7">
        <v>1400.24</v>
      </c>
      <c r="N65" s="7">
        <v>1513.1969999999999</v>
      </c>
      <c r="O65" s="7">
        <v>1605.0920000000001</v>
      </c>
      <c r="P65" s="7">
        <v>1717.317</v>
      </c>
      <c r="R65" s="5">
        <f t="shared" si="0"/>
        <v>1501.5467999999998</v>
      </c>
      <c r="S65" s="5">
        <f t="shared" si="1"/>
        <v>37.370499159631244</v>
      </c>
      <c r="U65" s="7">
        <v>68.75</v>
      </c>
      <c r="V65" s="7">
        <v>1445.5409999999999</v>
      </c>
      <c r="W65" s="7">
        <v>1291.847</v>
      </c>
      <c r="X65" s="7">
        <v>1448.2719999999999</v>
      </c>
      <c r="Y65" s="7">
        <v>1341.8109999999999</v>
      </c>
      <c r="Z65" s="7">
        <v>1496.2550000000001</v>
      </c>
      <c r="AA65" s="7">
        <v>1485.1</v>
      </c>
      <c r="AB65" s="7">
        <v>1525.4390000000001</v>
      </c>
      <c r="AC65" s="7">
        <v>1272.962</v>
      </c>
      <c r="AD65" s="7">
        <v>1619.009</v>
      </c>
      <c r="AE65" s="7">
        <v>1471.6379999999999</v>
      </c>
      <c r="AF65" s="7">
        <v>1605.586</v>
      </c>
      <c r="AG65" s="7">
        <v>1242.623</v>
      </c>
      <c r="AH65" s="7">
        <v>1412.3019999999999</v>
      </c>
      <c r="AI65" s="7">
        <v>1567.3009999999999</v>
      </c>
      <c r="AJ65" s="7">
        <v>1555.366</v>
      </c>
      <c r="AL65" s="6">
        <f t="shared" si="2"/>
        <v>1468.348375</v>
      </c>
      <c r="AM65" s="6">
        <f t="shared" si="3"/>
        <v>51.957447722335203</v>
      </c>
    </row>
    <row r="66" spans="1:39" x14ac:dyDescent="0.2">
      <c r="A66" s="7">
        <v>70</v>
      </c>
      <c r="B66" s="7">
        <v>1195.5029999999999</v>
      </c>
      <c r="C66" s="7">
        <v>1464.175</v>
      </c>
      <c r="D66" s="7">
        <v>1178.3920000000001</v>
      </c>
      <c r="E66" s="7">
        <v>1444.03</v>
      </c>
      <c r="F66" s="7">
        <v>1534.0830000000001</v>
      </c>
      <c r="G66" s="7">
        <v>1492.5239999999999</v>
      </c>
      <c r="H66" s="7">
        <v>1562.424</v>
      </c>
      <c r="I66" s="7">
        <v>1575.3009999999999</v>
      </c>
      <c r="J66" s="7">
        <v>1591.2239999999999</v>
      </c>
      <c r="K66" s="7">
        <v>1525.604</v>
      </c>
      <c r="L66" s="7">
        <v>1476.0039999999999</v>
      </c>
      <c r="M66" s="7">
        <v>1335.2940000000001</v>
      </c>
      <c r="N66" s="7">
        <v>1470.9390000000001</v>
      </c>
      <c r="O66" s="7">
        <v>1578.5260000000001</v>
      </c>
      <c r="P66" s="7">
        <v>1672.2719999999999</v>
      </c>
      <c r="R66" s="5">
        <f t="shared" si="0"/>
        <v>1473.0863333333332</v>
      </c>
      <c r="S66" s="5">
        <f t="shared" si="1"/>
        <v>36.111950934581024</v>
      </c>
      <c r="U66" s="7">
        <v>70</v>
      </c>
      <c r="V66" s="7">
        <v>1432.6479999999999</v>
      </c>
      <c r="W66" s="7">
        <v>1269.896</v>
      </c>
      <c r="X66" s="7">
        <v>1426.8879999999999</v>
      </c>
      <c r="Y66" s="7">
        <v>1324.6220000000001</v>
      </c>
      <c r="Z66" s="7">
        <v>1486.318</v>
      </c>
      <c r="AA66" s="7">
        <v>1461.0409999999999</v>
      </c>
      <c r="AB66" s="7">
        <v>1503.1469999999999</v>
      </c>
      <c r="AC66" s="7">
        <v>1247.5170000000001</v>
      </c>
      <c r="AD66" s="7">
        <v>1597.779</v>
      </c>
      <c r="AE66" s="7">
        <v>1454.15</v>
      </c>
      <c r="AF66" s="7">
        <v>1556.3910000000001</v>
      </c>
      <c r="AG66" s="7">
        <v>1217.0060000000001</v>
      </c>
      <c r="AH66" s="7">
        <v>1391.0319999999999</v>
      </c>
      <c r="AI66" s="7">
        <v>1524.961</v>
      </c>
      <c r="AJ66" s="7">
        <v>1522.575</v>
      </c>
      <c r="AL66" s="6">
        <f t="shared" si="2"/>
        <v>1438.926375</v>
      </c>
      <c r="AM66" s="6">
        <f t="shared" si="3"/>
        <v>50.328026726076033</v>
      </c>
    </row>
    <row r="67" spans="1:39" x14ac:dyDescent="0.2">
      <c r="A67" s="7">
        <v>71.25</v>
      </c>
      <c r="B67" s="7">
        <v>1186.2719999999999</v>
      </c>
      <c r="C67" s="7">
        <v>1447.1110000000001</v>
      </c>
      <c r="D67" s="7">
        <v>1165.0609999999999</v>
      </c>
      <c r="E67" s="7">
        <v>1436.1980000000001</v>
      </c>
      <c r="F67" s="7">
        <v>1516.7429999999999</v>
      </c>
      <c r="G67" s="7">
        <v>1479.29</v>
      </c>
      <c r="H67" s="7">
        <v>1551.7149999999999</v>
      </c>
      <c r="I67" s="7">
        <v>1555.2360000000001</v>
      </c>
      <c r="J67" s="7">
        <v>1576.3589999999999</v>
      </c>
      <c r="K67" s="7">
        <v>1492.519</v>
      </c>
      <c r="L67" s="7">
        <v>1442.8030000000001</v>
      </c>
      <c r="M67" s="7">
        <v>1296.527</v>
      </c>
      <c r="N67" s="7">
        <v>1447.913</v>
      </c>
      <c r="O67" s="7">
        <v>1558.424</v>
      </c>
      <c r="P67" s="7">
        <v>1645.2239999999999</v>
      </c>
      <c r="R67" s="5">
        <f t="shared" si="0"/>
        <v>1453.1596666666667</v>
      </c>
      <c r="S67" s="5">
        <f t="shared" si="1"/>
        <v>35.775598241268234</v>
      </c>
      <c r="U67" s="7">
        <v>71.25</v>
      </c>
      <c r="V67" s="7">
        <v>1415.8140000000001</v>
      </c>
      <c r="W67" s="7">
        <v>1253.537</v>
      </c>
      <c r="X67" s="7">
        <v>1400.7919999999999</v>
      </c>
      <c r="Y67" s="7">
        <v>1307.5830000000001</v>
      </c>
      <c r="Z67" s="7">
        <v>1472.5809999999999</v>
      </c>
      <c r="AA67" s="7">
        <v>1438.4280000000001</v>
      </c>
      <c r="AB67" s="7">
        <v>1483.3620000000001</v>
      </c>
      <c r="AC67" s="7">
        <v>1223.874</v>
      </c>
      <c r="AD67" s="7">
        <v>1578.212</v>
      </c>
      <c r="AE67" s="7">
        <v>1447.17</v>
      </c>
      <c r="AF67" s="7">
        <v>1525.9570000000001</v>
      </c>
      <c r="AG67" s="7">
        <v>1198.008</v>
      </c>
      <c r="AH67" s="7">
        <v>1368.5940000000001</v>
      </c>
      <c r="AI67" s="7">
        <v>1512.336</v>
      </c>
      <c r="AJ67" s="7">
        <v>1498.99</v>
      </c>
      <c r="AL67" s="6">
        <f t="shared" si="2"/>
        <v>1419.142625</v>
      </c>
      <c r="AM67" s="6">
        <f t="shared" si="3"/>
        <v>50.381409682589386</v>
      </c>
    </row>
    <row r="68" spans="1:39" x14ac:dyDescent="0.2">
      <c r="A68" s="7">
        <v>72.5</v>
      </c>
      <c r="B68" s="7">
        <v>1174.174</v>
      </c>
      <c r="C68" s="7">
        <v>1431.817</v>
      </c>
      <c r="D68" s="7">
        <v>1160.48</v>
      </c>
      <c r="E68" s="7">
        <v>1437.213</v>
      </c>
      <c r="F68" s="7">
        <v>1509.1110000000001</v>
      </c>
      <c r="G68" s="7">
        <v>1465.347</v>
      </c>
      <c r="H68" s="7">
        <v>1536.9829999999999</v>
      </c>
      <c r="I68" s="7">
        <v>1549.0640000000001</v>
      </c>
      <c r="J68" s="7">
        <v>1561.4369999999999</v>
      </c>
      <c r="K68" s="7">
        <v>1476.143</v>
      </c>
      <c r="L68" s="7">
        <v>1427.143</v>
      </c>
      <c r="M68" s="7">
        <v>1284.865</v>
      </c>
      <c r="N68" s="7">
        <v>1445.0150000000001</v>
      </c>
      <c r="O68" s="7">
        <v>1545.3779999999999</v>
      </c>
      <c r="P68" s="7">
        <v>1632.078</v>
      </c>
      <c r="R68" s="5">
        <f t="shared" si="0"/>
        <v>1442.4165333333335</v>
      </c>
      <c r="S68" s="5">
        <f t="shared" si="1"/>
        <v>35.443486165855724</v>
      </c>
      <c r="U68" s="7">
        <v>72.5</v>
      </c>
      <c r="V68" s="7">
        <v>1402.9059999999999</v>
      </c>
      <c r="W68" s="7">
        <v>1244.174</v>
      </c>
      <c r="X68" s="7">
        <v>1389.65</v>
      </c>
      <c r="Y68" s="7">
        <v>1296.441</v>
      </c>
      <c r="Z68" s="7">
        <v>1447.432</v>
      </c>
      <c r="AA68" s="7">
        <v>1424.0340000000001</v>
      </c>
      <c r="AB68" s="7">
        <v>1473.981</v>
      </c>
      <c r="AC68" s="7">
        <v>1214.3330000000001</v>
      </c>
      <c r="AD68" s="7">
        <v>1566.615</v>
      </c>
      <c r="AE68" s="7">
        <v>1436.8040000000001</v>
      </c>
      <c r="AF68" s="7">
        <v>1510.2729999999999</v>
      </c>
      <c r="AG68" s="7">
        <v>1194.213</v>
      </c>
      <c r="AH68" s="7">
        <v>1359.297</v>
      </c>
      <c r="AI68" s="7">
        <v>1521.461</v>
      </c>
      <c r="AJ68" s="7">
        <v>1478.5640000000001</v>
      </c>
      <c r="AL68" s="6">
        <f t="shared" si="2"/>
        <v>1410.1949999999999</v>
      </c>
      <c r="AM68" s="6">
        <f t="shared" si="3"/>
        <v>49.972502805828839</v>
      </c>
    </row>
    <row r="69" spans="1:39" x14ac:dyDescent="0.2">
      <c r="A69" s="7">
        <v>73.75</v>
      </c>
      <c r="B69" s="7">
        <v>1177.654</v>
      </c>
      <c r="C69" s="7">
        <v>1450.932</v>
      </c>
      <c r="D69" s="7">
        <v>1182.704</v>
      </c>
      <c r="E69" s="7">
        <v>1454.0519999999999</v>
      </c>
      <c r="F69" s="7">
        <v>1527.645</v>
      </c>
      <c r="G69" s="7">
        <v>1473.7180000000001</v>
      </c>
      <c r="H69" s="7">
        <v>1553.758</v>
      </c>
      <c r="I69" s="7">
        <v>1556.0820000000001</v>
      </c>
      <c r="J69" s="7">
        <v>1574.1769999999999</v>
      </c>
      <c r="K69" s="7">
        <v>1495.643</v>
      </c>
      <c r="L69" s="7">
        <v>1451.5530000000001</v>
      </c>
      <c r="M69" s="7">
        <v>1299.5340000000001</v>
      </c>
      <c r="N69" s="7">
        <v>1480.163</v>
      </c>
      <c r="O69" s="7">
        <v>1560.8119999999999</v>
      </c>
      <c r="P69" s="7">
        <v>1652.6790000000001</v>
      </c>
      <c r="R69" s="5">
        <f t="shared" ref="R69:R96" si="4">AVERAGE(B69:P69)</f>
        <v>1459.4070666666669</v>
      </c>
      <c r="S69" s="5">
        <f t="shared" ref="S69:S96" si="5">STDEV(B69:P69)/SQRT(COUNT(B69:P69))</f>
        <v>35.67934674322796</v>
      </c>
      <c r="U69" s="7">
        <v>73.75</v>
      </c>
      <c r="V69" s="7">
        <v>1421.316</v>
      </c>
      <c r="W69" s="7">
        <v>1254.57</v>
      </c>
      <c r="X69" s="7">
        <v>1433.9380000000001</v>
      </c>
      <c r="Y69" s="7">
        <v>1316.3620000000001</v>
      </c>
      <c r="Z69" s="7">
        <v>1463.31</v>
      </c>
      <c r="AA69" s="7">
        <v>1433.481</v>
      </c>
      <c r="AB69" s="7">
        <v>1492.55</v>
      </c>
      <c r="AC69" s="7">
        <v>1223.184</v>
      </c>
      <c r="AD69" s="7">
        <v>1604.9059999999999</v>
      </c>
      <c r="AE69" s="7">
        <v>1452.8910000000001</v>
      </c>
      <c r="AF69" s="7">
        <v>1540.251</v>
      </c>
      <c r="AG69" s="7">
        <v>1222.856</v>
      </c>
      <c r="AH69" s="7">
        <v>1392.3789999999999</v>
      </c>
      <c r="AI69" s="7">
        <v>1539.1120000000001</v>
      </c>
      <c r="AJ69" s="7">
        <v>1509.2629999999999</v>
      </c>
      <c r="AL69" s="6">
        <f t="shared" ref="AL69:AL96" si="6">AVERAGE(AC69:AJ69)</f>
        <v>1435.6052500000001</v>
      </c>
      <c r="AM69" s="6">
        <f t="shared" ref="AM69:AM96" si="7">STDEV(AC69:AJ69)/SQRT(COUNT(AC69:AJ69))</f>
        <v>51.461657891284872</v>
      </c>
    </row>
    <row r="70" spans="1:39" x14ac:dyDescent="0.2">
      <c r="A70" s="7">
        <v>75</v>
      </c>
      <c r="B70" s="7">
        <v>1245.778</v>
      </c>
      <c r="C70" s="7">
        <v>1538.7280000000001</v>
      </c>
      <c r="D70" s="7">
        <v>1260.3620000000001</v>
      </c>
      <c r="E70" s="7">
        <v>1540.5989999999999</v>
      </c>
      <c r="F70" s="7">
        <v>1612.0709999999999</v>
      </c>
      <c r="G70" s="7">
        <v>1557.47</v>
      </c>
      <c r="H70" s="7">
        <v>1650.54</v>
      </c>
      <c r="I70" s="7">
        <v>1633.07</v>
      </c>
      <c r="J70" s="7">
        <v>1681.2760000000001</v>
      </c>
      <c r="K70" s="7">
        <v>1586.5530000000001</v>
      </c>
      <c r="L70" s="7">
        <v>1536.4449999999999</v>
      </c>
      <c r="M70" s="7">
        <v>1366.9680000000001</v>
      </c>
      <c r="N70" s="7">
        <v>1576.9159999999999</v>
      </c>
      <c r="O70" s="7">
        <v>1650.029</v>
      </c>
      <c r="P70" s="7">
        <v>1743.2449999999999</v>
      </c>
      <c r="R70" s="5">
        <f t="shared" si="4"/>
        <v>1545.3366666666666</v>
      </c>
      <c r="S70" s="5">
        <f t="shared" si="5"/>
        <v>37.643428715307586</v>
      </c>
      <c r="U70" s="7">
        <v>75</v>
      </c>
      <c r="V70" s="7">
        <v>1502.2719999999999</v>
      </c>
      <c r="W70" s="7">
        <v>1335.4839999999999</v>
      </c>
      <c r="X70" s="7">
        <v>1533.287</v>
      </c>
      <c r="Y70" s="7">
        <v>1387.2460000000001</v>
      </c>
      <c r="Z70" s="7">
        <v>1551.145</v>
      </c>
      <c r="AA70" s="7">
        <v>1508.242</v>
      </c>
      <c r="AB70" s="7">
        <v>1579.56</v>
      </c>
      <c r="AC70" s="7">
        <v>1284.671</v>
      </c>
      <c r="AD70" s="7">
        <v>1711.123</v>
      </c>
      <c r="AE70" s="7">
        <v>1532.3440000000001</v>
      </c>
      <c r="AF70" s="7">
        <v>1639.35</v>
      </c>
      <c r="AG70" s="7">
        <v>1296.5830000000001</v>
      </c>
      <c r="AH70" s="7">
        <v>1476.3009999999999</v>
      </c>
      <c r="AI70" s="7">
        <v>1614.6610000000001</v>
      </c>
      <c r="AJ70" s="7">
        <v>1599.777</v>
      </c>
      <c r="AL70" s="6">
        <f t="shared" si="6"/>
        <v>1519.3512499999999</v>
      </c>
      <c r="AM70" s="6">
        <f t="shared" si="7"/>
        <v>55.65374495381176</v>
      </c>
    </row>
    <row r="71" spans="1:39" x14ac:dyDescent="0.2">
      <c r="A71" s="7">
        <v>76.25</v>
      </c>
      <c r="B71" s="7">
        <v>1337.2149999999999</v>
      </c>
      <c r="C71" s="7">
        <v>1659.778</v>
      </c>
      <c r="D71" s="7">
        <v>1337.1780000000001</v>
      </c>
      <c r="E71" s="7">
        <v>1630.106</v>
      </c>
      <c r="F71" s="7">
        <v>1724.327</v>
      </c>
      <c r="G71" s="7">
        <v>1671.492</v>
      </c>
      <c r="H71" s="7">
        <v>1745.7329999999999</v>
      </c>
      <c r="I71" s="7">
        <v>1747.7260000000001</v>
      </c>
      <c r="J71" s="7">
        <v>1793.6510000000001</v>
      </c>
      <c r="K71" s="7">
        <v>1698.0319999999999</v>
      </c>
      <c r="L71" s="7">
        <v>1638.865</v>
      </c>
      <c r="M71" s="7">
        <v>1454.425</v>
      </c>
      <c r="N71" s="7">
        <v>1672.5129999999999</v>
      </c>
      <c r="O71" s="7">
        <v>1762.6210000000001</v>
      </c>
      <c r="P71" s="7">
        <v>1853.934</v>
      </c>
      <c r="R71" s="5">
        <f t="shared" si="4"/>
        <v>1648.5063999999998</v>
      </c>
      <c r="S71" s="5">
        <f t="shared" si="5"/>
        <v>40.056342343872629</v>
      </c>
      <c r="U71" s="7">
        <v>76.25</v>
      </c>
      <c r="V71" s="7">
        <v>1609.74</v>
      </c>
      <c r="W71" s="7">
        <v>1420.1569999999999</v>
      </c>
      <c r="X71" s="7">
        <v>1626.454</v>
      </c>
      <c r="Y71" s="7">
        <v>1496.3530000000001</v>
      </c>
      <c r="Z71" s="7">
        <v>1658.5450000000001</v>
      </c>
      <c r="AA71" s="7">
        <v>1615.16</v>
      </c>
      <c r="AB71" s="7">
        <v>1690.72</v>
      </c>
      <c r="AC71" s="7">
        <v>1382.3040000000001</v>
      </c>
      <c r="AD71" s="7">
        <v>1829.9380000000001</v>
      </c>
      <c r="AE71" s="7">
        <v>1655.27</v>
      </c>
      <c r="AF71" s="7">
        <v>1758.4159999999999</v>
      </c>
      <c r="AG71" s="7">
        <v>1374.7380000000001</v>
      </c>
      <c r="AH71" s="7">
        <v>1562.0609999999999</v>
      </c>
      <c r="AI71" s="7">
        <v>1713.578</v>
      </c>
      <c r="AJ71" s="7">
        <v>1694.6690000000001</v>
      </c>
      <c r="AL71" s="6">
        <f t="shared" si="6"/>
        <v>1621.37175</v>
      </c>
      <c r="AM71" s="6">
        <f t="shared" si="7"/>
        <v>59.582466656592253</v>
      </c>
    </row>
    <row r="72" spans="1:39" x14ac:dyDescent="0.2">
      <c r="A72" s="7">
        <v>77.5</v>
      </c>
      <c r="B72" s="7">
        <v>1361.588</v>
      </c>
      <c r="C72" s="7">
        <v>1688.0119999999999</v>
      </c>
      <c r="D72" s="7">
        <v>1364.076</v>
      </c>
      <c r="E72" s="7">
        <v>1659.7249999999999</v>
      </c>
      <c r="F72" s="7">
        <v>1762.2840000000001</v>
      </c>
      <c r="G72" s="7">
        <v>1691.922</v>
      </c>
      <c r="H72" s="7">
        <v>1771.59</v>
      </c>
      <c r="I72" s="7">
        <v>1782.9179999999999</v>
      </c>
      <c r="J72" s="7">
        <v>1821.3230000000001</v>
      </c>
      <c r="K72" s="7">
        <v>1740.9929999999999</v>
      </c>
      <c r="L72" s="7">
        <v>1676.154</v>
      </c>
      <c r="M72" s="7">
        <v>1481.0550000000001</v>
      </c>
      <c r="N72" s="7">
        <v>1699.663</v>
      </c>
      <c r="O72" s="7">
        <v>1793.0070000000001</v>
      </c>
      <c r="P72" s="7">
        <v>1872.7629999999999</v>
      </c>
      <c r="R72" s="5">
        <f t="shared" si="4"/>
        <v>1677.8048666666666</v>
      </c>
      <c r="S72" s="5">
        <f t="shared" si="5"/>
        <v>40.30194539814326</v>
      </c>
      <c r="U72" s="7">
        <v>77.5</v>
      </c>
      <c r="V72" s="7">
        <v>1648.508</v>
      </c>
      <c r="W72" s="7">
        <v>1441.7829999999999</v>
      </c>
      <c r="X72" s="7">
        <v>1652.942</v>
      </c>
      <c r="Y72" s="7">
        <v>1543.144</v>
      </c>
      <c r="Z72" s="7">
        <v>1687.172</v>
      </c>
      <c r="AA72" s="7">
        <v>1659.4839999999999</v>
      </c>
      <c r="AB72" s="7">
        <v>1710.8489999999999</v>
      </c>
      <c r="AC72" s="7">
        <v>1412.6110000000001</v>
      </c>
      <c r="AD72" s="7">
        <v>1856.9079999999999</v>
      </c>
      <c r="AE72" s="7">
        <v>1690.4649999999999</v>
      </c>
      <c r="AF72" s="7">
        <v>1795.1189999999999</v>
      </c>
      <c r="AG72" s="7">
        <v>1387.374</v>
      </c>
      <c r="AH72" s="7">
        <v>1583.5530000000001</v>
      </c>
      <c r="AI72" s="7">
        <v>1739.4449999999999</v>
      </c>
      <c r="AJ72" s="7">
        <v>1725.703</v>
      </c>
      <c r="AL72" s="6">
        <f t="shared" si="6"/>
        <v>1648.89725</v>
      </c>
      <c r="AM72" s="6">
        <f t="shared" si="7"/>
        <v>61.086975702900716</v>
      </c>
    </row>
    <row r="73" spans="1:39" x14ac:dyDescent="0.2">
      <c r="A73" s="7">
        <v>78.75</v>
      </c>
      <c r="B73" s="7">
        <v>1339.4549999999999</v>
      </c>
      <c r="C73" s="7">
        <v>1652.0250000000001</v>
      </c>
      <c r="D73" s="7">
        <v>1336.7</v>
      </c>
      <c r="E73" s="7">
        <v>1636.1020000000001</v>
      </c>
      <c r="F73" s="7">
        <v>1728.047</v>
      </c>
      <c r="G73" s="7">
        <v>1667.2760000000001</v>
      </c>
      <c r="H73" s="7">
        <v>1746.4269999999999</v>
      </c>
      <c r="I73" s="7">
        <v>1761.6079999999999</v>
      </c>
      <c r="J73" s="7">
        <v>1798.758</v>
      </c>
      <c r="K73" s="7">
        <v>1717.0809999999999</v>
      </c>
      <c r="L73" s="7">
        <v>1644.0350000000001</v>
      </c>
      <c r="M73" s="7">
        <v>1467.7329999999999</v>
      </c>
      <c r="N73" s="7">
        <v>1680.231</v>
      </c>
      <c r="O73" s="7">
        <v>1767.9090000000001</v>
      </c>
      <c r="P73" s="7">
        <v>1838.723</v>
      </c>
      <c r="R73" s="5">
        <f t="shared" si="4"/>
        <v>1652.1406666666667</v>
      </c>
      <c r="S73" s="5">
        <f t="shared" si="5"/>
        <v>39.832170034936127</v>
      </c>
      <c r="U73" s="7">
        <v>78.75</v>
      </c>
      <c r="V73" s="7">
        <v>1621.6969999999999</v>
      </c>
      <c r="W73" s="7">
        <v>1416.258</v>
      </c>
      <c r="X73" s="7">
        <v>1654.5129999999999</v>
      </c>
      <c r="Y73" s="7">
        <v>1519.38</v>
      </c>
      <c r="Z73" s="7">
        <v>1670.287</v>
      </c>
      <c r="AA73" s="7">
        <v>1635.0129999999999</v>
      </c>
      <c r="AB73" s="7">
        <v>1695.779</v>
      </c>
      <c r="AC73" s="7">
        <v>1388.471</v>
      </c>
      <c r="AD73" s="7">
        <v>1836.001</v>
      </c>
      <c r="AE73" s="7">
        <v>1655.3710000000001</v>
      </c>
      <c r="AF73" s="7">
        <v>1765.1659999999999</v>
      </c>
      <c r="AG73" s="7">
        <v>1373.028</v>
      </c>
      <c r="AH73" s="7">
        <v>1580.0119999999999</v>
      </c>
      <c r="AI73" s="7">
        <v>1720.6980000000001</v>
      </c>
      <c r="AJ73" s="7">
        <v>1720.981</v>
      </c>
      <c r="AL73" s="6">
        <f t="shared" si="6"/>
        <v>1629.9660000000001</v>
      </c>
      <c r="AM73" s="6">
        <f t="shared" si="7"/>
        <v>60.462986653583592</v>
      </c>
    </row>
    <row r="74" spans="1:39" x14ac:dyDescent="0.2">
      <c r="A74" s="7">
        <v>80</v>
      </c>
      <c r="B74" s="7">
        <v>1336.375</v>
      </c>
      <c r="C74" s="7">
        <v>1644.184</v>
      </c>
      <c r="D74" s="7">
        <v>1341.3320000000001</v>
      </c>
      <c r="E74" s="7">
        <v>1667.627</v>
      </c>
      <c r="F74" s="7">
        <v>1712.0609999999999</v>
      </c>
      <c r="G74" s="7">
        <v>1680.9469999999999</v>
      </c>
      <c r="H74" s="7">
        <v>1751.5429999999999</v>
      </c>
      <c r="I74" s="7">
        <v>1766.0419999999999</v>
      </c>
      <c r="J74" s="7">
        <v>1821.124</v>
      </c>
      <c r="K74" s="7">
        <v>1687.55</v>
      </c>
      <c r="L74" s="7">
        <v>1646.2370000000001</v>
      </c>
      <c r="M74" s="7">
        <v>1469.4269999999999</v>
      </c>
      <c r="N74" s="7">
        <v>1717.1030000000001</v>
      </c>
      <c r="O74" s="7">
        <v>1761.479</v>
      </c>
      <c r="P74" s="7">
        <v>1840.182</v>
      </c>
      <c r="R74" s="5">
        <f t="shared" si="4"/>
        <v>1656.2141999999999</v>
      </c>
      <c r="S74" s="5">
        <f t="shared" si="5"/>
        <v>40.142700593685589</v>
      </c>
      <c r="U74" s="7">
        <v>80</v>
      </c>
      <c r="V74" s="7">
        <v>1629.682</v>
      </c>
      <c r="W74" s="7">
        <v>1442.904</v>
      </c>
      <c r="X74" s="7">
        <v>1777.9749999999999</v>
      </c>
      <c r="Y74" s="7">
        <v>1510.079</v>
      </c>
      <c r="Z74" s="7">
        <v>1712.162</v>
      </c>
      <c r="AA74" s="7">
        <v>1618.626</v>
      </c>
      <c r="AB74" s="7">
        <v>1701.96</v>
      </c>
      <c r="AC74" s="7">
        <v>1394.2439999999999</v>
      </c>
      <c r="AD74" s="7">
        <v>1860.2049999999999</v>
      </c>
      <c r="AE74" s="7">
        <v>1703.271</v>
      </c>
      <c r="AF74" s="7">
        <v>1801.028</v>
      </c>
      <c r="AG74" s="7">
        <v>1442.2059999999999</v>
      </c>
      <c r="AH74" s="7">
        <v>1700.97</v>
      </c>
      <c r="AI74" s="7">
        <v>1777.9649999999999</v>
      </c>
      <c r="AJ74" s="7">
        <v>1796.133</v>
      </c>
      <c r="AL74" s="6">
        <f t="shared" si="6"/>
        <v>1684.5027499999999</v>
      </c>
      <c r="AM74" s="6">
        <f t="shared" si="7"/>
        <v>61.124462307816195</v>
      </c>
    </row>
    <row r="75" spans="1:39" x14ac:dyDescent="0.2">
      <c r="A75" s="7">
        <v>81.25</v>
      </c>
      <c r="B75" s="7">
        <v>1567.9570000000001</v>
      </c>
      <c r="C75" s="7">
        <v>1910.095</v>
      </c>
      <c r="D75" s="7">
        <v>1558.8969999999999</v>
      </c>
      <c r="E75" s="7">
        <v>2101.0169999999998</v>
      </c>
      <c r="F75" s="7">
        <v>2005.4870000000001</v>
      </c>
      <c r="G75" s="7">
        <v>1985.777</v>
      </c>
      <c r="H75" s="7">
        <v>2082.2469999999998</v>
      </c>
      <c r="I75" s="7">
        <v>2098.8649999999998</v>
      </c>
      <c r="J75" s="7">
        <v>2208.4079999999999</v>
      </c>
      <c r="K75" s="7">
        <v>1890.84</v>
      </c>
      <c r="L75" s="7">
        <v>1883.633</v>
      </c>
      <c r="M75" s="7">
        <v>1658.394</v>
      </c>
      <c r="N75" s="7">
        <v>2100.223</v>
      </c>
      <c r="O75" s="7">
        <v>2022.5260000000001</v>
      </c>
      <c r="P75" s="7">
        <v>2106.5039999999999</v>
      </c>
      <c r="R75" s="5">
        <f t="shared" si="4"/>
        <v>1945.3913333333337</v>
      </c>
      <c r="S75" s="5">
        <f t="shared" si="5"/>
        <v>52.510358397054667</v>
      </c>
      <c r="U75" s="7">
        <v>81.25</v>
      </c>
      <c r="V75" s="7">
        <v>1953.432</v>
      </c>
      <c r="W75" s="7">
        <v>1773.6969999999999</v>
      </c>
      <c r="X75" s="7">
        <v>2233.5889999999999</v>
      </c>
      <c r="Y75" s="7">
        <v>1777.924</v>
      </c>
      <c r="Z75" s="7">
        <v>2132.3209999999999</v>
      </c>
      <c r="AA75" s="7">
        <v>1845.5509999999999</v>
      </c>
      <c r="AB75" s="7">
        <v>2006.528</v>
      </c>
      <c r="AC75" s="7">
        <v>1605.7760000000001</v>
      </c>
      <c r="AD75" s="7">
        <v>2190.66</v>
      </c>
      <c r="AE75" s="7">
        <v>2034.077</v>
      </c>
      <c r="AF75" s="7">
        <v>2178.239</v>
      </c>
      <c r="AG75" s="7">
        <v>1823.4369999999999</v>
      </c>
      <c r="AH75" s="7">
        <v>2207.5859999999998</v>
      </c>
      <c r="AI75" s="7">
        <v>2164.1819999999998</v>
      </c>
      <c r="AJ75" s="7">
        <v>2211.422</v>
      </c>
      <c r="AL75" s="6">
        <f t="shared" si="6"/>
        <v>2051.9223749999996</v>
      </c>
      <c r="AM75" s="6">
        <f t="shared" si="7"/>
        <v>78.949367611902389</v>
      </c>
    </row>
    <row r="76" spans="1:39" x14ac:dyDescent="0.2">
      <c r="A76" s="7">
        <v>82.5</v>
      </c>
      <c r="B76" s="7">
        <v>2291.3339999999998</v>
      </c>
      <c r="C76" s="7">
        <v>2791.9110000000001</v>
      </c>
      <c r="D76" s="7">
        <v>2263.2199999999998</v>
      </c>
      <c r="E76" s="7">
        <v>3028.777</v>
      </c>
      <c r="F76" s="7">
        <v>2860.08</v>
      </c>
      <c r="G76" s="7">
        <v>2833.797</v>
      </c>
      <c r="H76" s="7">
        <v>2891.076</v>
      </c>
      <c r="I76" s="7">
        <v>2913.6529999999998</v>
      </c>
      <c r="J76" s="7">
        <v>3055.8850000000002</v>
      </c>
      <c r="K76" s="7">
        <v>2600.5219999999999</v>
      </c>
      <c r="L76" s="7">
        <v>2537.5329999999999</v>
      </c>
      <c r="M76" s="7">
        <v>2235.2950000000001</v>
      </c>
      <c r="N76" s="7">
        <v>2969.0990000000002</v>
      </c>
      <c r="O76" s="7">
        <v>2867.1930000000002</v>
      </c>
      <c r="P76" s="7">
        <v>2967.154</v>
      </c>
      <c r="R76" s="5">
        <f t="shared" si="4"/>
        <v>2740.4352666666668</v>
      </c>
      <c r="S76" s="5">
        <f t="shared" si="5"/>
        <v>73.228983304912219</v>
      </c>
      <c r="U76" s="7">
        <v>82.5</v>
      </c>
      <c r="V76" s="7">
        <v>2862.8310000000001</v>
      </c>
      <c r="W76" s="7">
        <v>2584.348</v>
      </c>
      <c r="X76" s="7">
        <v>3065.9119999999998</v>
      </c>
      <c r="Y76" s="7">
        <v>2596.3609999999999</v>
      </c>
      <c r="Z76" s="7">
        <v>3040.5120000000002</v>
      </c>
      <c r="AA76" s="7">
        <v>2704.3829999999998</v>
      </c>
      <c r="AB76" s="7">
        <v>2861.9540000000002</v>
      </c>
      <c r="AC76" s="7">
        <v>2325.569</v>
      </c>
      <c r="AD76" s="7">
        <v>3155.1089999999999</v>
      </c>
      <c r="AE76" s="7">
        <v>2955.4589999999998</v>
      </c>
      <c r="AF76" s="7">
        <v>3071.8</v>
      </c>
      <c r="AG76" s="7">
        <v>2614.6129999999998</v>
      </c>
      <c r="AH76" s="7">
        <v>3100.35</v>
      </c>
      <c r="AI76" s="7">
        <v>3074.9830000000002</v>
      </c>
      <c r="AJ76" s="7">
        <v>3070.5509999999999</v>
      </c>
      <c r="AL76" s="6">
        <f t="shared" si="6"/>
        <v>2921.0542499999997</v>
      </c>
      <c r="AM76" s="6">
        <f t="shared" si="7"/>
        <v>103.97362482667523</v>
      </c>
    </row>
    <row r="77" spans="1:39" x14ac:dyDescent="0.2">
      <c r="A77" s="7">
        <v>83.75</v>
      </c>
      <c r="B77" s="7">
        <v>3186.5920000000001</v>
      </c>
      <c r="C77" s="7">
        <v>3944.2759999999998</v>
      </c>
      <c r="D77" s="7">
        <v>3183.3009999999999</v>
      </c>
      <c r="E77" s="7">
        <v>3989.634</v>
      </c>
      <c r="F77" s="7">
        <v>3956.63</v>
      </c>
      <c r="G77" s="7">
        <v>3906.3380000000002</v>
      </c>
      <c r="H77" s="7">
        <v>3958.51</v>
      </c>
      <c r="I77" s="7">
        <v>3872.8389999999999</v>
      </c>
      <c r="J77" s="7">
        <v>4051.0659999999998</v>
      </c>
      <c r="K77" s="7">
        <v>3624.1509999999998</v>
      </c>
      <c r="L77" s="7">
        <v>3390.1439999999998</v>
      </c>
      <c r="M77" s="7">
        <v>2970.8789999999999</v>
      </c>
      <c r="N77" s="7">
        <v>3897.415</v>
      </c>
      <c r="O77" s="7">
        <v>3892.9560000000001</v>
      </c>
      <c r="P77" s="7">
        <v>4036.4189999999999</v>
      </c>
      <c r="R77" s="5">
        <f t="shared" si="4"/>
        <v>3724.0766666666668</v>
      </c>
      <c r="S77" s="5">
        <f t="shared" si="5"/>
        <v>93.007297523502956</v>
      </c>
      <c r="U77" s="7">
        <v>83.75</v>
      </c>
      <c r="V77" s="7">
        <v>3930.88</v>
      </c>
      <c r="W77" s="7">
        <v>3514.9119999999998</v>
      </c>
      <c r="X77" s="7">
        <v>4017.1390000000001</v>
      </c>
      <c r="Y77" s="7">
        <v>3633.47</v>
      </c>
      <c r="Z77" s="7">
        <v>4134.4080000000004</v>
      </c>
      <c r="AA77" s="7">
        <v>3911.9670000000001</v>
      </c>
      <c r="AB77" s="7">
        <v>3987.8960000000002</v>
      </c>
      <c r="AC77" s="7">
        <v>3202.8850000000002</v>
      </c>
      <c r="AD77" s="7">
        <v>4300.2120000000004</v>
      </c>
      <c r="AE77" s="7">
        <v>4061.6190000000001</v>
      </c>
      <c r="AF77" s="7">
        <v>4129.3720000000003</v>
      </c>
      <c r="AG77" s="7">
        <v>3455.7170000000001</v>
      </c>
      <c r="AH77" s="7">
        <v>4038.6970000000001</v>
      </c>
      <c r="AI77" s="7">
        <v>4087.7919999999999</v>
      </c>
      <c r="AJ77" s="7">
        <v>4070.98</v>
      </c>
      <c r="AL77" s="6">
        <f t="shared" si="6"/>
        <v>3918.4092500000002</v>
      </c>
      <c r="AM77" s="6">
        <f t="shared" si="7"/>
        <v>133.84987708726811</v>
      </c>
    </row>
    <row r="78" spans="1:39" x14ac:dyDescent="0.2">
      <c r="A78" s="7">
        <v>85</v>
      </c>
      <c r="B78" s="7">
        <v>3736.1950000000002</v>
      </c>
      <c r="C78" s="7">
        <v>4712.6409999999996</v>
      </c>
      <c r="D78" s="7">
        <v>3744.69</v>
      </c>
      <c r="E78" s="7">
        <v>4521.8760000000002</v>
      </c>
      <c r="F78" s="7">
        <v>4744.0529999999999</v>
      </c>
      <c r="G78" s="7">
        <v>4662.1880000000001</v>
      </c>
      <c r="H78" s="7">
        <v>4688.6819999999998</v>
      </c>
      <c r="I78" s="7">
        <v>4548.1670000000004</v>
      </c>
      <c r="J78" s="7">
        <v>4575.8310000000001</v>
      </c>
      <c r="K78" s="7">
        <v>4320.0739999999996</v>
      </c>
      <c r="L78" s="7">
        <v>3879.82</v>
      </c>
      <c r="M78" s="7">
        <v>3415.5859999999998</v>
      </c>
      <c r="N78" s="7">
        <v>4444.3919999999998</v>
      </c>
      <c r="O78" s="7">
        <v>4527.9660000000003</v>
      </c>
      <c r="P78" s="7">
        <v>4779.62</v>
      </c>
      <c r="R78" s="5">
        <f t="shared" si="4"/>
        <v>4353.4520666666676</v>
      </c>
      <c r="S78" s="5">
        <f t="shared" si="5"/>
        <v>113.01057053671136</v>
      </c>
      <c r="U78" s="7">
        <v>85</v>
      </c>
      <c r="V78" s="7">
        <v>4654.683</v>
      </c>
      <c r="W78" s="7">
        <v>4083.6959999999999</v>
      </c>
      <c r="X78" s="7">
        <v>4605.17</v>
      </c>
      <c r="Y78" s="7">
        <v>4337.7960000000003</v>
      </c>
      <c r="Z78" s="7">
        <v>4745.6189999999997</v>
      </c>
      <c r="AA78" s="7">
        <v>4738.1869999999999</v>
      </c>
      <c r="AB78" s="7">
        <v>4736.991</v>
      </c>
      <c r="AC78" s="7">
        <v>3773.3440000000001</v>
      </c>
      <c r="AD78" s="7">
        <v>4937.558</v>
      </c>
      <c r="AE78" s="7">
        <v>4768.1769999999997</v>
      </c>
      <c r="AF78" s="7">
        <v>4725.3249999999998</v>
      </c>
      <c r="AG78" s="7">
        <v>3957.2</v>
      </c>
      <c r="AH78" s="7">
        <v>4514.884</v>
      </c>
      <c r="AI78" s="7">
        <v>4729.7439999999997</v>
      </c>
      <c r="AJ78" s="7">
        <v>4644.7579999999998</v>
      </c>
      <c r="AL78" s="6">
        <f t="shared" si="6"/>
        <v>4506.3737499999997</v>
      </c>
      <c r="AM78" s="6">
        <f t="shared" si="7"/>
        <v>147.02051391712433</v>
      </c>
    </row>
    <row r="79" spans="1:39" x14ac:dyDescent="0.2">
      <c r="A79" s="7">
        <v>86.25</v>
      </c>
      <c r="B79" s="7">
        <v>3702.8539999999998</v>
      </c>
      <c r="C79" s="7">
        <v>4693.8950000000004</v>
      </c>
      <c r="D79" s="7">
        <v>3695.4250000000002</v>
      </c>
      <c r="E79" s="7">
        <v>4367.3029999999999</v>
      </c>
      <c r="F79" s="7">
        <v>4756.7719999999999</v>
      </c>
      <c r="G79" s="7">
        <v>4577.9589999999998</v>
      </c>
      <c r="H79" s="7">
        <v>4610.2510000000002</v>
      </c>
      <c r="I79" s="7">
        <v>4542.1329999999998</v>
      </c>
      <c r="J79" s="7">
        <v>4411.2290000000003</v>
      </c>
      <c r="K79" s="7">
        <v>4307.1480000000001</v>
      </c>
      <c r="L79" s="7">
        <v>3741.1219999999998</v>
      </c>
      <c r="M79" s="7">
        <v>3299.4209999999998</v>
      </c>
      <c r="N79" s="7">
        <v>4270.3109999999997</v>
      </c>
      <c r="O79" s="7">
        <v>4390.8339999999998</v>
      </c>
      <c r="P79" s="7">
        <v>4744.134</v>
      </c>
      <c r="R79" s="5">
        <f t="shared" si="4"/>
        <v>4274.0527333333339</v>
      </c>
      <c r="S79" s="5">
        <f t="shared" si="5"/>
        <v>116.38968760817311</v>
      </c>
      <c r="U79" s="7">
        <v>86.25</v>
      </c>
      <c r="V79" s="7">
        <v>4655.1310000000003</v>
      </c>
      <c r="W79" s="7">
        <v>4011.7049999999999</v>
      </c>
      <c r="X79" s="7">
        <v>4525.9639999999999</v>
      </c>
      <c r="Y79" s="7">
        <v>4323.6899999999996</v>
      </c>
      <c r="Z79" s="7">
        <v>4592.1279999999997</v>
      </c>
      <c r="AA79" s="7">
        <v>4727.0200000000004</v>
      </c>
      <c r="AB79" s="7">
        <v>4643.2950000000001</v>
      </c>
      <c r="AC79" s="7">
        <v>3768.6350000000002</v>
      </c>
      <c r="AD79" s="7">
        <v>4763.1589999999997</v>
      </c>
      <c r="AE79" s="7">
        <v>4764.2659999999996</v>
      </c>
      <c r="AF79" s="7">
        <v>4576.9139999999998</v>
      </c>
      <c r="AG79" s="7">
        <v>3860.6869999999999</v>
      </c>
      <c r="AH79" s="7">
        <v>4321.6850000000004</v>
      </c>
      <c r="AI79" s="7">
        <v>4609.1049999999996</v>
      </c>
      <c r="AJ79" s="7">
        <v>4510.6890000000003</v>
      </c>
      <c r="AL79" s="6">
        <f t="shared" si="6"/>
        <v>4396.8924999999999</v>
      </c>
      <c r="AM79" s="6">
        <f t="shared" si="7"/>
        <v>136.76008445109784</v>
      </c>
    </row>
    <row r="80" spans="1:39" x14ac:dyDescent="0.2">
      <c r="A80" s="7">
        <v>87.5</v>
      </c>
      <c r="B80" s="7">
        <v>3108.0920000000001</v>
      </c>
      <c r="C80" s="7">
        <v>3974.982</v>
      </c>
      <c r="D80" s="7">
        <v>3093.7620000000002</v>
      </c>
      <c r="E80" s="7">
        <v>3679.77</v>
      </c>
      <c r="F80" s="7">
        <v>4094.6</v>
      </c>
      <c r="G80" s="7">
        <v>3814.6489999999999</v>
      </c>
      <c r="H80" s="7">
        <v>3921.9229999999998</v>
      </c>
      <c r="I80" s="7">
        <v>3887.92</v>
      </c>
      <c r="J80" s="7">
        <v>3683.6010000000001</v>
      </c>
      <c r="K80" s="7">
        <v>3660.8240000000001</v>
      </c>
      <c r="L80" s="7">
        <v>3149.886</v>
      </c>
      <c r="M80" s="7">
        <v>2763.6149999999998</v>
      </c>
      <c r="N80" s="7">
        <v>3557.0619999999999</v>
      </c>
      <c r="O80" s="7">
        <v>3664.288</v>
      </c>
      <c r="P80" s="7">
        <v>4047.1619999999998</v>
      </c>
      <c r="R80" s="5">
        <f t="shared" si="4"/>
        <v>3606.8090666666667</v>
      </c>
      <c r="S80" s="5">
        <f t="shared" si="5"/>
        <v>103.29170513552631</v>
      </c>
      <c r="U80" s="7">
        <v>87.5</v>
      </c>
      <c r="V80" s="7">
        <v>3959.9270000000001</v>
      </c>
      <c r="W80" s="7">
        <v>3384.5160000000001</v>
      </c>
      <c r="X80" s="7">
        <v>3920.9380000000001</v>
      </c>
      <c r="Y80" s="7">
        <v>3719.9479999999999</v>
      </c>
      <c r="Z80" s="7">
        <v>3842.623</v>
      </c>
      <c r="AA80" s="7">
        <v>3964.4520000000002</v>
      </c>
      <c r="AB80" s="7">
        <v>3850.252</v>
      </c>
      <c r="AC80" s="7">
        <v>3208.9580000000001</v>
      </c>
      <c r="AD80" s="7">
        <v>3911.0230000000001</v>
      </c>
      <c r="AE80" s="7">
        <v>4011.56</v>
      </c>
      <c r="AF80" s="7">
        <v>3841.636</v>
      </c>
      <c r="AG80" s="7">
        <v>3242.5749999999998</v>
      </c>
      <c r="AH80" s="7">
        <v>3581.0279999999998</v>
      </c>
      <c r="AI80" s="7">
        <v>3856.7150000000001</v>
      </c>
      <c r="AJ80" s="7">
        <v>3790.8780000000002</v>
      </c>
      <c r="AL80" s="6">
        <f t="shared" si="6"/>
        <v>3680.5466249999999</v>
      </c>
      <c r="AM80" s="6">
        <f t="shared" si="7"/>
        <v>108.22976893725706</v>
      </c>
    </row>
    <row r="81" spans="1:39" x14ac:dyDescent="0.2">
      <c r="A81" s="7">
        <v>88.75</v>
      </c>
      <c r="B81" s="7">
        <v>2494.558</v>
      </c>
      <c r="C81" s="7">
        <v>3113.6979999999999</v>
      </c>
      <c r="D81" s="7">
        <v>2475.723</v>
      </c>
      <c r="E81" s="7">
        <v>3040.4369999999999</v>
      </c>
      <c r="F81" s="7">
        <v>3329.857</v>
      </c>
      <c r="G81" s="7">
        <v>3007.6039999999998</v>
      </c>
      <c r="H81" s="7">
        <v>3128.3029999999999</v>
      </c>
      <c r="I81" s="7">
        <v>3097.7919999999999</v>
      </c>
      <c r="J81" s="7">
        <v>2972.1880000000001</v>
      </c>
      <c r="K81" s="7">
        <v>2881.0419999999999</v>
      </c>
      <c r="L81" s="7">
        <v>2528.71</v>
      </c>
      <c r="M81" s="7">
        <v>2242.6559999999999</v>
      </c>
      <c r="N81" s="7">
        <v>2864.203</v>
      </c>
      <c r="O81" s="7">
        <v>2906.1979999999999</v>
      </c>
      <c r="P81" s="7">
        <v>3187.81</v>
      </c>
      <c r="R81" s="5">
        <f t="shared" si="4"/>
        <v>2884.7186000000002</v>
      </c>
      <c r="S81" s="5">
        <f t="shared" si="5"/>
        <v>80.284099738472989</v>
      </c>
      <c r="U81" s="7">
        <v>88.75</v>
      </c>
      <c r="V81" s="7">
        <v>3213.3470000000002</v>
      </c>
      <c r="W81" s="7">
        <v>2683.9830000000002</v>
      </c>
      <c r="X81" s="7">
        <v>3155.9609999999998</v>
      </c>
      <c r="Y81" s="7">
        <v>2955.645</v>
      </c>
      <c r="Z81" s="7">
        <v>3057.2370000000001</v>
      </c>
      <c r="AA81" s="7">
        <v>3120.8029999999999</v>
      </c>
      <c r="AB81" s="7">
        <v>3027.5419999999999</v>
      </c>
      <c r="AC81" s="7">
        <v>2507.6909999999998</v>
      </c>
      <c r="AD81" s="7">
        <v>3143.5459999999998</v>
      </c>
      <c r="AE81" s="7">
        <v>3210.808</v>
      </c>
      <c r="AF81" s="7">
        <v>3057.2689999999998</v>
      </c>
      <c r="AG81" s="7">
        <v>2583.357</v>
      </c>
      <c r="AH81" s="7">
        <v>2911.181</v>
      </c>
      <c r="AI81" s="7">
        <v>3085.2579999999998</v>
      </c>
      <c r="AJ81" s="7">
        <v>3037.2220000000002</v>
      </c>
      <c r="AL81" s="6">
        <f t="shared" si="6"/>
        <v>2942.0415000000003</v>
      </c>
      <c r="AM81" s="6">
        <f t="shared" si="7"/>
        <v>91.997133408562561</v>
      </c>
    </row>
    <row r="82" spans="1:39" x14ac:dyDescent="0.2">
      <c r="A82" s="7">
        <v>90</v>
      </c>
      <c r="B82" s="7">
        <v>2358.3560000000002</v>
      </c>
      <c r="C82" s="7">
        <v>2968.2719999999999</v>
      </c>
      <c r="D82" s="7">
        <v>2359.9009999999998</v>
      </c>
      <c r="E82" s="7">
        <v>2873.0889999999999</v>
      </c>
      <c r="F82" s="7">
        <v>3035.5340000000001</v>
      </c>
      <c r="G82" s="7">
        <v>2879.1680000000001</v>
      </c>
      <c r="H82" s="7">
        <v>2922.0419999999999</v>
      </c>
      <c r="I82" s="7">
        <v>2785.1819999999998</v>
      </c>
      <c r="J82" s="7">
        <v>2816.6060000000002</v>
      </c>
      <c r="K82" s="7">
        <v>2581.5459999999998</v>
      </c>
      <c r="L82" s="7">
        <v>2321.2159999999999</v>
      </c>
      <c r="M82" s="7">
        <v>2053.27</v>
      </c>
      <c r="N82" s="7">
        <v>2733.393</v>
      </c>
      <c r="O82" s="7">
        <v>2753.3110000000001</v>
      </c>
      <c r="P82" s="7">
        <v>2867.6469999999999</v>
      </c>
      <c r="R82" s="5">
        <f t="shared" si="4"/>
        <v>2687.235533333333</v>
      </c>
      <c r="S82" s="5">
        <f t="shared" si="5"/>
        <v>74.147359688976564</v>
      </c>
      <c r="U82" s="7">
        <v>90</v>
      </c>
      <c r="V82" s="7">
        <v>2986.2020000000002</v>
      </c>
      <c r="W82" s="7">
        <v>2482.9810000000002</v>
      </c>
      <c r="X82" s="7">
        <v>2886.5590000000002</v>
      </c>
      <c r="Y82" s="7">
        <v>2732.2350000000001</v>
      </c>
      <c r="Z82" s="7">
        <v>2925.4789999999998</v>
      </c>
      <c r="AA82" s="7">
        <v>2891.085</v>
      </c>
      <c r="AB82" s="7">
        <v>2862.5189999999998</v>
      </c>
      <c r="AC82" s="7">
        <v>2231.6149999999998</v>
      </c>
      <c r="AD82" s="7">
        <v>2981.415</v>
      </c>
      <c r="AE82" s="7">
        <v>2980.9589999999998</v>
      </c>
      <c r="AF82" s="7">
        <v>2842.866</v>
      </c>
      <c r="AG82" s="7">
        <v>2421.21</v>
      </c>
      <c r="AH82" s="7">
        <v>2850.9180000000001</v>
      </c>
      <c r="AI82" s="7">
        <v>2885.857</v>
      </c>
      <c r="AJ82" s="7">
        <v>2835.2979999999998</v>
      </c>
      <c r="AL82" s="6">
        <f t="shared" si="6"/>
        <v>2753.7672499999994</v>
      </c>
      <c r="AM82" s="6">
        <f t="shared" si="7"/>
        <v>97.114504101335015</v>
      </c>
    </row>
    <row r="83" spans="1:39" x14ac:dyDescent="0.2">
      <c r="A83" s="7">
        <v>91.25</v>
      </c>
      <c r="B83" s="7">
        <v>2611.7040000000002</v>
      </c>
      <c r="C83" s="7">
        <v>3323.8470000000002</v>
      </c>
      <c r="D83" s="7">
        <v>2606.7979999999998</v>
      </c>
      <c r="E83" s="7">
        <v>3171.7049999999999</v>
      </c>
      <c r="F83" s="7">
        <v>3347.3850000000002</v>
      </c>
      <c r="G83" s="7">
        <v>3230.7890000000002</v>
      </c>
      <c r="H83" s="7">
        <v>3214.9769999999999</v>
      </c>
      <c r="I83" s="7">
        <v>2962.0709999999999</v>
      </c>
      <c r="J83" s="7">
        <v>3035.652</v>
      </c>
      <c r="K83" s="7">
        <v>2741.279</v>
      </c>
      <c r="L83" s="7">
        <v>2412.5810000000001</v>
      </c>
      <c r="M83" s="7">
        <v>2121.1320000000001</v>
      </c>
      <c r="N83" s="7">
        <v>2969.5030000000002</v>
      </c>
      <c r="O83" s="7">
        <v>2980.9470000000001</v>
      </c>
      <c r="P83" s="7">
        <v>2996.165</v>
      </c>
      <c r="R83" s="5">
        <f t="shared" si="4"/>
        <v>2915.1023333333333</v>
      </c>
      <c r="S83" s="5">
        <f t="shared" si="5"/>
        <v>91.031285858511637</v>
      </c>
      <c r="U83" s="7">
        <v>91.25</v>
      </c>
      <c r="V83" s="7">
        <v>3368.9160000000002</v>
      </c>
      <c r="W83" s="7">
        <v>2766.549</v>
      </c>
      <c r="X83" s="7">
        <v>3171.9319999999998</v>
      </c>
      <c r="Y83" s="7">
        <v>3036.01</v>
      </c>
      <c r="Z83" s="7">
        <v>3292.32</v>
      </c>
      <c r="AA83" s="7">
        <v>3239.2469999999998</v>
      </c>
      <c r="AB83" s="7">
        <v>3197.0509999999999</v>
      </c>
      <c r="AC83" s="7">
        <v>2437.17</v>
      </c>
      <c r="AD83" s="7">
        <v>3254.82</v>
      </c>
      <c r="AE83" s="7">
        <v>3409.2530000000002</v>
      </c>
      <c r="AF83" s="7">
        <v>3094.393</v>
      </c>
      <c r="AG83" s="7">
        <v>2722.1390000000001</v>
      </c>
      <c r="AH83" s="7">
        <v>3198.982</v>
      </c>
      <c r="AI83" s="7">
        <v>3169.81</v>
      </c>
      <c r="AJ83" s="7">
        <v>3051.1950000000002</v>
      </c>
      <c r="AL83" s="6">
        <f t="shared" si="6"/>
        <v>3042.2202500000003</v>
      </c>
      <c r="AM83" s="6">
        <f t="shared" si="7"/>
        <v>111.17115484110685</v>
      </c>
    </row>
    <row r="84" spans="1:39" x14ac:dyDescent="0.2">
      <c r="A84" s="7">
        <v>92.5</v>
      </c>
      <c r="B84" s="7">
        <v>2837.44</v>
      </c>
      <c r="C84" s="7">
        <v>3639.4479999999999</v>
      </c>
      <c r="D84" s="7">
        <v>2884.9349999999999</v>
      </c>
      <c r="E84" s="7">
        <v>3445.915</v>
      </c>
      <c r="F84" s="7">
        <v>3692.625</v>
      </c>
      <c r="G84" s="7">
        <v>3488.6129999999998</v>
      </c>
      <c r="H84" s="7">
        <v>3506.9349999999999</v>
      </c>
      <c r="I84" s="7">
        <v>3215.299</v>
      </c>
      <c r="J84" s="7">
        <v>3241.2469999999998</v>
      </c>
      <c r="K84" s="7">
        <v>2996.15</v>
      </c>
      <c r="L84" s="7">
        <v>2621.0120000000002</v>
      </c>
      <c r="M84" s="7">
        <v>2301.9960000000001</v>
      </c>
      <c r="N84" s="7">
        <v>3191.8809999999999</v>
      </c>
      <c r="O84" s="7">
        <v>3231.13</v>
      </c>
      <c r="P84" s="7">
        <v>3248.4749999999999</v>
      </c>
      <c r="R84" s="5">
        <f t="shared" si="4"/>
        <v>3169.5400666666669</v>
      </c>
      <c r="S84" s="5">
        <f t="shared" si="5"/>
        <v>99.500815527859245</v>
      </c>
      <c r="U84" s="7">
        <v>92.5</v>
      </c>
      <c r="V84" s="7">
        <v>3786.95</v>
      </c>
      <c r="W84" s="7">
        <v>3035.54</v>
      </c>
      <c r="X84" s="7">
        <v>3526.973</v>
      </c>
      <c r="Y84" s="7">
        <v>3354.2550000000001</v>
      </c>
      <c r="Z84" s="7">
        <v>3623.6170000000002</v>
      </c>
      <c r="AA84" s="7">
        <v>3570.3809999999999</v>
      </c>
      <c r="AB84" s="7">
        <v>3490.5859999999998</v>
      </c>
      <c r="AC84" s="7">
        <v>2676.4830000000002</v>
      </c>
      <c r="AD84" s="7">
        <v>3523.377</v>
      </c>
      <c r="AE84" s="7">
        <v>3826.0210000000002</v>
      </c>
      <c r="AF84" s="7">
        <v>3388.9929999999999</v>
      </c>
      <c r="AG84" s="7">
        <v>2990.6819999999998</v>
      </c>
      <c r="AH84" s="7">
        <v>3492.2449999999999</v>
      </c>
      <c r="AI84" s="7">
        <v>3450.4609999999998</v>
      </c>
      <c r="AJ84" s="7">
        <v>3321.1439999999998</v>
      </c>
      <c r="AL84" s="6">
        <f t="shared" si="6"/>
        <v>3333.6757499999999</v>
      </c>
      <c r="AM84" s="6">
        <f t="shared" si="7"/>
        <v>124.63786666704665</v>
      </c>
    </row>
    <row r="85" spans="1:39" x14ac:dyDescent="0.2">
      <c r="A85" s="7">
        <v>93.75</v>
      </c>
      <c r="B85" s="7">
        <v>2869.8270000000002</v>
      </c>
      <c r="C85" s="7">
        <v>3722.9560000000001</v>
      </c>
      <c r="D85" s="7">
        <v>2961.2310000000002</v>
      </c>
      <c r="E85" s="7">
        <v>3496.6219999999998</v>
      </c>
      <c r="F85" s="7">
        <v>3787.3960000000002</v>
      </c>
      <c r="G85" s="7">
        <v>3535.877</v>
      </c>
      <c r="H85" s="7">
        <v>3610.4160000000002</v>
      </c>
      <c r="I85" s="7">
        <v>3397.348</v>
      </c>
      <c r="J85" s="7">
        <v>3412.4780000000001</v>
      </c>
      <c r="K85" s="7">
        <v>3233.87</v>
      </c>
      <c r="L85" s="7">
        <v>2944.0329999999999</v>
      </c>
      <c r="M85" s="7">
        <v>2590.1329999999998</v>
      </c>
      <c r="N85" s="7">
        <v>3337.89</v>
      </c>
      <c r="O85" s="7">
        <v>3393.62</v>
      </c>
      <c r="P85" s="7">
        <v>3522.2620000000002</v>
      </c>
      <c r="R85" s="5">
        <f t="shared" si="4"/>
        <v>3321.0639333333338</v>
      </c>
      <c r="S85" s="5">
        <f t="shared" si="5"/>
        <v>87.749273072797848</v>
      </c>
      <c r="U85" s="7">
        <v>93.75</v>
      </c>
      <c r="V85" s="7">
        <v>3885.04</v>
      </c>
      <c r="W85" s="7">
        <v>3122.2330000000002</v>
      </c>
      <c r="X85" s="7">
        <v>3654.9369999999999</v>
      </c>
      <c r="Y85" s="7">
        <v>3405.0120000000002</v>
      </c>
      <c r="Z85" s="7">
        <v>3709.9780000000001</v>
      </c>
      <c r="AA85" s="7">
        <v>3664.2530000000002</v>
      </c>
      <c r="AB85" s="7">
        <v>3588.9789999999998</v>
      </c>
      <c r="AC85" s="7">
        <v>2803.9929999999999</v>
      </c>
      <c r="AD85" s="7">
        <v>3674.8649999999998</v>
      </c>
      <c r="AE85" s="7">
        <v>3950.4969999999998</v>
      </c>
      <c r="AF85" s="7">
        <v>3526.8919999999998</v>
      </c>
      <c r="AG85" s="7">
        <v>3079.3739999999998</v>
      </c>
      <c r="AH85" s="7">
        <v>3551.3429999999998</v>
      </c>
      <c r="AI85" s="7">
        <v>3584.8159999999998</v>
      </c>
      <c r="AJ85" s="7">
        <v>3475.6640000000002</v>
      </c>
      <c r="AL85" s="6">
        <f t="shared" si="6"/>
        <v>3455.9304999999999</v>
      </c>
      <c r="AM85" s="6">
        <f t="shared" si="7"/>
        <v>126.10126334631111</v>
      </c>
    </row>
    <row r="86" spans="1:39" x14ac:dyDescent="0.2">
      <c r="A86" s="7">
        <v>95</v>
      </c>
      <c r="B86" s="7">
        <v>2848.8620000000001</v>
      </c>
      <c r="C86" s="7">
        <v>3675.7719999999999</v>
      </c>
      <c r="D86" s="7">
        <v>2965.634</v>
      </c>
      <c r="E86" s="7">
        <v>3555.8090000000002</v>
      </c>
      <c r="F86" s="7">
        <v>3787.047</v>
      </c>
      <c r="G86" s="7">
        <v>3581.9029999999998</v>
      </c>
      <c r="H86" s="7">
        <v>3651.3240000000001</v>
      </c>
      <c r="I86" s="7">
        <v>3568.8679999999999</v>
      </c>
      <c r="J86" s="7">
        <v>3648.0360000000001</v>
      </c>
      <c r="K86" s="7">
        <v>3496.058</v>
      </c>
      <c r="L86" s="7">
        <v>3276.9850000000001</v>
      </c>
      <c r="M86" s="7">
        <v>2881.2579999999998</v>
      </c>
      <c r="N86" s="7">
        <v>3504.7910000000002</v>
      </c>
      <c r="O86" s="7">
        <v>3626.453</v>
      </c>
      <c r="P86" s="7">
        <v>3791.2280000000001</v>
      </c>
      <c r="R86" s="5">
        <f t="shared" si="4"/>
        <v>3457.3352</v>
      </c>
      <c r="S86" s="5">
        <f t="shared" si="5"/>
        <v>81.308182930906256</v>
      </c>
      <c r="U86" s="7">
        <v>95</v>
      </c>
      <c r="V86" s="7">
        <v>3752.473</v>
      </c>
      <c r="W86" s="7">
        <v>3145.3789999999999</v>
      </c>
      <c r="X86" s="7">
        <v>3581.5839999999998</v>
      </c>
      <c r="Y86" s="7">
        <v>3347.0169999999998</v>
      </c>
      <c r="Z86" s="7">
        <v>3656.3249999999998</v>
      </c>
      <c r="AA86" s="7">
        <v>3624.6190000000001</v>
      </c>
      <c r="AB86" s="7">
        <v>3601.9459999999999</v>
      </c>
      <c r="AC86" s="7">
        <v>2882.0549999999998</v>
      </c>
      <c r="AD86" s="7">
        <v>3841.7689999999998</v>
      </c>
      <c r="AE86" s="7">
        <v>3858.8589999999999</v>
      </c>
      <c r="AF86" s="7">
        <v>3661.3870000000002</v>
      </c>
      <c r="AG86" s="7">
        <v>3050.018</v>
      </c>
      <c r="AH86" s="7">
        <v>3519.4369999999999</v>
      </c>
      <c r="AI86" s="7">
        <v>3617.9319999999998</v>
      </c>
      <c r="AJ86" s="7">
        <v>3604.4119999999998</v>
      </c>
      <c r="AL86" s="6">
        <f t="shared" si="6"/>
        <v>3504.4836250000003</v>
      </c>
      <c r="AM86" s="6">
        <f t="shared" si="7"/>
        <v>125.42771214584369</v>
      </c>
    </row>
    <row r="87" spans="1:39" x14ac:dyDescent="0.2">
      <c r="A87" s="7">
        <v>96.25</v>
      </c>
      <c r="B87" s="7">
        <v>2944.32</v>
      </c>
      <c r="C87" s="7">
        <v>3696.7849999999999</v>
      </c>
      <c r="D87" s="7">
        <v>3011.098</v>
      </c>
      <c r="E87" s="7">
        <v>3662.41</v>
      </c>
      <c r="F87" s="7">
        <v>3881.7179999999998</v>
      </c>
      <c r="G87" s="7">
        <v>3666.4430000000002</v>
      </c>
      <c r="H87" s="7">
        <v>3816.1669999999999</v>
      </c>
      <c r="I87" s="7">
        <v>3776.0610000000001</v>
      </c>
      <c r="J87" s="7">
        <v>3921.1869999999999</v>
      </c>
      <c r="K87" s="7">
        <v>3689.3670000000002</v>
      </c>
      <c r="L87" s="7">
        <v>3519.6959999999999</v>
      </c>
      <c r="M87" s="7">
        <v>3131.877</v>
      </c>
      <c r="N87" s="7">
        <v>3684.7049999999999</v>
      </c>
      <c r="O87" s="7">
        <v>3841.768</v>
      </c>
      <c r="P87" s="7">
        <v>4044.2640000000001</v>
      </c>
      <c r="R87" s="5">
        <f t="shared" si="4"/>
        <v>3619.1910666666668</v>
      </c>
      <c r="S87" s="5">
        <f t="shared" si="5"/>
        <v>85.793153735707421</v>
      </c>
      <c r="U87" s="7">
        <v>96.25</v>
      </c>
      <c r="V87" s="7">
        <v>3712.558</v>
      </c>
      <c r="W87" s="7">
        <v>3207.2689999999998</v>
      </c>
      <c r="X87" s="7">
        <v>3601.1419999999998</v>
      </c>
      <c r="Y87" s="7">
        <v>3402.2649999999999</v>
      </c>
      <c r="Z87" s="7">
        <v>3683.2069999999999</v>
      </c>
      <c r="AA87" s="7">
        <v>3638.8150000000001</v>
      </c>
      <c r="AB87" s="7">
        <v>3668.5819999999999</v>
      </c>
      <c r="AC87" s="7">
        <v>2992.5680000000002</v>
      </c>
      <c r="AD87" s="7">
        <v>4039.02</v>
      </c>
      <c r="AE87" s="7">
        <v>3769.7249999999999</v>
      </c>
      <c r="AF87" s="7">
        <v>3843.1840000000002</v>
      </c>
      <c r="AG87" s="7">
        <v>3078.4650000000001</v>
      </c>
      <c r="AH87" s="7">
        <v>3548.7809999999999</v>
      </c>
      <c r="AI87" s="7">
        <v>3740.0250000000001</v>
      </c>
      <c r="AJ87" s="7">
        <v>3741.2750000000001</v>
      </c>
      <c r="AL87" s="6">
        <f t="shared" si="6"/>
        <v>3594.1303750000002</v>
      </c>
      <c r="AM87" s="6">
        <f t="shared" si="7"/>
        <v>131.17391515518861</v>
      </c>
    </row>
    <row r="88" spans="1:39" x14ac:dyDescent="0.2">
      <c r="A88" s="7">
        <v>97.5</v>
      </c>
      <c r="B88" s="7">
        <v>3133.6080000000002</v>
      </c>
      <c r="C88" s="7">
        <v>3898.16</v>
      </c>
      <c r="D88" s="7">
        <v>3180.701</v>
      </c>
      <c r="E88" s="7">
        <v>3827.1979999999999</v>
      </c>
      <c r="F88" s="7">
        <v>4053.3069999999998</v>
      </c>
      <c r="G88" s="7">
        <v>3894.81</v>
      </c>
      <c r="H88" s="7">
        <v>4041.9229999999998</v>
      </c>
      <c r="I88" s="7">
        <v>4066.48</v>
      </c>
      <c r="J88" s="7">
        <v>4229.9840000000004</v>
      </c>
      <c r="K88" s="7">
        <v>3926.6509999999998</v>
      </c>
      <c r="L88" s="7">
        <v>3753.2849999999999</v>
      </c>
      <c r="M88" s="7">
        <v>3386.05</v>
      </c>
      <c r="N88" s="7">
        <v>3893.3710000000001</v>
      </c>
      <c r="O88" s="7">
        <v>4127.7089999999998</v>
      </c>
      <c r="P88" s="7">
        <v>4322.9269999999997</v>
      </c>
      <c r="R88" s="5">
        <f t="shared" si="4"/>
        <v>3849.0776000000001</v>
      </c>
      <c r="S88" s="5">
        <f t="shared" si="5"/>
        <v>91.770282399499052</v>
      </c>
      <c r="U88" s="7">
        <v>97.5</v>
      </c>
      <c r="V88" s="7">
        <v>3840.3870000000002</v>
      </c>
      <c r="W88" s="7">
        <v>3399.73</v>
      </c>
      <c r="X88" s="7">
        <v>3774.0039999999999</v>
      </c>
      <c r="Y88" s="7">
        <v>3532.1489999999999</v>
      </c>
      <c r="Z88" s="7">
        <v>3830.3150000000001</v>
      </c>
      <c r="AA88" s="7">
        <v>3810.489</v>
      </c>
      <c r="AB88" s="7">
        <v>3893.2139999999999</v>
      </c>
      <c r="AC88" s="7">
        <v>3191.7779999999998</v>
      </c>
      <c r="AD88" s="7">
        <v>4275.0029999999997</v>
      </c>
      <c r="AE88" s="7">
        <v>3874.1419999999998</v>
      </c>
      <c r="AF88" s="7">
        <v>4096.34</v>
      </c>
      <c r="AG88" s="7">
        <v>3208.5520000000001</v>
      </c>
      <c r="AH88" s="7">
        <v>3709.1060000000002</v>
      </c>
      <c r="AI88" s="7">
        <v>3997.0749999999998</v>
      </c>
      <c r="AJ88" s="7">
        <v>3938.895</v>
      </c>
      <c r="AL88" s="6">
        <f t="shared" si="6"/>
        <v>3786.361375</v>
      </c>
      <c r="AM88" s="6">
        <f t="shared" si="7"/>
        <v>140.38156032958599</v>
      </c>
    </row>
    <row r="89" spans="1:39" x14ac:dyDescent="0.2">
      <c r="A89" s="7">
        <v>98.75</v>
      </c>
      <c r="B89" s="7">
        <v>3316.0970000000002</v>
      </c>
      <c r="C89" s="7">
        <v>4116.9780000000001</v>
      </c>
      <c r="D89" s="7">
        <v>3310.1709999999998</v>
      </c>
      <c r="E89" s="7">
        <v>4001.35</v>
      </c>
      <c r="F89" s="7">
        <v>4264.7640000000001</v>
      </c>
      <c r="G89" s="7">
        <v>4098.5990000000002</v>
      </c>
      <c r="H89" s="7">
        <v>4272.741</v>
      </c>
      <c r="I89" s="7">
        <v>4338.0020000000004</v>
      </c>
      <c r="J89" s="7">
        <v>4447.0309999999999</v>
      </c>
      <c r="K89" s="7">
        <v>4149.7370000000001</v>
      </c>
      <c r="L89" s="7">
        <v>3947.58</v>
      </c>
      <c r="M89" s="7">
        <v>3554.5920000000001</v>
      </c>
      <c r="N89" s="7">
        <v>4060.18</v>
      </c>
      <c r="O89" s="7">
        <v>4353.1310000000003</v>
      </c>
      <c r="P89" s="7">
        <v>4546.2299999999996</v>
      </c>
      <c r="R89" s="5">
        <f t="shared" si="4"/>
        <v>4051.8122000000003</v>
      </c>
      <c r="S89" s="5">
        <f t="shared" si="5"/>
        <v>98.453387463509856</v>
      </c>
      <c r="U89" s="7">
        <v>98.75</v>
      </c>
      <c r="V89" s="7">
        <v>4012.69</v>
      </c>
      <c r="W89" s="7">
        <v>3518.6350000000002</v>
      </c>
      <c r="X89" s="7">
        <v>3990.2579999999998</v>
      </c>
      <c r="Y89" s="7">
        <v>3689.703</v>
      </c>
      <c r="Z89" s="7">
        <v>4059.6120000000001</v>
      </c>
      <c r="AA89" s="7">
        <v>4022.91</v>
      </c>
      <c r="AB89" s="7">
        <v>4120.0330000000004</v>
      </c>
      <c r="AC89" s="7">
        <v>3385.6260000000002</v>
      </c>
      <c r="AD89" s="7">
        <v>4488.3050000000003</v>
      </c>
      <c r="AE89" s="7">
        <v>4097.799</v>
      </c>
      <c r="AF89" s="7">
        <v>4306.4139999999998</v>
      </c>
      <c r="AG89" s="7">
        <v>3336.36</v>
      </c>
      <c r="AH89" s="7">
        <v>3874.5210000000002</v>
      </c>
      <c r="AI89" s="7">
        <v>4223.4960000000001</v>
      </c>
      <c r="AJ89" s="7">
        <v>4133.0150000000003</v>
      </c>
      <c r="AL89" s="6">
        <f t="shared" si="6"/>
        <v>3980.692</v>
      </c>
      <c r="AM89" s="6">
        <f t="shared" si="7"/>
        <v>148.81528933715109</v>
      </c>
    </row>
    <row r="90" spans="1:39" x14ac:dyDescent="0.2">
      <c r="A90" s="7">
        <v>100</v>
      </c>
      <c r="B90" s="7">
        <v>3390.5770000000002</v>
      </c>
      <c r="C90" s="7">
        <v>4184.9340000000002</v>
      </c>
      <c r="D90" s="7">
        <v>3328.1689999999999</v>
      </c>
      <c r="E90" s="7">
        <v>4020.998</v>
      </c>
      <c r="F90" s="7">
        <v>4344.0680000000002</v>
      </c>
      <c r="G90" s="7">
        <v>4171.1360000000004</v>
      </c>
      <c r="H90" s="7">
        <v>4360.72</v>
      </c>
      <c r="I90" s="7">
        <v>4459.5219999999999</v>
      </c>
      <c r="J90" s="7">
        <v>4514.6459999999997</v>
      </c>
      <c r="K90" s="7">
        <v>4175.9530000000004</v>
      </c>
      <c r="L90" s="7">
        <v>3995.1489999999999</v>
      </c>
      <c r="M90" s="7">
        <v>3574.5149999999999</v>
      </c>
      <c r="N90" s="7">
        <v>4082.2469999999998</v>
      </c>
      <c r="O90" s="7">
        <v>4406.5950000000003</v>
      </c>
      <c r="P90" s="7">
        <v>4547.2299999999996</v>
      </c>
      <c r="R90" s="5">
        <f t="shared" si="4"/>
        <v>4103.7639333333336</v>
      </c>
      <c r="S90" s="5">
        <f t="shared" si="5"/>
        <v>100.78893317997181</v>
      </c>
      <c r="U90" s="7">
        <v>100</v>
      </c>
      <c r="V90" s="7">
        <v>4061.125</v>
      </c>
      <c r="W90" s="7">
        <v>3536.5590000000002</v>
      </c>
      <c r="X90" s="7">
        <v>4060.087</v>
      </c>
      <c r="Y90" s="7">
        <v>3767.2849999999999</v>
      </c>
      <c r="Z90" s="7">
        <v>4160.5690000000004</v>
      </c>
      <c r="AA90" s="7">
        <v>4127.8909999999996</v>
      </c>
      <c r="AB90" s="7">
        <v>4212.0569999999998</v>
      </c>
      <c r="AC90" s="7">
        <v>3488.721</v>
      </c>
      <c r="AD90" s="7">
        <v>4605.2650000000003</v>
      </c>
      <c r="AE90" s="7">
        <v>4214.6909999999998</v>
      </c>
      <c r="AF90" s="7">
        <v>4319.7830000000004</v>
      </c>
      <c r="AG90" s="7">
        <v>3371.0250000000001</v>
      </c>
      <c r="AH90" s="7">
        <v>3947.7910000000002</v>
      </c>
      <c r="AI90" s="7">
        <v>4311.7420000000002</v>
      </c>
      <c r="AJ90" s="7">
        <v>4207.4830000000002</v>
      </c>
      <c r="AL90" s="6">
        <f t="shared" si="6"/>
        <v>4058.3126250000005</v>
      </c>
      <c r="AM90" s="6">
        <f t="shared" si="7"/>
        <v>151.62630466520756</v>
      </c>
    </row>
    <row r="91" spans="1:39" x14ac:dyDescent="0.2">
      <c r="A91" s="7">
        <v>101.25</v>
      </c>
      <c r="B91" s="7">
        <v>3348.9609999999998</v>
      </c>
      <c r="C91" s="7">
        <v>4085.66</v>
      </c>
      <c r="D91" s="7">
        <v>3233.7289999999998</v>
      </c>
      <c r="E91" s="7">
        <v>3899.81</v>
      </c>
      <c r="F91" s="7">
        <v>4250.1570000000002</v>
      </c>
      <c r="G91" s="7">
        <v>4047.1219999999998</v>
      </c>
      <c r="H91" s="7">
        <v>4301.1390000000001</v>
      </c>
      <c r="I91" s="7">
        <v>4370.598</v>
      </c>
      <c r="J91" s="7">
        <v>4399.3810000000003</v>
      </c>
      <c r="K91" s="7">
        <v>4016.8679999999999</v>
      </c>
      <c r="L91" s="7">
        <v>3854.4609999999998</v>
      </c>
      <c r="M91" s="7">
        <v>3462.9250000000002</v>
      </c>
      <c r="N91" s="7">
        <v>3959.6610000000001</v>
      </c>
      <c r="O91" s="7">
        <v>4289.4930000000004</v>
      </c>
      <c r="P91" s="7">
        <v>4365.8019999999997</v>
      </c>
      <c r="R91" s="5">
        <f t="shared" si="4"/>
        <v>3992.3844666666673</v>
      </c>
      <c r="S91" s="5">
        <f t="shared" si="5"/>
        <v>97.809843155597278</v>
      </c>
      <c r="U91" s="7">
        <v>101.25</v>
      </c>
      <c r="V91" s="7">
        <v>3972.806</v>
      </c>
      <c r="W91" s="7">
        <v>3454.373</v>
      </c>
      <c r="X91" s="7">
        <v>3993.73</v>
      </c>
      <c r="Y91" s="7">
        <v>3713.163</v>
      </c>
      <c r="Z91" s="7">
        <v>4101.0969999999998</v>
      </c>
      <c r="AA91" s="7">
        <v>4048.585</v>
      </c>
      <c r="AB91" s="7">
        <v>4143.451</v>
      </c>
      <c r="AC91" s="7">
        <v>3410.4989999999998</v>
      </c>
      <c r="AD91" s="7">
        <v>4469.6530000000002</v>
      </c>
      <c r="AE91" s="7">
        <v>4126.7569999999996</v>
      </c>
      <c r="AF91" s="7">
        <v>4180.7129999999997</v>
      </c>
      <c r="AG91" s="7">
        <v>3282.9470000000001</v>
      </c>
      <c r="AH91" s="7">
        <v>3886.4450000000002</v>
      </c>
      <c r="AI91" s="7">
        <v>4247.1270000000004</v>
      </c>
      <c r="AJ91" s="7">
        <v>4126.2460000000001</v>
      </c>
      <c r="AL91" s="6">
        <f t="shared" si="6"/>
        <v>3966.2983749999999</v>
      </c>
      <c r="AM91" s="6">
        <f t="shared" si="7"/>
        <v>147.10255461059154</v>
      </c>
    </row>
    <row r="92" spans="1:39" x14ac:dyDescent="0.2">
      <c r="A92" s="7">
        <v>102.5</v>
      </c>
      <c r="B92" s="7">
        <v>3171.7840000000001</v>
      </c>
      <c r="C92" s="7">
        <v>3852.433</v>
      </c>
      <c r="D92" s="7">
        <v>3014.2649999999999</v>
      </c>
      <c r="E92" s="7">
        <v>3590.8820000000001</v>
      </c>
      <c r="F92" s="7">
        <v>3961.2089999999998</v>
      </c>
      <c r="G92" s="7">
        <v>3758.078</v>
      </c>
      <c r="H92" s="7">
        <v>4055.73</v>
      </c>
      <c r="I92" s="7">
        <v>4135.6019999999999</v>
      </c>
      <c r="J92" s="7">
        <v>4108.0320000000002</v>
      </c>
      <c r="K92" s="7">
        <v>3653.4929999999999</v>
      </c>
      <c r="L92" s="7">
        <v>3540.5160000000001</v>
      </c>
      <c r="M92" s="7">
        <v>3191.6579999999999</v>
      </c>
      <c r="N92" s="7">
        <v>3658.355</v>
      </c>
      <c r="O92" s="7">
        <v>3969.3969999999999</v>
      </c>
      <c r="P92" s="7">
        <v>3988.2040000000002</v>
      </c>
      <c r="R92" s="5">
        <f t="shared" si="4"/>
        <v>3709.9758666666671</v>
      </c>
      <c r="S92" s="5">
        <f t="shared" si="5"/>
        <v>92.08331882360757</v>
      </c>
      <c r="U92" s="7">
        <v>102.5</v>
      </c>
      <c r="V92" s="7">
        <v>3763.1880000000001</v>
      </c>
      <c r="W92" s="7">
        <v>3233.5360000000001</v>
      </c>
      <c r="X92" s="7">
        <v>3741.3069999999998</v>
      </c>
      <c r="Y92" s="7">
        <v>3530.7750000000001</v>
      </c>
      <c r="Z92" s="7">
        <v>3840.7429999999999</v>
      </c>
      <c r="AA92" s="7">
        <v>3803.8739999999998</v>
      </c>
      <c r="AB92" s="7">
        <v>3891.7420000000002</v>
      </c>
      <c r="AC92" s="7">
        <v>3186.067</v>
      </c>
      <c r="AD92" s="7">
        <v>4109.1220000000003</v>
      </c>
      <c r="AE92" s="7">
        <v>3880.9879999999998</v>
      </c>
      <c r="AF92" s="7">
        <v>3876.8780000000002</v>
      </c>
      <c r="AG92" s="7">
        <v>3044.56</v>
      </c>
      <c r="AH92" s="7">
        <v>3627.886</v>
      </c>
      <c r="AI92" s="7">
        <v>3977.248</v>
      </c>
      <c r="AJ92" s="7">
        <v>3829.0149999999999</v>
      </c>
      <c r="AL92" s="6">
        <f t="shared" si="6"/>
        <v>3691.4704999999999</v>
      </c>
      <c r="AM92" s="6">
        <f t="shared" si="7"/>
        <v>135.17724804360702</v>
      </c>
    </row>
    <row r="93" spans="1:39" x14ac:dyDescent="0.2">
      <c r="A93" s="7">
        <v>103.75</v>
      </c>
      <c r="B93" s="7">
        <v>2831.7020000000002</v>
      </c>
      <c r="C93" s="7">
        <v>3451.5439999999999</v>
      </c>
      <c r="D93" s="7">
        <v>2691.0430000000001</v>
      </c>
      <c r="E93" s="7">
        <v>3187.9520000000002</v>
      </c>
      <c r="F93" s="7">
        <v>3509.6869999999999</v>
      </c>
      <c r="G93" s="7">
        <v>3350.9349999999999</v>
      </c>
      <c r="H93" s="7">
        <v>3616.5619999999999</v>
      </c>
      <c r="I93" s="7">
        <v>3746.8090000000002</v>
      </c>
      <c r="J93" s="7">
        <v>3663.2959999999998</v>
      </c>
      <c r="K93" s="7">
        <v>3154.7379999999998</v>
      </c>
      <c r="L93" s="7">
        <v>3114.4549999999999</v>
      </c>
      <c r="M93" s="7">
        <v>2794.2489999999998</v>
      </c>
      <c r="N93" s="7">
        <v>3242.5070000000001</v>
      </c>
      <c r="O93" s="7">
        <v>3532.4110000000001</v>
      </c>
      <c r="P93" s="7">
        <v>3485.2489999999998</v>
      </c>
      <c r="R93" s="5">
        <f t="shared" si="4"/>
        <v>3291.5426000000007</v>
      </c>
      <c r="S93" s="5">
        <f t="shared" si="5"/>
        <v>84.682190921552603</v>
      </c>
      <c r="U93" s="7">
        <v>103.75</v>
      </c>
      <c r="V93" s="7">
        <v>3405.6419999999998</v>
      </c>
      <c r="W93" s="7">
        <v>2875.895</v>
      </c>
      <c r="X93" s="7">
        <v>3335.3029999999999</v>
      </c>
      <c r="Y93" s="7">
        <v>3180.38</v>
      </c>
      <c r="Z93" s="7">
        <v>3413.009</v>
      </c>
      <c r="AA93" s="7">
        <v>3396.297</v>
      </c>
      <c r="AB93" s="7">
        <v>3453.7730000000001</v>
      </c>
      <c r="AC93" s="7">
        <v>2825.3960000000002</v>
      </c>
      <c r="AD93" s="7">
        <v>3658.7469999999998</v>
      </c>
      <c r="AE93" s="7">
        <v>3490.3380000000002</v>
      </c>
      <c r="AF93" s="7">
        <v>3425.1219999999998</v>
      </c>
      <c r="AG93" s="7">
        <v>2692.7150000000001</v>
      </c>
      <c r="AH93" s="7">
        <v>3233.0279999999998</v>
      </c>
      <c r="AI93" s="7">
        <v>3538.4929999999999</v>
      </c>
      <c r="AJ93" s="7">
        <v>3363.6590000000001</v>
      </c>
      <c r="AL93" s="6">
        <f t="shared" si="6"/>
        <v>3278.4372499999995</v>
      </c>
      <c r="AM93" s="6">
        <f t="shared" si="7"/>
        <v>122.20624529513179</v>
      </c>
    </row>
    <row r="94" spans="1:39" x14ac:dyDescent="0.2">
      <c r="A94" s="7">
        <v>105</v>
      </c>
      <c r="B94" s="7">
        <v>2573.4479999999999</v>
      </c>
      <c r="C94" s="7">
        <v>3082.1469999999999</v>
      </c>
      <c r="D94" s="7">
        <v>2438.7049999999999</v>
      </c>
      <c r="E94" s="7">
        <v>2929.2220000000002</v>
      </c>
      <c r="F94" s="7">
        <v>3187.2669999999998</v>
      </c>
      <c r="G94" s="7">
        <v>3056.6550000000002</v>
      </c>
      <c r="H94" s="7">
        <v>3261</v>
      </c>
      <c r="I94" s="7">
        <v>3350.6219999999998</v>
      </c>
      <c r="J94" s="7">
        <v>3345.28</v>
      </c>
      <c r="K94" s="7">
        <v>2853.1289999999999</v>
      </c>
      <c r="L94" s="7">
        <v>2815.8739999999998</v>
      </c>
      <c r="M94" s="7">
        <v>2532.2359999999999</v>
      </c>
      <c r="N94" s="7">
        <v>2981.5990000000002</v>
      </c>
      <c r="O94" s="7">
        <v>3222.471</v>
      </c>
      <c r="P94" s="7">
        <v>3144.8879999999999</v>
      </c>
      <c r="R94" s="5">
        <f t="shared" si="4"/>
        <v>2984.9695333333334</v>
      </c>
      <c r="S94" s="5">
        <f t="shared" si="5"/>
        <v>75.562100278850835</v>
      </c>
      <c r="U94" s="7">
        <v>105</v>
      </c>
      <c r="V94" s="7">
        <v>3093.08</v>
      </c>
      <c r="W94" s="7">
        <v>2637.0050000000001</v>
      </c>
      <c r="X94" s="7">
        <v>3041.8710000000001</v>
      </c>
      <c r="Y94" s="7">
        <v>2870.0940000000001</v>
      </c>
      <c r="Z94" s="7">
        <v>3080.0859999999998</v>
      </c>
      <c r="AA94" s="7">
        <v>3051.1410000000001</v>
      </c>
      <c r="AB94" s="7">
        <v>3116.5</v>
      </c>
      <c r="AC94" s="7">
        <v>2539.19</v>
      </c>
      <c r="AD94" s="7">
        <v>3346.2710000000002</v>
      </c>
      <c r="AE94" s="7">
        <v>3171.36</v>
      </c>
      <c r="AF94" s="7">
        <v>3108.5120000000002</v>
      </c>
      <c r="AG94" s="7">
        <v>2435.4670000000001</v>
      </c>
      <c r="AH94" s="7">
        <v>2959.17</v>
      </c>
      <c r="AI94" s="7">
        <v>3210.2489999999998</v>
      </c>
      <c r="AJ94" s="7">
        <v>3028.7190000000001</v>
      </c>
      <c r="AL94" s="6">
        <f t="shared" si="6"/>
        <v>2974.8672500000002</v>
      </c>
      <c r="AM94" s="6">
        <f t="shared" si="7"/>
        <v>114.46532103151739</v>
      </c>
    </row>
    <row r="95" spans="1:39" x14ac:dyDescent="0.2">
      <c r="A95" s="7">
        <v>106.25</v>
      </c>
      <c r="B95" s="7">
        <v>2464.1570000000002</v>
      </c>
      <c r="C95" s="7">
        <v>2906.6329999999998</v>
      </c>
      <c r="D95" s="7">
        <v>2314.7510000000002</v>
      </c>
      <c r="E95" s="7">
        <v>2813.8139999999999</v>
      </c>
      <c r="F95" s="7">
        <v>3046.2710000000002</v>
      </c>
      <c r="G95" s="7">
        <v>2898.201</v>
      </c>
      <c r="H95" s="7">
        <v>3083.9380000000001</v>
      </c>
      <c r="I95" s="7">
        <v>3138.7370000000001</v>
      </c>
      <c r="J95" s="7">
        <v>3178.8580000000002</v>
      </c>
      <c r="K95" s="7">
        <v>2748.3560000000002</v>
      </c>
      <c r="L95" s="7">
        <v>2701.5329999999999</v>
      </c>
      <c r="M95" s="7">
        <v>2431.2869999999998</v>
      </c>
      <c r="N95" s="7">
        <v>2835.9470000000001</v>
      </c>
      <c r="O95" s="7">
        <v>3074.933</v>
      </c>
      <c r="P95" s="7">
        <v>2990.569</v>
      </c>
      <c r="R95" s="5">
        <f t="shared" si="4"/>
        <v>2841.8656666666666</v>
      </c>
      <c r="S95" s="5">
        <f t="shared" si="5"/>
        <v>69.152223685119679</v>
      </c>
      <c r="U95" s="7">
        <v>106.25</v>
      </c>
      <c r="V95" s="7">
        <v>2960.7649999999999</v>
      </c>
      <c r="W95" s="7">
        <v>2554.8960000000002</v>
      </c>
      <c r="X95" s="7">
        <v>2926.1550000000002</v>
      </c>
      <c r="Y95" s="7">
        <v>2734.3380000000002</v>
      </c>
      <c r="Z95" s="7">
        <v>2930.6570000000002</v>
      </c>
      <c r="AA95" s="7">
        <v>2865.1909999999998</v>
      </c>
      <c r="AB95" s="7">
        <v>2951.491</v>
      </c>
      <c r="AC95" s="7">
        <v>2406.3890000000001</v>
      </c>
      <c r="AD95" s="7">
        <v>3190.87</v>
      </c>
      <c r="AE95" s="7">
        <v>3026.7840000000001</v>
      </c>
      <c r="AF95" s="7">
        <v>2964.3960000000002</v>
      </c>
      <c r="AG95" s="7">
        <v>2322.5360000000001</v>
      </c>
      <c r="AH95" s="7">
        <v>2827.5909999999999</v>
      </c>
      <c r="AI95" s="7">
        <v>3072.5259999999998</v>
      </c>
      <c r="AJ95" s="7">
        <v>2862.6909999999998</v>
      </c>
      <c r="AL95" s="6">
        <f t="shared" si="6"/>
        <v>2834.2228749999995</v>
      </c>
      <c r="AM95" s="6">
        <f t="shared" si="7"/>
        <v>110.4964510613754</v>
      </c>
    </row>
    <row r="96" spans="1:39" x14ac:dyDescent="0.2">
      <c r="A96" s="7">
        <v>107.5</v>
      </c>
      <c r="B96" s="7">
        <v>2381.326</v>
      </c>
      <c r="C96" s="7">
        <v>2785.3290000000002</v>
      </c>
      <c r="D96" s="7">
        <v>2212.4560000000001</v>
      </c>
      <c r="E96" s="7">
        <v>2702.8969999999999</v>
      </c>
      <c r="F96" s="7">
        <v>2910.9929999999999</v>
      </c>
      <c r="G96" s="7">
        <v>2770.2379999999998</v>
      </c>
      <c r="H96" s="7">
        <v>2952.1419999999998</v>
      </c>
      <c r="I96" s="7">
        <v>3013.5749999999998</v>
      </c>
      <c r="J96" s="7">
        <v>3038.61</v>
      </c>
      <c r="K96" s="7">
        <v>2637.8609999999999</v>
      </c>
      <c r="L96" s="7">
        <v>2603.982</v>
      </c>
      <c r="M96" s="7">
        <v>2340.527</v>
      </c>
      <c r="N96" s="7">
        <v>2698.723</v>
      </c>
      <c r="O96" s="7">
        <v>2940.8789999999999</v>
      </c>
      <c r="P96" s="7">
        <v>2842.3220000000001</v>
      </c>
      <c r="R96" s="5">
        <f t="shared" si="4"/>
        <v>2722.1240000000003</v>
      </c>
      <c r="S96" s="5">
        <f t="shared" si="5"/>
        <v>64.946647643680421</v>
      </c>
      <c r="U96" s="7">
        <v>107.5</v>
      </c>
      <c r="V96" s="7">
        <v>2863.915</v>
      </c>
      <c r="W96" s="7">
        <v>2463.163</v>
      </c>
      <c r="X96" s="7">
        <v>2827.4850000000001</v>
      </c>
      <c r="Y96" s="7">
        <v>2630.8119999999999</v>
      </c>
      <c r="Z96" s="7">
        <v>2813.279</v>
      </c>
      <c r="AA96" s="7">
        <v>2740.614</v>
      </c>
      <c r="AB96" s="7">
        <v>2816.4589999999998</v>
      </c>
      <c r="AC96" s="7">
        <v>2307.8000000000002</v>
      </c>
      <c r="AD96" s="7">
        <v>3051.7570000000001</v>
      </c>
      <c r="AE96" s="7">
        <v>2915.4630000000002</v>
      </c>
      <c r="AF96" s="7">
        <v>2823.3119999999999</v>
      </c>
      <c r="AG96" s="7">
        <v>2227.3119999999999</v>
      </c>
      <c r="AH96" s="7">
        <v>2723.8440000000001</v>
      </c>
      <c r="AI96" s="7">
        <v>2943.4490000000001</v>
      </c>
      <c r="AJ96" s="7">
        <v>2724.82</v>
      </c>
      <c r="AL96" s="6">
        <f t="shared" si="6"/>
        <v>2714.7196250000002</v>
      </c>
      <c r="AM96" s="6">
        <f t="shared" si="7"/>
        <v>105.33421059061357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BRIGHT!OCT_RAW___\YA06\_dark_profiles_YA06_DARK</vt:lpstr>
      <vt:lpstr>DIM!OCT_RAW___\YA06\_dark_profiles_YA06_DARK_dim</vt:lpstr>
      <vt:lpstr>BRIGHT!OCT_RAW___\YA06\_light_profiles_YA06_LIGHT</vt:lpstr>
      <vt:lpstr>DIM!OCT_RAW___\YA06\_light_profiles_YA06_LIGHT_dim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2019-11-16T23:43:25Z</dcterms:modified>
</cp:coreProperties>
</file>