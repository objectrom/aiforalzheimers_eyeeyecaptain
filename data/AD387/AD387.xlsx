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E:\[Documents]\[[[OCT RAW FOR DRYAD]]]\AD387\"/>
    </mc:Choice>
  </mc:AlternateContent>
  <xr:revisionPtr revIDLastSave="0" documentId="13_ncr:1_{809FD4D9-E1E0-425E-A89F-C5E87D7CAC4B}" xr6:coauthVersionLast="45" xr6:coauthVersionMax="45" xr10:uidLastSave="{00000000-0000-0000-0000-000000000000}"/>
  <bookViews>
    <workbookView xWindow="990" yWindow="1065" windowWidth="24810" windowHeight="15810" xr2:uid="{00000000-000D-0000-FFFF-FFFF00000000}"/>
  </bookViews>
  <sheets>
    <sheet name="BRIGHT" sheetId="1" r:id="rId1"/>
  </sheets>
  <definedNames>
    <definedName name="OCT_RAW___\AD13__to_do\_dark_profiles_AD13_DARK" localSheetId="0">BRIGHT!$A$2:$F$96</definedName>
    <definedName name="OCT_RAW___\AD13__to_do\_fovea_dark_profiles_AD13_DARK" localSheetId="0">BRIGHT!#REF!</definedName>
    <definedName name="OCT_RAW___\AD13__to_do\_fovea_light_profiles_AD13_LIGHT" localSheetId="0">BRIGHT!#REF!</definedName>
    <definedName name="OCT_RAW___\AD13__to_do\_light_profiles_AD13_LIGHT" localSheetId="0">BRIGHT!$K$2:$P$96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96" i="1" l="1"/>
  <c r="R96" i="1"/>
  <c r="S95" i="1"/>
  <c r="R95" i="1"/>
  <c r="S94" i="1"/>
  <c r="R94" i="1"/>
  <c r="S93" i="1"/>
  <c r="R93" i="1"/>
  <c r="S92" i="1"/>
  <c r="R92" i="1"/>
  <c r="S91" i="1"/>
  <c r="R91" i="1"/>
  <c r="S90" i="1"/>
  <c r="R90" i="1"/>
  <c r="S89" i="1"/>
  <c r="R89" i="1"/>
  <c r="S88" i="1"/>
  <c r="R88" i="1"/>
  <c r="S87" i="1"/>
  <c r="R87" i="1"/>
  <c r="S86" i="1"/>
  <c r="R86" i="1"/>
  <c r="S85" i="1"/>
  <c r="R85" i="1"/>
  <c r="S84" i="1"/>
  <c r="R84" i="1"/>
  <c r="S83" i="1"/>
  <c r="R83" i="1"/>
  <c r="S82" i="1"/>
  <c r="R82" i="1"/>
  <c r="S81" i="1"/>
  <c r="R81" i="1"/>
  <c r="S80" i="1"/>
  <c r="R80" i="1"/>
  <c r="S79" i="1"/>
  <c r="R79" i="1"/>
  <c r="S78" i="1"/>
  <c r="R78" i="1"/>
  <c r="S77" i="1"/>
  <c r="R77" i="1"/>
  <c r="S76" i="1"/>
  <c r="R76" i="1"/>
  <c r="S75" i="1"/>
  <c r="R75" i="1"/>
  <c r="S74" i="1"/>
  <c r="R74" i="1"/>
  <c r="S73" i="1"/>
  <c r="R73" i="1"/>
  <c r="S72" i="1"/>
  <c r="R72" i="1"/>
  <c r="S71" i="1"/>
  <c r="R71" i="1"/>
  <c r="S70" i="1"/>
  <c r="R70" i="1"/>
  <c r="S69" i="1"/>
  <c r="R69" i="1"/>
  <c r="S68" i="1"/>
  <c r="R68" i="1"/>
  <c r="S67" i="1"/>
  <c r="R67" i="1"/>
  <c r="S66" i="1"/>
  <c r="R66" i="1"/>
  <c r="S65" i="1"/>
  <c r="R65" i="1"/>
  <c r="S64" i="1"/>
  <c r="R64" i="1"/>
  <c r="S63" i="1"/>
  <c r="R63" i="1"/>
  <c r="S62" i="1"/>
  <c r="R62" i="1"/>
  <c r="S61" i="1"/>
  <c r="R61" i="1"/>
  <c r="S60" i="1"/>
  <c r="R60" i="1"/>
  <c r="S59" i="1"/>
  <c r="R59" i="1"/>
  <c r="S58" i="1"/>
  <c r="R58" i="1"/>
  <c r="S57" i="1"/>
  <c r="R57" i="1"/>
  <c r="S56" i="1"/>
  <c r="R56" i="1"/>
  <c r="S55" i="1"/>
  <c r="R55" i="1"/>
  <c r="S54" i="1"/>
  <c r="R54" i="1"/>
  <c r="S53" i="1"/>
  <c r="R53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5" i="1"/>
  <c r="R45" i="1"/>
  <c r="S44" i="1"/>
  <c r="R44" i="1"/>
  <c r="S43" i="1"/>
  <c r="R43" i="1"/>
  <c r="S42" i="1"/>
  <c r="R42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S10" i="1"/>
  <c r="R10" i="1"/>
  <c r="S9" i="1"/>
  <c r="R9" i="1"/>
  <c r="S8" i="1"/>
  <c r="R8" i="1"/>
  <c r="S7" i="1"/>
  <c r="R7" i="1"/>
  <c r="S6" i="1"/>
  <c r="R6" i="1"/>
  <c r="S5" i="1"/>
  <c r="R5" i="1"/>
  <c r="S4" i="1"/>
  <c r="R4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BCCB42-AC35-4DD0-BBFF-6CF687E52EF5}" name="[[[OCT RAW]]]\AD13--to-do\_dark_profiles_AD13_DARK" type="6" refreshedVersion="6" background="1" saveData="1">
    <textPr codePage="437" sourceFile="E:\[Documents]\[[[OCT RAW]]]\AD13--to-do\_dark_profiles_AD13_DARK.txt" space="1" consecutive="1">
      <textFields count="6">
        <textField/>
        <textField/>
        <textField/>
        <textField/>
        <textField/>
        <textField/>
      </textFields>
    </textPr>
  </connection>
  <connection id="2" xr16:uid="{7C401167-3CF3-44C7-82EA-B29FC1DC8517}" name="[[[OCT RAW]]]\AD13--to-do\_light_profiles_AD13_LIGHT" type="6" refreshedVersion="6" background="1" saveData="1">
    <textPr codePage="437" sourceFile="E:\[Documents]\[[[OCT RAW]]]\AD13--to-do\_light_profiles_AD13_LIGHT.txt" space="1" consecutive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<sst xmlns="http://schemas.openxmlformats.org/spreadsheetml/2006/main" count="12" uniqueCount="8">
  <si>
    <t>angle</t>
  </si>
  <si>
    <t>whole</t>
  </si>
  <si>
    <t>RPEtoOLM</t>
  </si>
  <si>
    <t>RNFL</t>
  </si>
  <si>
    <t>DARK 500 microns to 2750 microns</t>
  </si>
  <si>
    <t>LIGHT 500 microns to 2750 microns</t>
  </si>
  <si>
    <t>AD387_DARK</t>
  </si>
  <si>
    <t>AD387_LIGHT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</si>
</sst>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BRIGHT!$A$7:$A$96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BRIGHT!$H$7:$H$96</c:f>
              <c:numCache>
                <c:formatCode>General</c:formatCode>
                <c:ptCount val="90"/>
                <c:pt idx="0">
                  <c:v>631.23879999999997</c:v>
                </c:pt>
                <c:pt idx="1">
                  <c:v>930.31840000000011</c:v>
                </c:pt>
                <c:pt idx="2">
                  <c:v>1559.1555999999998</c:v>
                </c:pt>
                <c:pt idx="3">
                  <c:v>2321.3253999999997</c:v>
                </c:pt>
                <c:pt idx="4">
                  <c:v>3105.3620000000001</c:v>
                </c:pt>
                <c:pt idx="5">
                  <c:v>3619.3544000000002</c:v>
                </c:pt>
                <c:pt idx="6">
                  <c:v>3870.7343999999998</c:v>
                </c:pt>
                <c:pt idx="7">
                  <c:v>3994.3976000000002</c:v>
                </c:pt>
                <c:pt idx="8">
                  <c:v>3995.2148000000002</c:v>
                </c:pt>
                <c:pt idx="9">
                  <c:v>3910.0086000000001</c:v>
                </c:pt>
                <c:pt idx="10">
                  <c:v>3664.1210000000001</c:v>
                </c:pt>
                <c:pt idx="11">
                  <c:v>3243.8317999999999</c:v>
                </c:pt>
                <c:pt idx="12">
                  <c:v>2944.3114</c:v>
                </c:pt>
                <c:pt idx="13">
                  <c:v>2775.1215999999999</c:v>
                </c:pt>
                <c:pt idx="14">
                  <c:v>2710.6518000000001</c:v>
                </c:pt>
                <c:pt idx="15">
                  <c:v>2688.4661999999998</c:v>
                </c:pt>
                <c:pt idx="16">
                  <c:v>2675.6927999999998</c:v>
                </c:pt>
                <c:pt idx="17">
                  <c:v>2674.3234000000002</c:v>
                </c:pt>
                <c:pt idx="18">
                  <c:v>2677.3031999999998</c:v>
                </c:pt>
                <c:pt idx="19">
                  <c:v>2675.3940000000002</c:v>
                </c:pt>
                <c:pt idx="20">
                  <c:v>2681.7436000000002</c:v>
                </c:pt>
                <c:pt idx="21">
                  <c:v>2686.0476000000003</c:v>
                </c:pt>
                <c:pt idx="22">
                  <c:v>2685.5117999999993</c:v>
                </c:pt>
                <c:pt idx="23">
                  <c:v>2701.3726000000001</c:v>
                </c:pt>
                <c:pt idx="24">
                  <c:v>2717.3818000000001</c:v>
                </c:pt>
                <c:pt idx="25">
                  <c:v>2720.3845999999999</c:v>
                </c:pt>
                <c:pt idx="26">
                  <c:v>2728.5935999999997</c:v>
                </c:pt>
                <c:pt idx="27">
                  <c:v>2747.2996000000003</c:v>
                </c:pt>
                <c:pt idx="28">
                  <c:v>2753.9838000000004</c:v>
                </c:pt>
                <c:pt idx="29">
                  <c:v>2756.9715999999999</c:v>
                </c:pt>
                <c:pt idx="30">
                  <c:v>2755.1055999999999</c:v>
                </c:pt>
                <c:pt idx="31">
                  <c:v>2721.0874000000003</c:v>
                </c:pt>
                <c:pt idx="32">
                  <c:v>2607.8861999999999</c:v>
                </c:pt>
                <c:pt idx="33">
                  <c:v>2422.5574000000001</c:v>
                </c:pt>
                <c:pt idx="34">
                  <c:v>2230.0869999999995</c:v>
                </c:pt>
                <c:pt idx="35">
                  <c:v>2114.1106</c:v>
                </c:pt>
                <c:pt idx="36">
                  <c:v>2065.1578</c:v>
                </c:pt>
                <c:pt idx="37">
                  <c:v>2061.3188</c:v>
                </c:pt>
                <c:pt idx="38">
                  <c:v>2072.7234000000003</c:v>
                </c:pt>
                <c:pt idx="39">
                  <c:v>2091.1636000000003</c:v>
                </c:pt>
                <c:pt idx="40">
                  <c:v>2120.9451999999997</c:v>
                </c:pt>
                <c:pt idx="41">
                  <c:v>2187.6086</c:v>
                </c:pt>
                <c:pt idx="42">
                  <c:v>2288.7186000000002</c:v>
                </c:pt>
                <c:pt idx="43">
                  <c:v>2388.1214</c:v>
                </c:pt>
                <c:pt idx="44">
                  <c:v>2462.2431999999999</c:v>
                </c:pt>
                <c:pt idx="45">
                  <c:v>2488.4811999999997</c:v>
                </c:pt>
                <c:pt idx="46">
                  <c:v>2478.6118000000001</c:v>
                </c:pt>
                <c:pt idx="47">
                  <c:v>2446.6361999999999</c:v>
                </c:pt>
                <c:pt idx="48">
                  <c:v>2352.4196000000002</c:v>
                </c:pt>
                <c:pt idx="49">
                  <c:v>2195.2916</c:v>
                </c:pt>
                <c:pt idx="50">
                  <c:v>2067.6342</c:v>
                </c:pt>
                <c:pt idx="51">
                  <c:v>1977.1916000000001</c:v>
                </c:pt>
                <c:pt idx="52">
                  <c:v>1904.61</c:v>
                </c:pt>
                <c:pt idx="53">
                  <c:v>1846.9177999999999</c:v>
                </c:pt>
                <c:pt idx="54">
                  <c:v>1799.8149999999998</c:v>
                </c:pt>
                <c:pt idx="55">
                  <c:v>1757.9322</c:v>
                </c:pt>
                <c:pt idx="56">
                  <c:v>1718.7328000000002</c:v>
                </c:pt>
                <c:pt idx="57">
                  <c:v>1683.7729999999999</c:v>
                </c:pt>
                <c:pt idx="58">
                  <c:v>1645.6576</c:v>
                </c:pt>
                <c:pt idx="59">
                  <c:v>1613.0009999999997</c:v>
                </c:pt>
                <c:pt idx="60">
                  <c:v>1591.3368</c:v>
                </c:pt>
                <c:pt idx="61">
                  <c:v>1585.1134</c:v>
                </c:pt>
                <c:pt idx="62">
                  <c:v>1601.8475999999998</c:v>
                </c:pt>
                <c:pt idx="63">
                  <c:v>1690.3226000000002</c:v>
                </c:pt>
                <c:pt idx="64">
                  <c:v>1846.8924</c:v>
                </c:pt>
                <c:pt idx="65">
                  <c:v>1934.3022000000001</c:v>
                </c:pt>
                <c:pt idx="66">
                  <c:v>1887.8637999999999</c:v>
                </c:pt>
                <c:pt idx="67">
                  <c:v>1782.9169999999999</c:v>
                </c:pt>
                <c:pt idx="68">
                  <c:v>1810.5043999999998</c:v>
                </c:pt>
                <c:pt idx="69">
                  <c:v>2145.4525999999996</c:v>
                </c:pt>
                <c:pt idx="70">
                  <c:v>2657.4816000000001</c:v>
                </c:pt>
                <c:pt idx="71">
                  <c:v>2975.0164</c:v>
                </c:pt>
                <c:pt idx="72">
                  <c:v>2915.6600000000003</c:v>
                </c:pt>
                <c:pt idx="73">
                  <c:v>2550.9551999999999</c:v>
                </c:pt>
                <c:pt idx="74">
                  <c:v>2221.2853999999998</c:v>
                </c:pt>
                <c:pt idx="75">
                  <c:v>2127.3257999999996</c:v>
                </c:pt>
                <c:pt idx="76">
                  <c:v>2197.5169999999998</c:v>
                </c:pt>
                <c:pt idx="77">
                  <c:v>2364.3789999999999</c:v>
                </c:pt>
                <c:pt idx="78">
                  <c:v>2699.8616000000002</c:v>
                </c:pt>
                <c:pt idx="79">
                  <c:v>3206.0855999999994</c:v>
                </c:pt>
                <c:pt idx="80">
                  <c:v>3677.2885999999999</c:v>
                </c:pt>
                <c:pt idx="81">
                  <c:v>4115.79</c:v>
                </c:pt>
                <c:pt idx="82">
                  <c:v>4445.4639999999999</c:v>
                </c:pt>
                <c:pt idx="83">
                  <c:v>4573.1772000000001</c:v>
                </c:pt>
                <c:pt idx="84">
                  <c:v>4396.8298000000004</c:v>
                </c:pt>
                <c:pt idx="85">
                  <c:v>4000.4622000000004</c:v>
                </c:pt>
                <c:pt idx="86">
                  <c:v>3528.2986000000005</c:v>
                </c:pt>
                <c:pt idx="87">
                  <c:v>3147.2681999999995</c:v>
                </c:pt>
                <c:pt idx="88">
                  <c:v>2894.0619999999999</c:v>
                </c:pt>
                <c:pt idx="89">
                  <c:v>2689.9868000000001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89-4A11-B2E6-49DFA13FA92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BRIGHT!$A$7:$A$96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BRIGHT!$R$7:$R$96</c:f>
              <c:numCache>
                <c:formatCode>General</c:formatCode>
                <c:ptCount val="90"/>
                <c:pt idx="0">
                  <c:v>673.38879999999995</c:v>
                </c:pt>
                <c:pt idx="1">
                  <c:v>973.90500000000009</c:v>
                </c:pt>
                <c:pt idx="2">
                  <c:v>1662.1146000000001</c:v>
                </c:pt>
                <c:pt idx="3">
                  <c:v>2503.5792000000001</c:v>
                </c:pt>
                <c:pt idx="4">
                  <c:v>3359.7284</c:v>
                </c:pt>
                <c:pt idx="5">
                  <c:v>3913.0487999999996</c:v>
                </c:pt>
                <c:pt idx="6">
                  <c:v>4188.4182000000001</c:v>
                </c:pt>
                <c:pt idx="7">
                  <c:v>4299.3887999999997</c:v>
                </c:pt>
                <c:pt idx="8">
                  <c:v>4309.1135999999997</c:v>
                </c:pt>
                <c:pt idx="9">
                  <c:v>4211.7266</c:v>
                </c:pt>
                <c:pt idx="10">
                  <c:v>3962.0245999999997</c:v>
                </c:pt>
                <c:pt idx="11">
                  <c:v>3481.1519999999996</c:v>
                </c:pt>
                <c:pt idx="12">
                  <c:v>3145.7310000000002</c:v>
                </c:pt>
                <c:pt idx="13">
                  <c:v>2949.3836000000001</c:v>
                </c:pt>
                <c:pt idx="14">
                  <c:v>2884.3051999999998</c:v>
                </c:pt>
                <c:pt idx="15">
                  <c:v>2859.9067999999997</c:v>
                </c:pt>
                <c:pt idx="16">
                  <c:v>2848.7445999999995</c:v>
                </c:pt>
                <c:pt idx="17">
                  <c:v>2848.8516000000004</c:v>
                </c:pt>
                <c:pt idx="18">
                  <c:v>2857.9016000000001</c:v>
                </c:pt>
                <c:pt idx="19">
                  <c:v>2867.8661999999999</c:v>
                </c:pt>
                <c:pt idx="20">
                  <c:v>2875.4719999999998</c:v>
                </c:pt>
                <c:pt idx="21">
                  <c:v>2883.9723999999997</c:v>
                </c:pt>
                <c:pt idx="22">
                  <c:v>2884.6958</c:v>
                </c:pt>
                <c:pt idx="23">
                  <c:v>2897.8081999999999</c:v>
                </c:pt>
                <c:pt idx="24">
                  <c:v>2917.9903999999997</c:v>
                </c:pt>
                <c:pt idx="25">
                  <c:v>2928.1745999999998</c:v>
                </c:pt>
                <c:pt idx="26">
                  <c:v>2942.7988</c:v>
                </c:pt>
                <c:pt idx="27">
                  <c:v>2969.3890000000001</c:v>
                </c:pt>
                <c:pt idx="28">
                  <c:v>2992.9772000000003</c:v>
                </c:pt>
                <c:pt idx="29">
                  <c:v>3004.7182000000003</c:v>
                </c:pt>
                <c:pt idx="30">
                  <c:v>3000.9913999999999</c:v>
                </c:pt>
                <c:pt idx="31">
                  <c:v>2957.2332000000001</c:v>
                </c:pt>
                <c:pt idx="32">
                  <c:v>2825.8462</c:v>
                </c:pt>
                <c:pt idx="33">
                  <c:v>2626.5284000000001</c:v>
                </c:pt>
                <c:pt idx="34">
                  <c:v>2416.4248000000002</c:v>
                </c:pt>
                <c:pt idx="35">
                  <c:v>2295.1549999999997</c:v>
                </c:pt>
                <c:pt idx="36">
                  <c:v>2245.2251999999999</c:v>
                </c:pt>
                <c:pt idx="37">
                  <c:v>2236.7961999999998</c:v>
                </c:pt>
                <c:pt idx="38">
                  <c:v>2242.9641999999999</c:v>
                </c:pt>
                <c:pt idx="39">
                  <c:v>2258.4436000000001</c:v>
                </c:pt>
                <c:pt idx="40">
                  <c:v>2295.623</c:v>
                </c:pt>
                <c:pt idx="41">
                  <c:v>2374.9648000000002</c:v>
                </c:pt>
                <c:pt idx="42">
                  <c:v>2480.2146000000002</c:v>
                </c:pt>
                <c:pt idx="43">
                  <c:v>2581.1116000000002</c:v>
                </c:pt>
                <c:pt idx="44">
                  <c:v>2649.6855999999998</c:v>
                </c:pt>
                <c:pt idx="45">
                  <c:v>2670.2138</c:v>
                </c:pt>
                <c:pt idx="46">
                  <c:v>2658.0897999999997</c:v>
                </c:pt>
                <c:pt idx="47">
                  <c:v>2608.0093999999999</c:v>
                </c:pt>
                <c:pt idx="48">
                  <c:v>2491.0428000000002</c:v>
                </c:pt>
                <c:pt idx="49">
                  <c:v>2325.4309999999996</c:v>
                </c:pt>
                <c:pt idx="50">
                  <c:v>2184.2026000000001</c:v>
                </c:pt>
                <c:pt idx="51">
                  <c:v>2074.5866000000001</c:v>
                </c:pt>
                <c:pt idx="52">
                  <c:v>1997.8669999999997</c:v>
                </c:pt>
                <c:pt idx="53">
                  <c:v>1938.1654000000003</c:v>
                </c:pt>
                <c:pt idx="54">
                  <c:v>1896.7240000000002</c:v>
                </c:pt>
                <c:pt idx="55">
                  <c:v>1864.1096000000002</c:v>
                </c:pt>
                <c:pt idx="56">
                  <c:v>1836.2741999999998</c:v>
                </c:pt>
                <c:pt idx="57">
                  <c:v>1817.6514</c:v>
                </c:pt>
                <c:pt idx="58">
                  <c:v>1790.5644</c:v>
                </c:pt>
                <c:pt idx="59">
                  <c:v>1754.6732</c:v>
                </c:pt>
                <c:pt idx="60">
                  <c:v>1734.3117999999999</c:v>
                </c:pt>
                <c:pt idx="61">
                  <c:v>1722.6763999999998</c:v>
                </c:pt>
                <c:pt idx="62">
                  <c:v>1736.7220000000002</c:v>
                </c:pt>
                <c:pt idx="63">
                  <c:v>1836.2090000000001</c:v>
                </c:pt>
                <c:pt idx="64">
                  <c:v>2021.0034000000001</c:v>
                </c:pt>
                <c:pt idx="65">
                  <c:v>2122.9632000000001</c:v>
                </c:pt>
                <c:pt idx="66">
                  <c:v>2073.4818</c:v>
                </c:pt>
                <c:pt idx="67">
                  <c:v>1963.7114000000001</c:v>
                </c:pt>
                <c:pt idx="68">
                  <c:v>2032.8022000000001</c:v>
                </c:pt>
                <c:pt idx="69">
                  <c:v>2509.1738</c:v>
                </c:pt>
                <c:pt idx="70">
                  <c:v>3177.0950000000003</c:v>
                </c:pt>
                <c:pt idx="71">
                  <c:v>3612.0455999999999</c:v>
                </c:pt>
                <c:pt idx="72">
                  <c:v>3538.4508000000001</c:v>
                </c:pt>
                <c:pt idx="73">
                  <c:v>3051.9571999999998</c:v>
                </c:pt>
                <c:pt idx="74">
                  <c:v>2589.0965999999999</c:v>
                </c:pt>
                <c:pt idx="75">
                  <c:v>2458.5478000000003</c:v>
                </c:pt>
                <c:pt idx="76">
                  <c:v>2541.1912000000002</c:v>
                </c:pt>
                <c:pt idx="77">
                  <c:v>2693.4787999999999</c:v>
                </c:pt>
                <c:pt idx="78">
                  <c:v>3027.0793999999996</c:v>
                </c:pt>
                <c:pt idx="79">
                  <c:v>3546.3154000000004</c:v>
                </c:pt>
                <c:pt idx="80">
                  <c:v>4036.5998</c:v>
                </c:pt>
                <c:pt idx="81">
                  <c:v>4453.3793999999998</c:v>
                </c:pt>
                <c:pt idx="82">
                  <c:v>4841.6386000000002</c:v>
                </c:pt>
                <c:pt idx="83">
                  <c:v>5016.9454000000005</c:v>
                </c:pt>
                <c:pt idx="84">
                  <c:v>4826.0834000000004</c:v>
                </c:pt>
                <c:pt idx="85">
                  <c:v>4360.9054000000006</c:v>
                </c:pt>
                <c:pt idx="86">
                  <c:v>3789.3949999999995</c:v>
                </c:pt>
                <c:pt idx="87">
                  <c:v>3298.2968000000001</c:v>
                </c:pt>
                <c:pt idx="88">
                  <c:v>2997.6089999999995</c:v>
                </c:pt>
                <c:pt idx="89">
                  <c:v>2785.8396000000002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89-4A11-B2E6-49DFA13FA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040936"/>
        <c:axId val="457125736"/>
      </c:scatterChart>
      <c:valAx>
        <c:axId val="560040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125736"/>
        <c:crosses val="autoZero"/>
        <c:crossBetween val="midCat"/>
      </c:valAx>
      <c:valAx>
        <c:axId val="457125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040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519112</xdr:colOff>
      <xdr:row>7</xdr:row>
      <xdr:rowOff>4762</xdr:rowOff>
    </xdr:from>
    <xdr:to>
      <xdr:col>13</xdr:col>
      <xdr:colOff>342900</xdr:colOff>
      <xdr:row>32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F95396-3466-4F51-B312-22BD193941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AD13--to-do\_light_profiles_AD13_LIGHT" connectionId="2" xr16:uid="{4BB72715-2C84-462B-AC8C-8DAF58295B7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AD13--to-do\_dark_profiles_AD13_DARK" connectionId="1" xr16:uid="{98AC6627-8CE5-4342-86E0-5EFA5A79B98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"/>
  <sheetViews>
    <sheetView tabSelected="1" workbookViewId="0">
      <selection activeCell="K3" sqref="K3"/>
    </sheetView>
  </sheetViews>
  <sheetFormatPr defaultRowHeight="15" x14ac:dyDescent="0.25"/>
  <cols>
    <col min="1" max="1" width="11.42578125" bestFit="1" customWidth="1"/>
    <col min="2" max="6" width="9" bestFit="1" customWidth="1"/>
    <col min="7" max="7" width="2.140625" style="1" customWidth="1"/>
    <col min="8" max="9" width="9.140625" style="2"/>
    <col min="10" max="10" width="2.85546875" style="1" customWidth="1"/>
    <col min="11" max="11" width="11.5703125" bestFit="1" customWidth="1"/>
    <col min="12" max="16" width="9" bestFit="1" customWidth="1"/>
    <col min="17" max="17" width="2.140625" style="1" customWidth="1"/>
    <col min="18" max="19" width="9.140625" style="3"/>
    <col min="20" max="20" width="2.85546875" style="1" customWidth="1"/>
  </cols>
  <sheetData>
    <row r="1" spans="1:19" x14ac:dyDescent="0.25">
      <c r="A1" s="4" t="s">
        <v>4</v>
      </c>
      <c r="B1" s="4"/>
      <c r="C1" s="4"/>
      <c r="D1" s="4"/>
      <c r="E1" s="4"/>
      <c r="F1" s="4"/>
      <c r="K1" s="5" t="s">
        <v>5</v>
      </c>
      <c r="L1" s="5"/>
      <c r="M1" s="5"/>
      <c r="N1" s="5"/>
      <c r="O1" s="5"/>
      <c r="P1" s="5"/>
    </row>
    <row r="2" spans="1:19" x14ac:dyDescent="0.25">
      <c r="A2" t="s">
        <v>6</v>
      </c>
      <c r="B2">
        <v>1</v>
      </c>
      <c r="C2">
        <v>2</v>
      </c>
      <c r="D2">
        <v>3</v>
      </c>
      <c r="E2">
        <v>4</v>
      </c>
      <c r="F2">
        <v>5</v>
      </c>
      <c r="K2" t="s">
        <v>7</v>
      </c>
      <c r="L2">
        <v>1</v>
      </c>
      <c r="M2">
        <v>2</v>
      </c>
      <c r="N2">
        <v>3</v>
      </c>
      <c r="O2">
        <v>4</v>
      </c>
      <c r="P2">
        <v>5</v>
      </c>
    </row>
    <row r="3" spans="1:19" x14ac:dyDescent="0.25">
      <c r="A3" t="s">
        <v>0</v>
      </c>
      <c r="B3">
        <v>-2.3220000000000001</v>
      </c>
      <c r="C3">
        <v>-2.1269999999999998</v>
      </c>
      <c r="D3">
        <v>-1.524</v>
      </c>
      <c r="E3">
        <v>-1.8540000000000001</v>
      </c>
      <c r="F3">
        <v>-0.53800000000000003</v>
      </c>
      <c r="K3" t="s">
        <v>0</v>
      </c>
      <c r="L3">
        <v>0.36199999999999999</v>
      </c>
      <c r="M3">
        <v>0.11899999999999999</v>
      </c>
      <c r="N3">
        <v>-0.39700000000000002</v>
      </c>
      <c r="O3">
        <v>0.11</v>
      </c>
      <c r="P3">
        <v>-0.67200000000000004</v>
      </c>
    </row>
    <row r="4" spans="1:19" x14ac:dyDescent="0.25">
      <c r="A4" t="s">
        <v>1</v>
      </c>
      <c r="B4">
        <v>303.67</v>
      </c>
      <c r="C4">
        <v>301.21300000000002</v>
      </c>
      <c r="D4">
        <v>299.745</v>
      </c>
      <c r="E4">
        <v>301.91000000000003</v>
      </c>
      <c r="F4">
        <v>300.863</v>
      </c>
      <c r="H4" s="2">
        <f>AVERAGE(B4:F4)</f>
        <v>301.48020000000002</v>
      </c>
      <c r="I4" s="2">
        <f>STDEV(B4:F4)/SQRT(COUNT(B4:F4))</f>
        <v>0.64973851663573334</v>
      </c>
      <c r="K4" t="s">
        <v>1</v>
      </c>
      <c r="L4">
        <v>299.72899999999998</v>
      </c>
      <c r="M4">
        <v>302.012</v>
      </c>
      <c r="N4">
        <v>300.65499999999997</v>
      </c>
      <c r="O4">
        <v>298.71899999999999</v>
      </c>
      <c r="P4">
        <v>300.86900000000003</v>
      </c>
      <c r="R4" s="3">
        <f>AVERAGE(L4:P4)</f>
        <v>300.39679999999998</v>
      </c>
      <c r="S4" s="3">
        <f>STDEV(L4:P4)/SQRT(COUNT(L4:P4))</f>
        <v>0.55495408819108871</v>
      </c>
    </row>
    <row r="5" spans="1:19" x14ac:dyDescent="0.25">
      <c r="A5" t="s">
        <v>2</v>
      </c>
      <c r="B5">
        <v>67.823999999999998</v>
      </c>
      <c r="C5">
        <v>67.320999999999998</v>
      </c>
      <c r="D5">
        <v>66.971000000000004</v>
      </c>
      <c r="E5">
        <v>67.698999999999998</v>
      </c>
      <c r="F5">
        <v>67.272000000000006</v>
      </c>
      <c r="H5" s="2">
        <f t="shared" ref="H5:H68" si="0">AVERAGE(B5:F5)</f>
        <v>67.417400000000001</v>
      </c>
      <c r="I5" s="2">
        <f t="shared" ref="I5:I68" si="1">STDEV(B5:F5)/SQRT(COUNT(B5:F5))</f>
        <v>0.15400149349925032</v>
      </c>
      <c r="K5" t="s">
        <v>2</v>
      </c>
      <c r="L5">
        <v>67.308999999999997</v>
      </c>
      <c r="M5">
        <v>67.548000000000002</v>
      </c>
      <c r="N5">
        <v>67.489999999999995</v>
      </c>
      <c r="O5">
        <v>67.977000000000004</v>
      </c>
      <c r="P5">
        <v>67.927999999999997</v>
      </c>
      <c r="R5" s="3">
        <f t="shared" ref="R5:R68" si="2">AVERAGE(L5:P5)</f>
        <v>67.650399999999991</v>
      </c>
      <c r="S5" s="3">
        <f t="shared" ref="S5:S68" si="3">STDEV(L5:P5)/SQRT(COUNT(L5:P5))</f>
        <v>0.12971067804926548</v>
      </c>
    </row>
    <row r="6" spans="1:19" x14ac:dyDescent="0.25">
      <c r="A6" t="s">
        <v>3</v>
      </c>
      <c r="B6">
        <v>34.953000000000003</v>
      </c>
      <c r="C6">
        <v>34.723999999999997</v>
      </c>
      <c r="D6">
        <v>35.158999999999999</v>
      </c>
      <c r="E6">
        <v>34.718000000000004</v>
      </c>
      <c r="F6">
        <v>35.44</v>
      </c>
      <c r="H6" s="2">
        <f t="shared" si="0"/>
        <v>34.998799999999996</v>
      </c>
      <c r="I6" s="2">
        <f t="shared" si="1"/>
        <v>0.13725574669207793</v>
      </c>
      <c r="K6" t="s">
        <v>3</v>
      </c>
      <c r="L6">
        <v>35.076999999999998</v>
      </c>
      <c r="M6">
        <v>35.305</v>
      </c>
      <c r="N6">
        <v>34.686999999999998</v>
      </c>
      <c r="O6">
        <v>34.731999999999999</v>
      </c>
      <c r="P6">
        <v>34.697000000000003</v>
      </c>
      <c r="R6" s="3">
        <f t="shared" si="2"/>
        <v>34.8996</v>
      </c>
      <c r="S6" s="3">
        <f t="shared" si="3"/>
        <v>0.12453015699018434</v>
      </c>
    </row>
    <row r="7" spans="1:19" x14ac:dyDescent="0.25">
      <c r="A7">
        <v>-3.75</v>
      </c>
      <c r="B7">
        <v>669.56799999999998</v>
      </c>
      <c r="C7">
        <v>684.06799999999998</v>
      </c>
      <c r="D7">
        <v>620.33699999999999</v>
      </c>
      <c r="E7">
        <v>550.58900000000006</v>
      </c>
      <c r="F7">
        <v>631.63199999999995</v>
      </c>
      <c r="H7" s="2">
        <f t="shared" si="0"/>
        <v>631.23879999999997</v>
      </c>
      <c r="I7" s="2">
        <f t="shared" si="1"/>
        <v>23.327500975029437</v>
      </c>
      <c r="K7">
        <v>-3.75</v>
      </c>
      <c r="L7">
        <v>573.85699999999997</v>
      </c>
      <c r="M7">
        <v>649.90499999999997</v>
      </c>
      <c r="N7">
        <v>683.45500000000004</v>
      </c>
      <c r="O7">
        <v>866.74199999999996</v>
      </c>
      <c r="P7">
        <v>592.98500000000001</v>
      </c>
      <c r="R7" s="3">
        <f t="shared" si="2"/>
        <v>673.38879999999995</v>
      </c>
      <c r="S7" s="3">
        <f t="shared" si="3"/>
        <v>52.158233990808988</v>
      </c>
    </row>
    <row r="8" spans="1:19" x14ac:dyDescent="0.25">
      <c r="A8">
        <v>-2.5</v>
      </c>
      <c r="B8">
        <v>1140.7650000000001</v>
      </c>
      <c r="C8">
        <v>980.18299999999999</v>
      </c>
      <c r="D8">
        <v>904.35699999999997</v>
      </c>
      <c r="E8">
        <v>732.87199999999996</v>
      </c>
      <c r="F8">
        <v>893.41499999999996</v>
      </c>
      <c r="H8" s="2">
        <f t="shared" si="0"/>
        <v>930.31840000000011</v>
      </c>
      <c r="I8" s="2">
        <f t="shared" si="1"/>
        <v>66.255258613637167</v>
      </c>
      <c r="K8">
        <v>-2.5</v>
      </c>
      <c r="L8">
        <v>924.74400000000003</v>
      </c>
      <c r="M8">
        <v>909.62199999999996</v>
      </c>
      <c r="N8">
        <v>1037.991</v>
      </c>
      <c r="O8">
        <v>1093.162</v>
      </c>
      <c r="P8">
        <v>904.00599999999997</v>
      </c>
      <c r="R8" s="3">
        <f t="shared" si="2"/>
        <v>973.90500000000009</v>
      </c>
      <c r="S8" s="3">
        <f t="shared" si="3"/>
        <v>38.57734157248268</v>
      </c>
    </row>
    <row r="9" spans="1:19" x14ac:dyDescent="0.25">
      <c r="A9">
        <v>-1.25</v>
      </c>
      <c r="B9">
        <v>1813.27</v>
      </c>
      <c r="C9">
        <v>1661.3489999999999</v>
      </c>
      <c r="D9">
        <v>1472.3610000000001</v>
      </c>
      <c r="E9">
        <v>1301.499</v>
      </c>
      <c r="F9">
        <v>1547.299</v>
      </c>
      <c r="H9" s="2">
        <f t="shared" si="0"/>
        <v>1559.1555999999998</v>
      </c>
      <c r="I9" s="2">
        <f t="shared" si="1"/>
        <v>86.336094528071641</v>
      </c>
      <c r="K9">
        <v>-1.25</v>
      </c>
      <c r="L9">
        <v>1733.981</v>
      </c>
      <c r="M9">
        <v>1531.9760000000001</v>
      </c>
      <c r="N9">
        <v>1662.3910000000001</v>
      </c>
      <c r="O9">
        <v>1815.9880000000001</v>
      </c>
      <c r="P9">
        <v>1566.2370000000001</v>
      </c>
      <c r="R9" s="3">
        <f t="shared" si="2"/>
        <v>1662.1146000000001</v>
      </c>
      <c r="S9" s="3">
        <f t="shared" si="3"/>
        <v>52.426352374163876</v>
      </c>
    </row>
    <row r="10" spans="1:19" x14ac:dyDescent="0.25">
      <c r="A10">
        <v>0</v>
      </c>
      <c r="B10">
        <v>2643.5039999999999</v>
      </c>
      <c r="C10">
        <v>2488.413</v>
      </c>
      <c r="D10">
        <v>2216.9899999999998</v>
      </c>
      <c r="E10">
        <v>1946.66</v>
      </c>
      <c r="F10">
        <v>2311.06</v>
      </c>
      <c r="H10" s="2">
        <f t="shared" si="0"/>
        <v>2321.3253999999997</v>
      </c>
      <c r="I10" s="2">
        <f t="shared" si="1"/>
        <v>118.97115878632226</v>
      </c>
      <c r="K10">
        <v>0</v>
      </c>
      <c r="L10">
        <v>2655.2350000000001</v>
      </c>
      <c r="M10">
        <v>2305.3359999999998</v>
      </c>
      <c r="N10">
        <v>2489.873</v>
      </c>
      <c r="O10">
        <v>2722.1529999999998</v>
      </c>
      <c r="P10">
        <v>2345.299</v>
      </c>
      <c r="R10" s="3">
        <f t="shared" si="2"/>
        <v>2503.5792000000001</v>
      </c>
      <c r="S10" s="3">
        <f t="shared" si="3"/>
        <v>82.254129287471045</v>
      </c>
    </row>
    <row r="11" spans="1:19" x14ac:dyDescent="0.25">
      <c r="A11">
        <v>1.25</v>
      </c>
      <c r="B11">
        <v>3501.759</v>
      </c>
      <c r="C11">
        <v>3331.2080000000001</v>
      </c>
      <c r="D11">
        <v>2993.2109999999998</v>
      </c>
      <c r="E11">
        <v>2595.2579999999998</v>
      </c>
      <c r="F11">
        <v>3105.3739999999998</v>
      </c>
      <c r="H11" s="2">
        <f t="shared" si="0"/>
        <v>3105.3620000000001</v>
      </c>
      <c r="I11" s="2">
        <f t="shared" si="1"/>
        <v>155.06787789319878</v>
      </c>
      <c r="K11">
        <v>1.25</v>
      </c>
      <c r="L11">
        <v>3610.3519999999999</v>
      </c>
      <c r="M11">
        <v>3148.451</v>
      </c>
      <c r="N11">
        <v>3390.692</v>
      </c>
      <c r="O11">
        <v>3556.0949999999998</v>
      </c>
      <c r="P11">
        <v>3093.0520000000001</v>
      </c>
      <c r="R11" s="3">
        <f t="shared" si="2"/>
        <v>3359.7284</v>
      </c>
      <c r="S11" s="3">
        <f t="shared" si="3"/>
        <v>104.42346888156889</v>
      </c>
    </row>
    <row r="12" spans="1:19" x14ac:dyDescent="0.25">
      <c r="A12">
        <v>2.5</v>
      </c>
      <c r="B12">
        <v>4087.2240000000002</v>
      </c>
      <c r="C12">
        <v>3854.6489999999999</v>
      </c>
      <c r="D12">
        <v>3453.8249999999998</v>
      </c>
      <c r="E12">
        <v>3076.6610000000001</v>
      </c>
      <c r="F12">
        <v>3624.413</v>
      </c>
      <c r="H12" s="2">
        <f t="shared" si="0"/>
        <v>3619.3544000000002</v>
      </c>
      <c r="I12" s="2">
        <f t="shared" si="1"/>
        <v>172.6567707179768</v>
      </c>
      <c r="K12">
        <v>2.5</v>
      </c>
      <c r="L12">
        <v>4238.3710000000001</v>
      </c>
      <c r="M12">
        <v>3648.5390000000002</v>
      </c>
      <c r="N12">
        <v>3898.9450000000002</v>
      </c>
      <c r="O12">
        <v>4113.9669999999996</v>
      </c>
      <c r="P12">
        <v>3665.422</v>
      </c>
      <c r="R12" s="3">
        <f t="shared" si="2"/>
        <v>3913.0487999999996</v>
      </c>
      <c r="S12" s="3">
        <f t="shared" si="3"/>
        <v>117.83166816539595</v>
      </c>
    </row>
    <row r="13" spans="1:19" x14ac:dyDescent="0.25">
      <c r="A13">
        <v>3.75</v>
      </c>
      <c r="B13">
        <v>4405.4780000000001</v>
      </c>
      <c r="C13">
        <v>4118.5360000000001</v>
      </c>
      <c r="D13">
        <v>3705.7289999999998</v>
      </c>
      <c r="E13">
        <v>3263.652</v>
      </c>
      <c r="F13">
        <v>3860.277</v>
      </c>
      <c r="H13" s="2">
        <f t="shared" si="0"/>
        <v>3870.7343999999998</v>
      </c>
      <c r="I13" s="2">
        <f t="shared" si="1"/>
        <v>192.7746781007817</v>
      </c>
      <c r="K13">
        <v>3.75</v>
      </c>
      <c r="L13">
        <v>4508.8869999999997</v>
      </c>
      <c r="M13">
        <v>3902.4949999999999</v>
      </c>
      <c r="N13">
        <v>4219.8440000000001</v>
      </c>
      <c r="O13">
        <v>4391.9880000000003</v>
      </c>
      <c r="P13">
        <v>3918.877</v>
      </c>
      <c r="R13" s="3">
        <f t="shared" si="2"/>
        <v>4188.4182000000001</v>
      </c>
      <c r="S13" s="3">
        <f t="shared" si="3"/>
        <v>122.37913035865226</v>
      </c>
    </row>
    <row r="14" spans="1:19" x14ac:dyDescent="0.25">
      <c r="A14">
        <v>5</v>
      </c>
      <c r="B14">
        <v>4514.6180000000004</v>
      </c>
      <c r="C14">
        <v>4240.866</v>
      </c>
      <c r="D14">
        <v>3829.2550000000001</v>
      </c>
      <c r="E14">
        <v>3407.1860000000001</v>
      </c>
      <c r="F14">
        <v>3980.0630000000001</v>
      </c>
      <c r="H14" s="2">
        <f t="shared" si="0"/>
        <v>3994.3976000000002</v>
      </c>
      <c r="I14" s="2">
        <f t="shared" si="1"/>
        <v>187.57278041352379</v>
      </c>
      <c r="K14">
        <v>5</v>
      </c>
      <c r="L14">
        <v>4618.1419999999998</v>
      </c>
      <c r="M14">
        <v>4002.1289999999999</v>
      </c>
      <c r="N14">
        <v>4353.32</v>
      </c>
      <c r="O14">
        <v>4505.7349999999997</v>
      </c>
      <c r="P14">
        <v>4017.6179999999999</v>
      </c>
      <c r="R14" s="3">
        <f t="shared" si="2"/>
        <v>4299.3887999999997</v>
      </c>
      <c r="S14" s="3">
        <f t="shared" si="3"/>
        <v>125.46894108240488</v>
      </c>
    </row>
    <row r="15" spans="1:19" x14ac:dyDescent="0.25">
      <c r="A15">
        <v>6.25</v>
      </c>
      <c r="B15">
        <v>4519.3969999999999</v>
      </c>
      <c r="C15">
        <v>4240.3320000000003</v>
      </c>
      <c r="D15">
        <v>3854.2730000000001</v>
      </c>
      <c r="E15">
        <v>3375.4580000000001</v>
      </c>
      <c r="F15">
        <v>3986.614</v>
      </c>
      <c r="H15" s="2">
        <f t="shared" si="0"/>
        <v>3995.2148000000002</v>
      </c>
      <c r="I15" s="2">
        <f t="shared" si="1"/>
        <v>192.20906279710121</v>
      </c>
      <c r="K15">
        <v>6.25</v>
      </c>
      <c r="L15">
        <v>4639.7879999999996</v>
      </c>
      <c r="M15">
        <v>4017.0369999999998</v>
      </c>
      <c r="N15">
        <v>4365.42</v>
      </c>
      <c r="O15">
        <v>4495.1049999999996</v>
      </c>
      <c r="P15">
        <v>4028.2179999999998</v>
      </c>
      <c r="R15" s="3">
        <f t="shared" si="2"/>
        <v>4309.1135999999997</v>
      </c>
      <c r="S15" s="3">
        <f t="shared" si="3"/>
        <v>124.76374648454569</v>
      </c>
    </row>
    <row r="16" spans="1:19" x14ac:dyDescent="0.25">
      <c r="A16">
        <v>7.5</v>
      </c>
      <c r="B16">
        <v>4434.5469999999996</v>
      </c>
      <c r="C16">
        <v>4130.2430000000004</v>
      </c>
      <c r="D16">
        <v>3766.9670000000001</v>
      </c>
      <c r="E16">
        <v>3316.7429999999999</v>
      </c>
      <c r="F16">
        <v>3901.5430000000001</v>
      </c>
      <c r="H16" s="2">
        <f t="shared" si="0"/>
        <v>3910.0086000000001</v>
      </c>
      <c r="I16" s="2">
        <f t="shared" si="1"/>
        <v>186.56639057922513</v>
      </c>
      <c r="K16">
        <v>7.5</v>
      </c>
      <c r="L16">
        <v>4535.4260000000004</v>
      </c>
      <c r="M16">
        <v>3959.4589999999998</v>
      </c>
      <c r="N16">
        <v>4246.9970000000003</v>
      </c>
      <c r="O16">
        <v>4390.5720000000001</v>
      </c>
      <c r="P16">
        <v>3926.1790000000001</v>
      </c>
      <c r="R16" s="3">
        <f t="shared" si="2"/>
        <v>4211.7266</v>
      </c>
      <c r="S16" s="3">
        <f t="shared" si="3"/>
        <v>118.99314132612859</v>
      </c>
    </row>
    <row r="17" spans="1:19" x14ac:dyDescent="0.25">
      <c r="A17">
        <v>8.75</v>
      </c>
      <c r="B17">
        <v>4158.7749999999996</v>
      </c>
      <c r="C17">
        <v>3871.4639999999999</v>
      </c>
      <c r="D17">
        <v>3550.962</v>
      </c>
      <c r="E17">
        <v>3122.1559999999999</v>
      </c>
      <c r="F17">
        <v>3617.248</v>
      </c>
      <c r="H17" s="2">
        <f t="shared" si="0"/>
        <v>3664.1210000000001</v>
      </c>
      <c r="I17" s="2">
        <f t="shared" si="1"/>
        <v>172.68494404550728</v>
      </c>
      <c r="K17">
        <v>8.75</v>
      </c>
      <c r="L17">
        <v>4292.2929999999997</v>
      </c>
      <c r="M17">
        <v>3733.0569999999998</v>
      </c>
      <c r="N17">
        <v>3995.58</v>
      </c>
      <c r="O17">
        <v>4100.4949999999999</v>
      </c>
      <c r="P17">
        <v>3688.6979999999999</v>
      </c>
      <c r="R17" s="3">
        <f t="shared" si="2"/>
        <v>3962.0245999999997</v>
      </c>
      <c r="S17" s="3">
        <f t="shared" si="3"/>
        <v>113.24990611501623</v>
      </c>
    </row>
    <row r="18" spans="1:19" x14ac:dyDescent="0.25">
      <c r="A18">
        <v>10</v>
      </c>
      <c r="B18">
        <v>3651.5970000000002</v>
      </c>
      <c r="C18">
        <v>3418.8330000000001</v>
      </c>
      <c r="D18">
        <v>3087.7370000000001</v>
      </c>
      <c r="E18">
        <v>2866.1729999999998</v>
      </c>
      <c r="F18">
        <v>3194.819</v>
      </c>
      <c r="H18" s="2">
        <f t="shared" si="0"/>
        <v>3243.8317999999999</v>
      </c>
      <c r="I18" s="2">
        <f t="shared" si="1"/>
        <v>135.33142441812996</v>
      </c>
      <c r="K18">
        <v>10</v>
      </c>
      <c r="L18">
        <v>3743.3609999999999</v>
      </c>
      <c r="M18">
        <v>3305.0859999999998</v>
      </c>
      <c r="N18">
        <v>3529.1410000000001</v>
      </c>
      <c r="O18">
        <v>3596.5140000000001</v>
      </c>
      <c r="P18">
        <v>3231.6579999999999</v>
      </c>
      <c r="R18" s="3">
        <f t="shared" si="2"/>
        <v>3481.1519999999996</v>
      </c>
      <c r="S18" s="3">
        <f t="shared" si="3"/>
        <v>94.23677287503007</v>
      </c>
    </row>
    <row r="19" spans="1:19" x14ac:dyDescent="0.25">
      <c r="A19">
        <v>11.25</v>
      </c>
      <c r="B19">
        <v>3284.5859999999998</v>
      </c>
      <c r="C19">
        <v>3121.4140000000002</v>
      </c>
      <c r="D19">
        <v>2804.2669999999998</v>
      </c>
      <c r="E19">
        <v>2623.2489999999998</v>
      </c>
      <c r="F19">
        <v>2888.0410000000002</v>
      </c>
      <c r="H19" s="2">
        <f t="shared" si="0"/>
        <v>2944.3114</v>
      </c>
      <c r="I19" s="2">
        <f t="shared" si="1"/>
        <v>116.83578024586477</v>
      </c>
      <c r="K19">
        <v>11.25</v>
      </c>
      <c r="L19">
        <v>3372.2040000000002</v>
      </c>
      <c r="M19">
        <v>3002.0709999999999</v>
      </c>
      <c r="N19">
        <v>3201.1179999999999</v>
      </c>
      <c r="O19">
        <v>3245.3069999999998</v>
      </c>
      <c r="P19">
        <v>2907.9549999999999</v>
      </c>
      <c r="R19" s="3">
        <f t="shared" si="2"/>
        <v>3145.7310000000002</v>
      </c>
      <c r="S19" s="3">
        <f t="shared" si="3"/>
        <v>84.097782684800933</v>
      </c>
    </row>
    <row r="20" spans="1:19" x14ac:dyDescent="0.25">
      <c r="A20">
        <v>12.5</v>
      </c>
      <c r="B20">
        <v>3099.7779999999998</v>
      </c>
      <c r="C20">
        <v>2949.79</v>
      </c>
      <c r="D20">
        <v>2628.797</v>
      </c>
      <c r="E20">
        <v>2481.0340000000001</v>
      </c>
      <c r="F20">
        <v>2716.2089999999998</v>
      </c>
      <c r="H20" s="2">
        <f t="shared" si="0"/>
        <v>2775.1215999999999</v>
      </c>
      <c r="I20" s="2">
        <f t="shared" si="1"/>
        <v>111.19350869030076</v>
      </c>
      <c r="K20">
        <v>12.5</v>
      </c>
      <c r="L20">
        <v>3129.9639999999999</v>
      </c>
      <c r="M20">
        <v>2817.1990000000001</v>
      </c>
      <c r="N20">
        <v>3002.1570000000002</v>
      </c>
      <c r="O20">
        <v>3042.6089999999999</v>
      </c>
      <c r="P20">
        <v>2754.989</v>
      </c>
      <c r="R20" s="3">
        <f t="shared" si="2"/>
        <v>2949.3836000000001</v>
      </c>
      <c r="S20" s="3">
        <f t="shared" si="3"/>
        <v>70.479541997376771</v>
      </c>
    </row>
    <row r="21" spans="1:19" x14ac:dyDescent="0.25">
      <c r="A21">
        <v>13.75</v>
      </c>
      <c r="B21">
        <v>3046.3049999999998</v>
      </c>
      <c r="C21">
        <v>2871.3119999999999</v>
      </c>
      <c r="D21">
        <v>2552.6060000000002</v>
      </c>
      <c r="E21">
        <v>2430.395</v>
      </c>
      <c r="F21">
        <v>2652.6410000000001</v>
      </c>
      <c r="H21" s="2">
        <f t="shared" si="0"/>
        <v>2710.6518000000001</v>
      </c>
      <c r="I21" s="2">
        <f t="shared" si="1"/>
        <v>110.76153942023373</v>
      </c>
      <c r="K21">
        <v>13.75</v>
      </c>
      <c r="L21">
        <v>3052.134</v>
      </c>
      <c r="M21">
        <v>2761.846</v>
      </c>
      <c r="N21">
        <v>2926.4369999999999</v>
      </c>
      <c r="O21">
        <v>2980.9259999999999</v>
      </c>
      <c r="P21">
        <v>2700.183</v>
      </c>
      <c r="R21" s="3">
        <f t="shared" si="2"/>
        <v>2884.3051999999998</v>
      </c>
      <c r="S21" s="3">
        <f t="shared" si="3"/>
        <v>66.398197969071404</v>
      </c>
    </row>
    <row r="22" spans="1:19" x14ac:dyDescent="0.25">
      <c r="A22">
        <v>15</v>
      </c>
      <c r="B22">
        <v>3033.665</v>
      </c>
      <c r="C22">
        <v>2835.817</v>
      </c>
      <c r="D22">
        <v>2526.085</v>
      </c>
      <c r="E22">
        <v>2416.335</v>
      </c>
      <c r="F22">
        <v>2630.4290000000001</v>
      </c>
      <c r="H22" s="2">
        <f t="shared" si="0"/>
        <v>2688.4661999999998</v>
      </c>
      <c r="I22" s="2">
        <f t="shared" si="1"/>
        <v>110.6042111523788</v>
      </c>
      <c r="K22">
        <v>15</v>
      </c>
      <c r="L22">
        <v>3024.317</v>
      </c>
      <c r="M22">
        <v>2739.165</v>
      </c>
      <c r="N22">
        <v>2894.4009999999998</v>
      </c>
      <c r="O22">
        <v>2955.3969999999999</v>
      </c>
      <c r="P22">
        <v>2686.2539999999999</v>
      </c>
      <c r="R22" s="3">
        <f t="shared" si="2"/>
        <v>2859.9067999999997</v>
      </c>
      <c r="S22" s="3">
        <f t="shared" si="3"/>
        <v>64.05966718958193</v>
      </c>
    </row>
    <row r="23" spans="1:19" x14ac:dyDescent="0.25">
      <c r="A23">
        <v>16.25</v>
      </c>
      <c r="B23">
        <v>3032.22</v>
      </c>
      <c r="C23">
        <v>2819.4180000000001</v>
      </c>
      <c r="D23">
        <v>2502.2310000000002</v>
      </c>
      <c r="E23">
        <v>2407.5590000000002</v>
      </c>
      <c r="F23">
        <v>2617.0360000000001</v>
      </c>
      <c r="H23" s="2">
        <f t="shared" si="0"/>
        <v>2675.6927999999998</v>
      </c>
      <c r="I23" s="2">
        <f t="shared" si="1"/>
        <v>112.51531638021548</v>
      </c>
      <c r="K23">
        <v>16.25</v>
      </c>
      <c r="L23">
        <v>3019.6439999999998</v>
      </c>
      <c r="M23">
        <v>2727.8</v>
      </c>
      <c r="N23">
        <v>2889.9110000000001</v>
      </c>
      <c r="O23">
        <v>2938.87</v>
      </c>
      <c r="P23">
        <v>2667.498</v>
      </c>
      <c r="R23" s="3">
        <f t="shared" si="2"/>
        <v>2848.7445999999995</v>
      </c>
      <c r="S23" s="3">
        <f t="shared" si="3"/>
        <v>65.765413180181497</v>
      </c>
    </row>
    <row r="24" spans="1:19" x14ac:dyDescent="0.25">
      <c r="A24">
        <v>17.5</v>
      </c>
      <c r="B24">
        <v>3038.6930000000002</v>
      </c>
      <c r="C24">
        <v>2824.4180000000001</v>
      </c>
      <c r="D24">
        <v>2505.9340000000002</v>
      </c>
      <c r="E24">
        <v>2386.2530000000002</v>
      </c>
      <c r="F24">
        <v>2616.319</v>
      </c>
      <c r="H24" s="2">
        <f t="shared" si="0"/>
        <v>2674.3234000000002</v>
      </c>
      <c r="I24" s="2">
        <f t="shared" si="1"/>
        <v>116.18899478031473</v>
      </c>
      <c r="K24">
        <v>17.5</v>
      </c>
      <c r="L24">
        <v>3025.4279999999999</v>
      </c>
      <c r="M24">
        <v>2725.99</v>
      </c>
      <c r="N24">
        <v>2905.038</v>
      </c>
      <c r="O24">
        <v>2928.9780000000001</v>
      </c>
      <c r="P24">
        <v>2658.8240000000001</v>
      </c>
      <c r="R24" s="3">
        <f t="shared" si="2"/>
        <v>2848.8516000000004</v>
      </c>
      <c r="S24" s="3">
        <f t="shared" si="3"/>
        <v>67.809231700115873</v>
      </c>
    </row>
    <row r="25" spans="1:19" x14ac:dyDescent="0.25">
      <c r="A25">
        <v>18.75</v>
      </c>
      <c r="B25">
        <v>3048.4850000000001</v>
      </c>
      <c r="C25">
        <v>2830.1579999999999</v>
      </c>
      <c r="D25">
        <v>2524.2449999999999</v>
      </c>
      <c r="E25">
        <v>2358.4569999999999</v>
      </c>
      <c r="F25">
        <v>2625.1709999999998</v>
      </c>
      <c r="H25" s="2">
        <f t="shared" si="0"/>
        <v>2677.3031999999998</v>
      </c>
      <c r="I25" s="2">
        <f t="shared" si="1"/>
        <v>120.19733704471163</v>
      </c>
      <c r="K25">
        <v>18.75</v>
      </c>
      <c r="L25">
        <v>3029.3919999999998</v>
      </c>
      <c r="M25">
        <v>2733.9940000000001</v>
      </c>
      <c r="N25">
        <v>2930.3719999999998</v>
      </c>
      <c r="O25">
        <v>2942.7350000000001</v>
      </c>
      <c r="P25">
        <v>2653.0149999999999</v>
      </c>
      <c r="R25" s="3">
        <f t="shared" si="2"/>
        <v>2857.9016000000001</v>
      </c>
      <c r="S25" s="3">
        <f t="shared" si="3"/>
        <v>70.423445712773798</v>
      </c>
    </row>
    <row r="26" spans="1:19" x14ac:dyDescent="0.25">
      <c r="A26">
        <v>20</v>
      </c>
      <c r="B26">
        <v>3057.163</v>
      </c>
      <c r="C26">
        <v>2832.3809999999999</v>
      </c>
      <c r="D26">
        <v>2534.8150000000001</v>
      </c>
      <c r="E26">
        <v>2333.1190000000001</v>
      </c>
      <c r="F26">
        <v>2619.4920000000002</v>
      </c>
      <c r="H26" s="2">
        <f t="shared" si="0"/>
        <v>2675.3940000000002</v>
      </c>
      <c r="I26" s="2">
        <f t="shared" si="1"/>
        <v>124.58574396775897</v>
      </c>
      <c r="K26">
        <v>20</v>
      </c>
      <c r="L26">
        <v>3041.627</v>
      </c>
      <c r="M26">
        <v>2748.585</v>
      </c>
      <c r="N26">
        <v>2941.547</v>
      </c>
      <c r="O26">
        <v>2950.866</v>
      </c>
      <c r="P26">
        <v>2656.7060000000001</v>
      </c>
      <c r="R26" s="3">
        <f t="shared" si="2"/>
        <v>2867.8661999999999</v>
      </c>
      <c r="S26" s="3">
        <f t="shared" si="3"/>
        <v>71.178394700498785</v>
      </c>
    </row>
    <row r="27" spans="1:19" x14ac:dyDescent="0.25">
      <c r="A27">
        <v>21.25</v>
      </c>
      <c r="B27">
        <v>3068.0360000000001</v>
      </c>
      <c r="C27">
        <v>2836.92</v>
      </c>
      <c r="D27">
        <v>2542.857</v>
      </c>
      <c r="E27">
        <v>2341.4299999999998</v>
      </c>
      <c r="F27">
        <v>2619.4749999999999</v>
      </c>
      <c r="H27" s="2">
        <f t="shared" si="0"/>
        <v>2681.7436000000002</v>
      </c>
      <c r="I27" s="2">
        <f t="shared" si="1"/>
        <v>124.9563415688056</v>
      </c>
      <c r="K27">
        <v>21.25</v>
      </c>
      <c r="L27">
        <v>3048.491</v>
      </c>
      <c r="M27">
        <v>2764.3359999999998</v>
      </c>
      <c r="N27">
        <v>2938.7040000000002</v>
      </c>
      <c r="O27">
        <v>2953.8670000000002</v>
      </c>
      <c r="P27">
        <v>2671.962</v>
      </c>
      <c r="R27" s="3">
        <f t="shared" si="2"/>
        <v>2875.4719999999998</v>
      </c>
      <c r="S27" s="3">
        <f t="shared" si="3"/>
        <v>68.50079080054482</v>
      </c>
    </row>
    <row r="28" spans="1:19" x14ac:dyDescent="0.25">
      <c r="A28">
        <v>22.5</v>
      </c>
      <c r="B28">
        <v>3074.59</v>
      </c>
      <c r="C28">
        <v>2828.3760000000002</v>
      </c>
      <c r="D28">
        <v>2551.71</v>
      </c>
      <c r="E28">
        <v>2357.2530000000002</v>
      </c>
      <c r="F28">
        <v>2618.3090000000002</v>
      </c>
      <c r="H28" s="2">
        <f t="shared" si="0"/>
        <v>2686.0476000000003</v>
      </c>
      <c r="I28" s="2">
        <f t="shared" si="1"/>
        <v>122.87464501214235</v>
      </c>
      <c r="K28">
        <v>22.5</v>
      </c>
      <c r="L28">
        <v>3048.1469999999999</v>
      </c>
      <c r="M28">
        <v>2789.125</v>
      </c>
      <c r="N28">
        <v>2931.3960000000002</v>
      </c>
      <c r="O28">
        <v>2959.212</v>
      </c>
      <c r="P28">
        <v>2691.982</v>
      </c>
      <c r="R28" s="3">
        <f t="shared" si="2"/>
        <v>2883.9723999999997</v>
      </c>
      <c r="S28" s="3">
        <f t="shared" si="3"/>
        <v>63.529378050316225</v>
      </c>
    </row>
    <row r="29" spans="1:19" x14ac:dyDescent="0.25">
      <c r="A29">
        <v>23.75</v>
      </c>
      <c r="B29">
        <v>3081.165</v>
      </c>
      <c r="C29">
        <v>2820.9589999999998</v>
      </c>
      <c r="D29">
        <v>2551.1559999999999</v>
      </c>
      <c r="E29">
        <v>2364.0790000000002</v>
      </c>
      <c r="F29">
        <v>2610.1999999999998</v>
      </c>
      <c r="H29" s="2">
        <f t="shared" si="0"/>
        <v>2685.5117999999993</v>
      </c>
      <c r="I29" s="2">
        <f t="shared" si="1"/>
        <v>122.86777278578786</v>
      </c>
      <c r="K29">
        <v>23.75</v>
      </c>
      <c r="L29">
        <v>3047.183</v>
      </c>
      <c r="M29">
        <v>2792.9409999999998</v>
      </c>
      <c r="N29">
        <v>2920.192</v>
      </c>
      <c r="O29">
        <v>2966.2310000000002</v>
      </c>
      <c r="P29">
        <v>2696.9319999999998</v>
      </c>
      <c r="R29" s="3">
        <f t="shared" si="2"/>
        <v>2884.6958</v>
      </c>
      <c r="S29" s="3">
        <f t="shared" si="3"/>
        <v>62.443673470897018</v>
      </c>
    </row>
    <row r="30" spans="1:19" x14ac:dyDescent="0.25">
      <c r="A30">
        <v>25</v>
      </c>
      <c r="B30">
        <v>3098.9720000000002</v>
      </c>
      <c r="C30">
        <v>2831.672</v>
      </c>
      <c r="D30">
        <v>2562.5940000000001</v>
      </c>
      <c r="E30">
        <v>2372.7600000000002</v>
      </c>
      <c r="F30">
        <v>2640.8649999999998</v>
      </c>
      <c r="H30" s="2">
        <f t="shared" si="0"/>
        <v>2701.3726000000001</v>
      </c>
      <c r="I30" s="2">
        <f t="shared" si="1"/>
        <v>123.68713087366852</v>
      </c>
      <c r="K30">
        <v>25</v>
      </c>
      <c r="L30">
        <v>3058.5329999999999</v>
      </c>
      <c r="M30">
        <v>2807.7930000000001</v>
      </c>
      <c r="N30">
        <v>2930.1509999999998</v>
      </c>
      <c r="O30">
        <v>2978.2060000000001</v>
      </c>
      <c r="P30">
        <v>2714.3580000000002</v>
      </c>
      <c r="R30" s="3">
        <f t="shared" si="2"/>
        <v>2897.8081999999999</v>
      </c>
      <c r="S30" s="3">
        <f t="shared" si="3"/>
        <v>61.277661673239407</v>
      </c>
    </row>
    <row r="31" spans="1:19" x14ac:dyDescent="0.25">
      <c r="A31">
        <v>26.25</v>
      </c>
      <c r="B31">
        <v>3106.8180000000002</v>
      </c>
      <c r="C31">
        <v>2846.2730000000001</v>
      </c>
      <c r="D31">
        <v>2586.3629999999998</v>
      </c>
      <c r="E31">
        <v>2374.7539999999999</v>
      </c>
      <c r="F31">
        <v>2672.701</v>
      </c>
      <c r="H31" s="2">
        <f t="shared" si="0"/>
        <v>2717.3818000000001</v>
      </c>
      <c r="I31" s="2">
        <f t="shared" si="1"/>
        <v>123.45638996884695</v>
      </c>
      <c r="K31">
        <v>26.25</v>
      </c>
      <c r="L31">
        <v>3066.8159999999998</v>
      </c>
      <c r="M31">
        <v>2825.576</v>
      </c>
      <c r="N31">
        <v>2952.9380000000001</v>
      </c>
      <c r="O31">
        <v>3006.2849999999999</v>
      </c>
      <c r="P31">
        <v>2738.337</v>
      </c>
      <c r="R31" s="3">
        <f t="shared" si="2"/>
        <v>2917.9903999999997</v>
      </c>
      <c r="S31" s="3">
        <f t="shared" si="3"/>
        <v>59.992539456669078</v>
      </c>
    </row>
    <row r="32" spans="1:19" x14ac:dyDescent="0.25">
      <c r="A32">
        <v>27.5</v>
      </c>
      <c r="B32">
        <v>3105.6149999999998</v>
      </c>
      <c r="C32">
        <v>2856.9609999999998</v>
      </c>
      <c r="D32">
        <v>2602.0970000000002</v>
      </c>
      <c r="E32">
        <v>2361.1219999999998</v>
      </c>
      <c r="F32">
        <v>2676.1280000000002</v>
      </c>
      <c r="H32" s="2">
        <f t="shared" si="0"/>
        <v>2720.3845999999999</v>
      </c>
      <c r="I32" s="2">
        <f t="shared" si="1"/>
        <v>124.91512975560643</v>
      </c>
      <c r="K32">
        <v>27.5</v>
      </c>
      <c r="L32">
        <v>3075.4259999999999</v>
      </c>
      <c r="M32">
        <v>2836.64</v>
      </c>
      <c r="N32">
        <v>2969.88</v>
      </c>
      <c r="O32">
        <v>3017.2860000000001</v>
      </c>
      <c r="P32">
        <v>2741.6410000000001</v>
      </c>
      <c r="R32" s="3">
        <f t="shared" si="2"/>
        <v>2928.1745999999998</v>
      </c>
      <c r="S32" s="3">
        <f t="shared" si="3"/>
        <v>61.047736947080999</v>
      </c>
    </row>
    <row r="33" spans="1:19" x14ac:dyDescent="0.25">
      <c r="A33">
        <v>28.75</v>
      </c>
      <c r="B33">
        <v>3125.4349999999999</v>
      </c>
      <c r="C33">
        <v>2882.3739999999998</v>
      </c>
      <c r="D33">
        <v>2613.5790000000002</v>
      </c>
      <c r="E33">
        <v>2355.723</v>
      </c>
      <c r="F33">
        <v>2665.857</v>
      </c>
      <c r="H33" s="2">
        <f t="shared" si="0"/>
        <v>2728.5935999999997</v>
      </c>
      <c r="I33" s="2">
        <f t="shared" si="1"/>
        <v>129.87074953876254</v>
      </c>
      <c r="K33">
        <v>28.75</v>
      </c>
      <c r="L33">
        <v>3097.9250000000002</v>
      </c>
      <c r="M33">
        <v>2846.163</v>
      </c>
      <c r="N33">
        <v>2985.2080000000001</v>
      </c>
      <c r="O33">
        <v>3034.3589999999999</v>
      </c>
      <c r="P33">
        <v>2750.3389999999999</v>
      </c>
      <c r="R33" s="3">
        <f t="shared" si="2"/>
        <v>2942.7988</v>
      </c>
      <c r="S33" s="3">
        <f t="shared" si="3"/>
        <v>63.492204581665007</v>
      </c>
    </row>
    <row r="34" spans="1:19" x14ac:dyDescent="0.25">
      <c r="A34">
        <v>30</v>
      </c>
      <c r="B34">
        <v>3154.6469999999999</v>
      </c>
      <c r="C34">
        <v>2899.6750000000002</v>
      </c>
      <c r="D34">
        <v>2635.9520000000002</v>
      </c>
      <c r="E34">
        <v>2370.395</v>
      </c>
      <c r="F34">
        <v>2675.8290000000002</v>
      </c>
      <c r="H34" s="2">
        <f t="shared" si="0"/>
        <v>2747.2996000000003</v>
      </c>
      <c r="I34" s="2">
        <f t="shared" si="1"/>
        <v>132.04423103702788</v>
      </c>
      <c r="K34">
        <v>30</v>
      </c>
      <c r="L34">
        <v>3134.9810000000002</v>
      </c>
      <c r="M34">
        <v>2871.145</v>
      </c>
      <c r="N34">
        <v>3008.444</v>
      </c>
      <c r="O34">
        <v>3053.7469999999998</v>
      </c>
      <c r="P34">
        <v>2778.6280000000002</v>
      </c>
      <c r="R34" s="3">
        <f t="shared" si="2"/>
        <v>2969.3890000000001</v>
      </c>
      <c r="S34" s="3">
        <f t="shared" si="3"/>
        <v>64.071802811377154</v>
      </c>
    </row>
    <row r="35" spans="1:19" x14ac:dyDescent="0.25">
      <c r="A35">
        <v>31.25</v>
      </c>
      <c r="B35">
        <v>3161.3220000000001</v>
      </c>
      <c r="C35">
        <v>2902.0390000000002</v>
      </c>
      <c r="D35">
        <v>2652.4839999999999</v>
      </c>
      <c r="E35">
        <v>2368.3009999999999</v>
      </c>
      <c r="F35">
        <v>2685.7730000000001</v>
      </c>
      <c r="H35" s="2">
        <f t="shared" si="0"/>
        <v>2753.9838000000004</v>
      </c>
      <c r="I35" s="2">
        <f t="shared" si="1"/>
        <v>132.5803334357702</v>
      </c>
      <c r="K35">
        <v>31.25</v>
      </c>
      <c r="L35">
        <v>3171.2820000000002</v>
      </c>
      <c r="M35">
        <v>2889.2829999999999</v>
      </c>
      <c r="N35">
        <v>3018.8449999999998</v>
      </c>
      <c r="O35">
        <v>3075.768</v>
      </c>
      <c r="P35">
        <v>2809.7080000000001</v>
      </c>
      <c r="R35" s="3">
        <f t="shared" si="2"/>
        <v>2992.9772000000003</v>
      </c>
      <c r="S35" s="3">
        <f t="shared" si="3"/>
        <v>64.674627222273202</v>
      </c>
    </row>
    <row r="36" spans="1:19" x14ac:dyDescent="0.25">
      <c r="A36">
        <v>32.5</v>
      </c>
      <c r="B36">
        <v>3169.998</v>
      </c>
      <c r="C36">
        <v>2894.1010000000001</v>
      </c>
      <c r="D36">
        <v>2655.5790000000002</v>
      </c>
      <c r="E36">
        <v>2362.0250000000001</v>
      </c>
      <c r="F36">
        <v>2703.1550000000002</v>
      </c>
      <c r="H36" s="2">
        <f t="shared" si="0"/>
        <v>2756.9715999999999</v>
      </c>
      <c r="I36" s="2">
        <f t="shared" si="1"/>
        <v>133.89450736740471</v>
      </c>
      <c r="K36">
        <v>32.5</v>
      </c>
      <c r="L36">
        <v>3172.9369999999999</v>
      </c>
      <c r="M36">
        <v>2909.779</v>
      </c>
      <c r="N36">
        <v>3029.6619999999998</v>
      </c>
      <c r="O36">
        <v>3080.3919999999998</v>
      </c>
      <c r="P36">
        <v>2830.8209999999999</v>
      </c>
      <c r="R36" s="3">
        <f t="shared" si="2"/>
        <v>3004.7182000000003</v>
      </c>
      <c r="S36" s="3">
        <f t="shared" si="3"/>
        <v>60.786499201220643</v>
      </c>
    </row>
    <row r="37" spans="1:19" x14ac:dyDescent="0.25">
      <c r="A37">
        <v>33.75</v>
      </c>
      <c r="B37">
        <v>3173.8939999999998</v>
      </c>
      <c r="C37">
        <v>2887.2049999999999</v>
      </c>
      <c r="D37">
        <v>2639.3809999999999</v>
      </c>
      <c r="E37">
        <v>2358.8310000000001</v>
      </c>
      <c r="F37">
        <v>2716.2170000000001</v>
      </c>
      <c r="H37" s="2">
        <f t="shared" si="0"/>
        <v>2755.1055999999999</v>
      </c>
      <c r="I37" s="2">
        <f t="shared" si="1"/>
        <v>135.05036843992684</v>
      </c>
      <c r="K37">
        <v>33.75</v>
      </c>
      <c r="L37">
        <v>3162.1109999999999</v>
      </c>
      <c r="M37">
        <v>2912.64</v>
      </c>
      <c r="N37">
        <v>3024.6790000000001</v>
      </c>
      <c r="O37">
        <v>3067.5790000000002</v>
      </c>
      <c r="P37">
        <v>2837.9479999999999</v>
      </c>
      <c r="R37" s="3">
        <f t="shared" si="2"/>
        <v>3000.9913999999999</v>
      </c>
      <c r="S37" s="3">
        <f t="shared" si="3"/>
        <v>57.159275947653526</v>
      </c>
    </row>
    <row r="38" spans="1:19" x14ac:dyDescent="0.25">
      <c r="A38">
        <v>35</v>
      </c>
      <c r="B38">
        <v>3126.1039999999998</v>
      </c>
      <c r="C38">
        <v>2858.5680000000002</v>
      </c>
      <c r="D38">
        <v>2606.7710000000002</v>
      </c>
      <c r="E38">
        <v>2342.1709999999998</v>
      </c>
      <c r="F38">
        <v>2671.8229999999999</v>
      </c>
      <c r="H38" s="2">
        <f t="shared" si="0"/>
        <v>2721.0874000000003</v>
      </c>
      <c r="I38" s="2">
        <f t="shared" si="1"/>
        <v>130.7693045514122</v>
      </c>
      <c r="K38">
        <v>35</v>
      </c>
      <c r="L38">
        <v>3106.8890000000001</v>
      </c>
      <c r="M38">
        <v>2870.5340000000001</v>
      </c>
      <c r="N38">
        <v>2983.8240000000001</v>
      </c>
      <c r="O38">
        <v>3043.71</v>
      </c>
      <c r="P38">
        <v>2781.2089999999998</v>
      </c>
      <c r="R38" s="3">
        <f t="shared" si="2"/>
        <v>2957.2332000000001</v>
      </c>
      <c r="S38" s="3">
        <f t="shared" si="3"/>
        <v>58.772202750450006</v>
      </c>
    </row>
    <row r="39" spans="1:19" x14ac:dyDescent="0.25">
      <c r="A39">
        <v>36.25</v>
      </c>
      <c r="B39">
        <v>2987.6080000000002</v>
      </c>
      <c r="C39">
        <v>2729.712</v>
      </c>
      <c r="D39">
        <v>2499.317</v>
      </c>
      <c r="E39">
        <v>2255.6149999999998</v>
      </c>
      <c r="F39">
        <v>2567.1790000000001</v>
      </c>
      <c r="H39" s="2">
        <f t="shared" si="0"/>
        <v>2607.8861999999999</v>
      </c>
      <c r="I39" s="2">
        <f t="shared" si="1"/>
        <v>121.7722293075889</v>
      </c>
      <c r="K39">
        <v>36.25</v>
      </c>
      <c r="L39">
        <v>2963.0030000000002</v>
      </c>
      <c r="M39">
        <v>2731.1689999999999</v>
      </c>
      <c r="N39">
        <v>2861.0120000000002</v>
      </c>
      <c r="O39">
        <v>2926.0949999999998</v>
      </c>
      <c r="P39">
        <v>2647.9520000000002</v>
      </c>
      <c r="R39" s="3">
        <f t="shared" si="2"/>
        <v>2825.8462</v>
      </c>
      <c r="S39" s="3">
        <f t="shared" si="3"/>
        <v>59.459465928815725</v>
      </c>
    </row>
    <row r="40" spans="1:19" x14ac:dyDescent="0.25">
      <c r="A40">
        <v>37.5</v>
      </c>
      <c r="B40">
        <v>2778.7359999999999</v>
      </c>
      <c r="C40">
        <v>2524.5309999999999</v>
      </c>
      <c r="D40">
        <v>2318.0360000000001</v>
      </c>
      <c r="E40">
        <v>2106.8409999999999</v>
      </c>
      <c r="F40">
        <v>2384.643</v>
      </c>
      <c r="H40" s="2">
        <f t="shared" si="0"/>
        <v>2422.5574000000001</v>
      </c>
      <c r="I40" s="2">
        <f t="shared" si="1"/>
        <v>111.64696149228601</v>
      </c>
      <c r="K40">
        <v>37.5</v>
      </c>
      <c r="L40">
        <v>2757.1129999999998</v>
      </c>
      <c r="M40">
        <v>2543.723</v>
      </c>
      <c r="N40">
        <v>2654.9459999999999</v>
      </c>
      <c r="O40">
        <v>2715.9859999999999</v>
      </c>
      <c r="P40">
        <v>2460.8739999999998</v>
      </c>
      <c r="R40" s="3">
        <f t="shared" si="2"/>
        <v>2626.5284000000001</v>
      </c>
      <c r="S40" s="3">
        <f t="shared" si="3"/>
        <v>54.845544237066335</v>
      </c>
    </row>
    <row r="41" spans="1:19" x14ac:dyDescent="0.25">
      <c r="A41">
        <v>38.75</v>
      </c>
      <c r="B41">
        <v>2570.5120000000002</v>
      </c>
      <c r="C41">
        <v>2314.183</v>
      </c>
      <c r="D41">
        <v>2130.4810000000002</v>
      </c>
      <c r="E41">
        <v>1951.924</v>
      </c>
      <c r="F41">
        <v>2183.335</v>
      </c>
      <c r="H41" s="2">
        <f t="shared" si="0"/>
        <v>2230.0869999999995</v>
      </c>
      <c r="I41" s="2">
        <f t="shared" si="1"/>
        <v>103.06383389676519</v>
      </c>
      <c r="K41">
        <v>38.75</v>
      </c>
      <c r="L41">
        <v>2533.7139999999999</v>
      </c>
      <c r="M41">
        <v>2355.6370000000002</v>
      </c>
      <c r="N41">
        <v>2450.029</v>
      </c>
      <c r="O41">
        <v>2484.9659999999999</v>
      </c>
      <c r="P41">
        <v>2257.7779999999998</v>
      </c>
      <c r="R41" s="3">
        <f t="shared" si="2"/>
        <v>2416.4248000000002</v>
      </c>
      <c r="S41" s="3">
        <f t="shared" si="3"/>
        <v>49.217811090498536</v>
      </c>
    </row>
    <row r="42" spans="1:19" x14ac:dyDescent="0.25">
      <c r="A42">
        <v>40</v>
      </c>
      <c r="B42">
        <v>2458.7640000000001</v>
      </c>
      <c r="C42">
        <v>2180.5740000000001</v>
      </c>
      <c r="D42">
        <v>2019.807</v>
      </c>
      <c r="E42">
        <v>1847.307</v>
      </c>
      <c r="F42">
        <v>2064.1010000000001</v>
      </c>
      <c r="H42" s="2">
        <f t="shared" si="0"/>
        <v>2114.1106</v>
      </c>
      <c r="I42" s="2">
        <f t="shared" si="1"/>
        <v>101.43511219227788</v>
      </c>
      <c r="K42">
        <v>40</v>
      </c>
      <c r="L42">
        <v>2390.9319999999998</v>
      </c>
      <c r="M42">
        <v>2243.422</v>
      </c>
      <c r="N42">
        <v>2336.7150000000001</v>
      </c>
      <c r="O42">
        <v>2350.123</v>
      </c>
      <c r="P42">
        <v>2154.5830000000001</v>
      </c>
      <c r="R42" s="3">
        <f t="shared" si="2"/>
        <v>2295.1549999999997</v>
      </c>
      <c r="S42" s="3">
        <f t="shared" si="3"/>
        <v>42.637271738468414</v>
      </c>
    </row>
    <row r="43" spans="1:19" x14ac:dyDescent="0.25">
      <c r="A43">
        <v>41.25</v>
      </c>
      <c r="B43">
        <v>2408.8690000000001</v>
      </c>
      <c r="C43">
        <v>2131.4050000000002</v>
      </c>
      <c r="D43">
        <v>1978.2429999999999</v>
      </c>
      <c r="E43">
        <v>1790.346</v>
      </c>
      <c r="F43">
        <v>2016.9259999999999</v>
      </c>
      <c r="H43" s="2">
        <f t="shared" si="0"/>
        <v>2065.1578</v>
      </c>
      <c r="I43" s="2">
        <f t="shared" si="1"/>
        <v>101.9627615658776</v>
      </c>
      <c r="K43">
        <v>41.25</v>
      </c>
      <c r="L43">
        <v>2330.0230000000001</v>
      </c>
      <c r="M43">
        <v>2198.3969999999999</v>
      </c>
      <c r="N43">
        <v>2285.8440000000001</v>
      </c>
      <c r="O43">
        <v>2299.2420000000002</v>
      </c>
      <c r="P43">
        <v>2112.62</v>
      </c>
      <c r="R43" s="3">
        <f t="shared" si="2"/>
        <v>2245.2251999999999</v>
      </c>
      <c r="S43" s="3">
        <f t="shared" si="3"/>
        <v>39.70855566675781</v>
      </c>
    </row>
    <row r="44" spans="1:19" x14ac:dyDescent="0.25">
      <c r="A44">
        <v>42.5</v>
      </c>
      <c r="B44">
        <v>2405.8989999999999</v>
      </c>
      <c r="C44">
        <v>2127.703</v>
      </c>
      <c r="D44">
        <v>1976.616</v>
      </c>
      <c r="E44">
        <v>1782.164</v>
      </c>
      <c r="F44">
        <v>2014.212</v>
      </c>
      <c r="H44" s="2">
        <f t="shared" si="0"/>
        <v>2061.3188</v>
      </c>
      <c r="I44" s="2">
        <f t="shared" si="1"/>
        <v>102.58250180678962</v>
      </c>
      <c r="K44">
        <v>42.5</v>
      </c>
      <c r="L44">
        <v>2322.0610000000001</v>
      </c>
      <c r="M44">
        <v>2196.2449999999999</v>
      </c>
      <c r="N44">
        <v>2273.3850000000002</v>
      </c>
      <c r="O44">
        <v>2296.9989999999998</v>
      </c>
      <c r="P44">
        <v>2095.2910000000002</v>
      </c>
      <c r="R44" s="3">
        <f t="shared" si="2"/>
        <v>2236.7961999999998</v>
      </c>
      <c r="S44" s="3">
        <f t="shared" si="3"/>
        <v>41.171182264297428</v>
      </c>
    </row>
    <row r="45" spans="1:19" x14ac:dyDescent="0.25">
      <c r="A45">
        <v>43.75</v>
      </c>
      <c r="B45">
        <v>2415.415</v>
      </c>
      <c r="C45">
        <v>2147.7130000000002</v>
      </c>
      <c r="D45">
        <v>1994.5709999999999</v>
      </c>
      <c r="E45">
        <v>1786.665</v>
      </c>
      <c r="F45">
        <v>2019.2529999999999</v>
      </c>
      <c r="H45" s="2">
        <f t="shared" si="0"/>
        <v>2072.7234000000003</v>
      </c>
      <c r="I45" s="2">
        <f t="shared" si="1"/>
        <v>103.4063011453364</v>
      </c>
      <c r="K45">
        <v>43.75</v>
      </c>
      <c r="L45">
        <v>2329.252</v>
      </c>
      <c r="M45">
        <v>2217.1880000000001</v>
      </c>
      <c r="N45">
        <v>2276.7049999999999</v>
      </c>
      <c r="O45">
        <v>2297.8580000000002</v>
      </c>
      <c r="P45">
        <v>2093.8180000000002</v>
      </c>
      <c r="R45" s="3">
        <f t="shared" si="2"/>
        <v>2242.9641999999999</v>
      </c>
      <c r="S45" s="3">
        <f t="shared" si="3"/>
        <v>41.536945453896784</v>
      </c>
    </row>
    <row r="46" spans="1:19" x14ac:dyDescent="0.25">
      <c r="A46">
        <v>45</v>
      </c>
      <c r="B46">
        <v>2439.98</v>
      </c>
      <c r="C46">
        <v>2175.9870000000001</v>
      </c>
      <c r="D46">
        <v>2010.568</v>
      </c>
      <c r="E46">
        <v>1801.866</v>
      </c>
      <c r="F46">
        <v>2027.4169999999999</v>
      </c>
      <c r="H46" s="2">
        <f t="shared" si="0"/>
        <v>2091.1636000000003</v>
      </c>
      <c r="I46" s="2">
        <f t="shared" si="1"/>
        <v>105.62203160638231</v>
      </c>
      <c r="K46">
        <v>45</v>
      </c>
      <c r="L46">
        <v>2347.0619999999999</v>
      </c>
      <c r="M46">
        <v>2238.6909999999998</v>
      </c>
      <c r="N46">
        <v>2294.3980000000001</v>
      </c>
      <c r="O46">
        <v>2305.7860000000001</v>
      </c>
      <c r="P46">
        <v>2106.2809999999999</v>
      </c>
      <c r="R46" s="3">
        <f t="shared" si="2"/>
        <v>2258.4436000000001</v>
      </c>
      <c r="S46" s="3">
        <f t="shared" si="3"/>
        <v>41.791664588288427</v>
      </c>
    </row>
    <row r="47" spans="1:19" x14ac:dyDescent="0.25">
      <c r="A47">
        <v>46.25</v>
      </c>
      <c r="B47">
        <v>2490.5920000000001</v>
      </c>
      <c r="C47">
        <v>2207.0770000000002</v>
      </c>
      <c r="D47">
        <v>2029.1379999999999</v>
      </c>
      <c r="E47">
        <v>1822.4680000000001</v>
      </c>
      <c r="F47">
        <v>2055.451</v>
      </c>
      <c r="H47" s="2">
        <f t="shared" si="0"/>
        <v>2120.9451999999997</v>
      </c>
      <c r="I47" s="2">
        <f t="shared" si="1"/>
        <v>110.874734463449</v>
      </c>
      <c r="K47">
        <v>46.25</v>
      </c>
      <c r="L47">
        <v>2389.2060000000001</v>
      </c>
      <c r="M47">
        <v>2276.0549999999998</v>
      </c>
      <c r="N47">
        <v>2323.915</v>
      </c>
      <c r="O47">
        <v>2359.625</v>
      </c>
      <c r="P47">
        <v>2129.3139999999999</v>
      </c>
      <c r="R47" s="3">
        <f t="shared" si="2"/>
        <v>2295.623</v>
      </c>
      <c r="S47" s="3">
        <f t="shared" si="3"/>
        <v>45.659643703165308</v>
      </c>
    </row>
    <row r="48" spans="1:19" x14ac:dyDescent="0.25">
      <c r="A48">
        <v>47.5</v>
      </c>
      <c r="B48">
        <v>2592.8159999999998</v>
      </c>
      <c r="C48">
        <v>2272.8589999999999</v>
      </c>
      <c r="D48">
        <v>2080.44</v>
      </c>
      <c r="E48">
        <v>1877.479</v>
      </c>
      <c r="F48">
        <v>2114.4490000000001</v>
      </c>
      <c r="H48" s="2">
        <f t="shared" si="0"/>
        <v>2187.6086</v>
      </c>
      <c r="I48" s="2">
        <f t="shared" si="1"/>
        <v>119.26409191563066</v>
      </c>
      <c r="K48">
        <v>47.5</v>
      </c>
      <c r="L48">
        <v>2488.951</v>
      </c>
      <c r="M48">
        <v>2360.5189999999998</v>
      </c>
      <c r="N48">
        <v>2378.8589999999999</v>
      </c>
      <c r="O48">
        <v>2453.1170000000002</v>
      </c>
      <c r="P48">
        <v>2193.3780000000002</v>
      </c>
      <c r="R48" s="3">
        <f t="shared" si="2"/>
        <v>2374.9648000000002</v>
      </c>
      <c r="S48" s="3">
        <f t="shared" si="3"/>
        <v>51.13620636144217</v>
      </c>
    </row>
    <row r="49" spans="1:19" x14ac:dyDescent="0.25">
      <c r="A49">
        <v>48.75</v>
      </c>
      <c r="B49">
        <v>2716.3449999999998</v>
      </c>
      <c r="C49">
        <v>2381.5419999999999</v>
      </c>
      <c r="D49">
        <v>2176.81</v>
      </c>
      <c r="E49">
        <v>1962.326</v>
      </c>
      <c r="F49">
        <v>2206.5700000000002</v>
      </c>
      <c r="H49" s="2">
        <f t="shared" si="0"/>
        <v>2288.7186000000002</v>
      </c>
      <c r="I49" s="2">
        <f t="shared" si="1"/>
        <v>125.95328065104063</v>
      </c>
      <c r="K49">
        <v>48.75</v>
      </c>
      <c r="L49">
        <v>2614.8820000000001</v>
      </c>
      <c r="M49">
        <v>2464.192</v>
      </c>
      <c r="N49">
        <v>2472.4209999999998</v>
      </c>
      <c r="O49">
        <v>2562.2420000000002</v>
      </c>
      <c r="P49">
        <v>2287.3359999999998</v>
      </c>
      <c r="R49" s="3">
        <f t="shared" si="2"/>
        <v>2480.2146000000002</v>
      </c>
      <c r="S49" s="3">
        <f t="shared" si="3"/>
        <v>55.84953948923846</v>
      </c>
    </row>
    <row r="50" spans="1:19" x14ac:dyDescent="0.25">
      <c r="A50">
        <v>50</v>
      </c>
      <c r="B50">
        <v>2820.5830000000001</v>
      </c>
      <c r="C50">
        <v>2498.8919999999998</v>
      </c>
      <c r="D50">
        <v>2286.9859999999999</v>
      </c>
      <c r="E50">
        <v>2044.4760000000001</v>
      </c>
      <c r="F50">
        <v>2289.67</v>
      </c>
      <c r="H50" s="2">
        <f t="shared" si="0"/>
        <v>2388.1214</v>
      </c>
      <c r="I50" s="2">
        <f t="shared" si="1"/>
        <v>129.86654102100363</v>
      </c>
      <c r="K50">
        <v>50</v>
      </c>
      <c r="L50">
        <v>2721.6080000000002</v>
      </c>
      <c r="M50">
        <v>2562.9560000000001</v>
      </c>
      <c r="N50">
        <v>2576.4050000000002</v>
      </c>
      <c r="O50">
        <v>2658.308</v>
      </c>
      <c r="P50">
        <v>2386.2809999999999</v>
      </c>
      <c r="R50" s="3">
        <f t="shared" si="2"/>
        <v>2581.1116000000002</v>
      </c>
      <c r="S50" s="3">
        <f t="shared" si="3"/>
        <v>56.572636131437278</v>
      </c>
    </row>
    <row r="51" spans="1:19" x14ac:dyDescent="0.25">
      <c r="A51">
        <v>51.25</v>
      </c>
      <c r="B51">
        <v>2897.6320000000001</v>
      </c>
      <c r="C51">
        <v>2567.7539999999999</v>
      </c>
      <c r="D51">
        <v>2377.7719999999999</v>
      </c>
      <c r="E51">
        <v>2107.6610000000001</v>
      </c>
      <c r="F51">
        <v>2360.3969999999999</v>
      </c>
      <c r="H51" s="2">
        <f t="shared" si="0"/>
        <v>2462.2431999999999</v>
      </c>
      <c r="I51" s="2">
        <f t="shared" si="1"/>
        <v>131.13590368827298</v>
      </c>
      <c r="K51">
        <v>51.25</v>
      </c>
      <c r="L51">
        <v>2796.027</v>
      </c>
      <c r="M51">
        <v>2628.6280000000002</v>
      </c>
      <c r="N51">
        <v>2656.49</v>
      </c>
      <c r="O51">
        <v>2718.2289999999998</v>
      </c>
      <c r="P51">
        <v>2449.0540000000001</v>
      </c>
      <c r="R51" s="3">
        <f t="shared" si="2"/>
        <v>2649.6855999999998</v>
      </c>
      <c r="S51" s="3">
        <f t="shared" si="3"/>
        <v>57.817283027309379</v>
      </c>
    </row>
    <row r="52" spans="1:19" x14ac:dyDescent="0.25">
      <c r="A52">
        <v>52.5</v>
      </c>
      <c r="B52">
        <v>2911.3609999999999</v>
      </c>
      <c r="C52">
        <v>2593.94</v>
      </c>
      <c r="D52">
        <v>2411.7669999999998</v>
      </c>
      <c r="E52">
        <v>2124.1709999999998</v>
      </c>
      <c r="F52">
        <v>2401.1669999999999</v>
      </c>
      <c r="H52" s="2">
        <f t="shared" si="0"/>
        <v>2488.4811999999997</v>
      </c>
      <c r="I52" s="2">
        <f t="shared" si="1"/>
        <v>129.64945884437773</v>
      </c>
      <c r="K52">
        <v>52.5</v>
      </c>
      <c r="L52">
        <v>2804.6849999999999</v>
      </c>
      <c r="M52">
        <v>2650.72</v>
      </c>
      <c r="N52">
        <v>2697.2020000000002</v>
      </c>
      <c r="O52">
        <v>2732.239</v>
      </c>
      <c r="P52">
        <v>2466.223</v>
      </c>
      <c r="R52" s="3">
        <f t="shared" si="2"/>
        <v>2670.2138</v>
      </c>
      <c r="S52" s="3">
        <f t="shared" si="3"/>
        <v>56.855187418036017</v>
      </c>
    </row>
    <row r="53" spans="1:19" x14ac:dyDescent="0.25">
      <c r="A53">
        <v>53.75</v>
      </c>
      <c r="B53">
        <v>2907.3580000000002</v>
      </c>
      <c r="C53">
        <v>2596</v>
      </c>
      <c r="D53">
        <v>2385.17</v>
      </c>
      <c r="E53">
        <v>2116.7170000000001</v>
      </c>
      <c r="F53">
        <v>2387.8139999999999</v>
      </c>
      <c r="H53" s="2">
        <f t="shared" si="0"/>
        <v>2478.6118000000001</v>
      </c>
      <c r="I53" s="2">
        <f t="shared" si="1"/>
        <v>131.44328629732257</v>
      </c>
      <c r="K53">
        <v>53.75</v>
      </c>
      <c r="L53">
        <v>2783.7429999999999</v>
      </c>
      <c r="M53">
        <v>2632.2089999999998</v>
      </c>
      <c r="N53">
        <v>2677.797</v>
      </c>
      <c r="O53">
        <v>2718.3539999999998</v>
      </c>
      <c r="P53">
        <v>2478.346</v>
      </c>
      <c r="R53" s="3">
        <f t="shared" si="2"/>
        <v>2658.0897999999997</v>
      </c>
      <c r="S53" s="3">
        <f t="shared" si="3"/>
        <v>51.374372818945425</v>
      </c>
    </row>
    <row r="54" spans="1:19" x14ac:dyDescent="0.25">
      <c r="A54">
        <v>55</v>
      </c>
      <c r="B54">
        <v>2872.5120000000002</v>
      </c>
      <c r="C54">
        <v>2587.7040000000002</v>
      </c>
      <c r="D54">
        <v>2337.3820000000001</v>
      </c>
      <c r="E54">
        <v>2093.931</v>
      </c>
      <c r="F54">
        <v>2341.652</v>
      </c>
      <c r="H54" s="2">
        <f t="shared" si="0"/>
        <v>2446.6361999999999</v>
      </c>
      <c r="I54" s="2">
        <f t="shared" si="1"/>
        <v>132.02830033685925</v>
      </c>
      <c r="K54">
        <v>55</v>
      </c>
      <c r="L54">
        <v>2732.6210000000001</v>
      </c>
      <c r="M54">
        <v>2574.9870000000001</v>
      </c>
      <c r="N54">
        <v>2617.5059999999999</v>
      </c>
      <c r="O54">
        <v>2665.9079999999999</v>
      </c>
      <c r="P54">
        <v>2449.0250000000001</v>
      </c>
      <c r="R54" s="3">
        <f t="shared" si="2"/>
        <v>2608.0093999999999</v>
      </c>
      <c r="S54" s="3">
        <f t="shared" si="3"/>
        <v>47.611449512275918</v>
      </c>
    </row>
    <row r="55" spans="1:19" x14ac:dyDescent="0.25">
      <c r="A55">
        <v>56.25</v>
      </c>
      <c r="B55">
        <v>2754.4850000000001</v>
      </c>
      <c r="C55">
        <v>2492.7379999999998</v>
      </c>
      <c r="D55">
        <v>2244.5740000000001</v>
      </c>
      <c r="E55">
        <v>2029.0119999999999</v>
      </c>
      <c r="F55">
        <v>2241.2890000000002</v>
      </c>
      <c r="H55" s="2">
        <f t="shared" si="0"/>
        <v>2352.4196000000002</v>
      </c>
      <c r="I55" s="2">
        <f t="shared" si="1"/>
        <v>124.48272946260246</v>
      </c>
      <c r="K55">
        <v>56.25</v>
      </c>
      <c r="L55">
        <v>2604.5790000000002</v>
      </c>
      <c r="M55">
        <v>2470.9870000000001</v>
      </c>
      <c r="N55">
        <v>2507.375</v>
      </c>
      <c r="O55">
        <v>2538.6610000000001</v>
      </c>
      <c r="P55">
        <v>2333.6120000000001</v>
      </c>
      <c r="R55" s="3">
        <f t="shared" si="2"/>
        <v>2491.0428000000002</v>
      </c>
      <c r="S55" s="3">
        <f t="shared" si="3"/>
        <v>45.061843249472176</v>
      </c>
    </row>
    <row r="56" spans="1:19" x14ac:dyDescent="0.25">
      <c r="A56">
        <v>57.5</v>
      </c>
      <c r="B56">
        <v>2579.0419999999999</v>
      </c>
      <c r="C56">
        <v>2315.971</v>
      </c>
      <c r="D56">
        <v>2090.4349999999999</v>
      </c>
      <c r="E56">
        <v>1915.097</v>
      </c>
      <c r="F56">
        <v>2075.913</v>
      </c>
      <c r="H56" s="2">
        <f t="shared" si="0"/>
        <v>2195.2916</v>
      </c>
      <c r="I56" s="2">
        <f t="shared" si="1"/>
        <v>115.23520678490588</v>
      </c>
      <c r="K56">
        <v>57.5</v>
      </c>
      <c r="L56">
        <v>2417.7910000000002</v>
      </c>
      <c r="M56">
        <v>2306.5569999999998</v>
      </c>
      <c r="N56">
        <v>2359.8470000000002</v>
      </c>
      <c r="O56">
        <v>2364.223</v>
      </c>
      <c r="P56">
        <v>2178.7370000000001</v>
      </c>
      <c r="R56" s="3">
        <f t="shared" si="2"/>
        <v>2325.4309999999996</v>
      </c>
      <c r="S56" s="3">
        <f t="shared" si="3"/>
        <v>40.678623029792945</v>
      </c>
    </row>
    <row r="57" spans="1:19" x14ac:dyDescent="0.25">
      <c r="A57">
        <v>58.75</v>
      </c>
      <c r="B57">
        <v>2441.027</v>
      </c>
      <c r="C57">
        <v>2192.8389999999999</v>
      </c>
      <c r="D57">
        <v>1952.5039999999999</v>
      </c>
      <c r="E57">
        <v>1810.481</v>
      </c>
      <c r="F57">
        <v>1941.32</v>
      </c>
      <c r="H57" s="2">
        <f t="shared" si="0"/>
        <v>2067.6342</v>
      </c>
      <c r="I57" s="2">
        <f t="shared" si="1"/>
        <v>111.90094579108727</v>
      </c>
      <c r="K57">
        <v>58.75</v>
      </c>
      <c r="L57">
        <v>2273.5590000000002</v>
      </c>
      <c r="M57">
        <v>2151.8389999999999</v>
      </c>
      <c r="N57">
        <v>2221.2849999999999</v>
      </c>
      <c r="O57">
        <v>2221.7840000000001</v>
      </c>
      <c r="P57">
        <v>2052.5459999999998</v>
      </c>
      <c r="R57" s="3">
        <f t="shared" si="2"/>
        <v>2184.2026000000001</v>
      </c>
      <c r="S57" s="3">
        <f t="shared" si="3"/>
        <v>38.179114162850922</v>
      </c>
    </row>
    <row r="58" spans="1:19" x14ac:dyDescent="0.25">
      <c r="A58">
        <v>60</v>
      </c>
      <c r="B58">
        <v>2342.5149999999999</v>
      </c>
      <c r="C58">
        <v>2095.069</v>
      </c>
      <c r="D58">
        <v>1865.095</v>
      </c>
      <c r="E58">
        <v>1733.2460000000001</v>
      </c>
      <c r="F58">
        <v>1850.0329999999999</v>
      </c>
      <c r="H58" s="2">
        <f t="shared" si="0"/>
        <v>1977.1916000000001</v>
      </c>
      <c r="I58" s="2">
        <f t="shared" si="1"/>
        <v>108.53586528498253</v>
      </c>
      <c r="K58">
        <v>60</v>
      </c>
      <c r="L58">
        <v>2159.9470000000001</v>
      </c>
      <c r="M58">
        <v>2043.8230000000001</v>
      </c>
      <c r="N58">
        <v>2104.759</v>
      </c>
      <c r="O58">
        <v>2110.645</v>
      </c>
      <c r="P58">
        <v>1953.759</v>
      </c>
      <c r="R58" s="3">
        <f t="shared" si="2"/>
        <v>2074.5866000000001</v>
      </c>
      <c r="S58" s="3">
        <f t="shared" si="3"/>
        <v>35.385511037146273</v>
      </c>
    </row>
    <row r="59" spans="1:19" x14ac:dyDescent="0.25">
      <c r="A59">
        <v>61.25</v>
      </c>
      <c r="B59">
        <v>2267.9850000000001</v>
      </c>
      <c r="C59">
        <v>2016.596</v>
      </c>
      <c r="D59">
        <v>1795.7719999999999</v>
      </c>
      <c r="E59">
        <v>1659.741</v>
      </c>
      <c r="F59">
        <v>1782.9559999999999</v>
      </c>
      <c r="H59" s="2">
        <f t="shared" si="0"/>
        <v>1904.61</v>
      </c>
      <c r="I59" s="2">
        <f t="shared" si="1"/>
        <v>107.51476362388712</v>
      </c>
      <c r="K59">
        <v>61.25</v>
      </c>
      <c r="L59">
        <v>2075.6089999999999</v>
      </c>
      <c r="M59">
        <v>1972.3630000000001</v>
      </c>
      <c r="N59">
        <v>2020.8009999999999</v>
      </c>
      <c r="O59">
        <v>2034.3230000000001</v>
      </c>
      <c r="P59">
        <v>1886.239</v>
      </c>
      <c r="R59" s="3">
        <f t="shared" si="2"/>
        <v>1997.8669999999997</v>
      </c>
      <c r="S59" s="3">
        <f t="shared" si="3"/>
        <v>32.411488129982537</v>
      </c>
    </row>
    <row r="60" spans="1:19" x14ac:dyDescent="0.25">
      <c r="A60">
        <v>62.5</v>
      </c>
      <c r="B60">
        <v>2206.4029999999998</v>
      </c>
      <c r="C60">
        <v>1952.4690000000001</v>
      </c>
      <c r="D60">
        <v>1742.989</v>
      </c>
      <c r="E60">
        <v>1597.5360000000001</v>
      </c>
      <c r="F60">
        <v>1735.192</v>
      </c>
      <c r="H60" s="2">
        <f t="shared" si="0"/>
        <v>1846.9177999999999</v>
      </c>
      <c r="I60" s="2">
        <f t="shared" si="1"/>
        <v>106.26518641276745</v>
      </c>
      <c r="K60">
        <v>62.5</v>
      </c>
      <c r="L60">
        <v>2008.586</v>
      </c>
      <c r="M60">
        <v>1918.2809999999999</v>
      </c>
      <c r="N60">
        <v>1949.827</v>
      </c>
      <c r="O60">
        <v>1978.0060000000001</v>
      </c>
      <c r="P60">
        <v>1836.127</v>
      </c>
      <c r="R60" s="3">
        <f t="shared" si="2"/>
        <v>1938.1654000000003</v>
      </c>
      <c r="S60" s="3">
        <f t="shared" si="3"/>
        <v>29.571567142442774</v>
      </c>
    </row>
    <row r="61" spans="1:19" x14ac:dyDescent="0.25">
      <c r="A61">
        <v>63.75</v>
      </c>
      <c r="B61">
        <v>2147.3649999999998</v>
      </c>
      <c r="C61">
        <v>1893.866</v>
      </c>
      <c r="D61">
        <v>1698.1189999999999</v>
      </c>
      <c r="E61">
        <v>1558.7349999999999</v>
      </c>
      <c r="F61">
        <v>1700.99</v>
      </c>
      <c r="H61" s="2">
        <f t="shared" si="0"/>
        <v>1799.8149999999998</v>
      </c>
      <c r="I61" s="2">
        <f t="shared" si="1"/>
        <v>101.94719626895237</v>
      </c>
      <c r="K61">
        <v>63.75</v>
      </c>
      <c r="L61">
        <v>1960.7909999999999</v>
      </c>
      <c r="M61">
        <v>1883.9280000000001</v>
      </c>
      <c r="N61">
        <v>1903.942</v>
      </c>
      <c r="O61">
        <v>1942.3309999999999</v>
      </c>
      <c r="P61">
        <v>1792.6279999999999</v>
      </c>
      <c r="R61" s="3">
        <f t="shared" si="2"/>
        <v>1896.7240000000002</v>
      </c>
      <c r="S61" s="3">
        <f t="shared" si="3"/>
        <v>29.356765228819057</v>
      </c>
    </row>
    <row r="62" spans="1:19" x14ac:dyDescent="0.25">
      <c r="A62">
        <v>65</v>
      </c>
      <c r="B62">
        <v>2094.2849999999999</v>
      </c>
      <c r="C62">
        <v>1842.046</v>
      </c>
      <c r="D62">
        <v>1661.4970000000001</v>
      </c>
      <c r="E62">
        <v>1534.162</v>
      </c>
      <c r="F62">
        <v>1657.671</v>
      </c>
      <c r="H62" s="2">
        <f t="shared" si="0"/>
        <v>1757.9322</v>
      </c>
      <c r="I62" s="2">
        <f t="shared" si="1"/>
        <v>97.373891739726517</v>
      </c>
      <c r="K62">
        <v>65</v>
      </c>
      <c r="L62">
        <v>1930.4870000000001</v>
      </c>
      <c r="M62">
        <v>1858.643</v>
      </c>
      <c r="N62">
        <v>1867.884</v>
      </c>
      <c r="O62">
        <v>1908.441</v>
      </c>
      <c r="P62">
        <v>1755.0930000000001</v>
      </c>
      <c r="R62" s="3">
        <f t="shared" si="2"/>
        <v>1864.1096000000002</v>
      </c>
      <c r="S62" s="3">
        <f t="shared" si="3"/>
        <v>30.248951339839863</v>
      </c>
    </row>
    <row r="63" spans="1:19" x14ac:dyDescent="0.25">
      <c r="A63">
        <v>66.25</v>
      </c>
      <c r="B63">
        <v>2044.0360000000001</v>
      </c>
      <c r="C63">
        <v>1787.4860000000001</v>
      </c>
      <c r="D63">
        <v>1638.9380000000001</v>
      </c>
      <c r="E63">
        <v>1496.9090000000001</v>
      </c>
      <c r="F63">
        <v>1626.2950000000001</v>
      </c>
      <c r="H63" s="2">
        <f t="shared" si="0"/>
        <v>1718.7328000000002</v>
      </c>
      <c r="I63" s="2">
        <f t="shared" si="1"/>
        <v>93.452375481524712</v>
      </c>
      <c r="K63">
        <v>66.25</v>
      </c>
      <c r="L63">
        <v>1892.086</v>
      </c>
      <c r="M63">
        <v>1850.7449999999999</v>
      </c>
      <c r="N63">
        <v>1834.32</v>
      </c>
      <c r="O63">
        <v>1875.4770000000001</v>
      </c>
      <c r="P63">
        <v>1728.7429999999999</v>
      </c>
      <c r="R63" s="3">
        <f t="shared" si="2"/>
        <v>1836.2741999999998</v>
      </c>
      <c r="S63" s="3">
        <f t="shared" si="3"/>
        <v>28.660075428023575</v>
      </c>
    </row>
    <row r="64" spans="1:19" x14ac:dyDescent="0.25">
      <c r="A64">
        <v>67.5</v>
      </c>
      <c r="B64">
        <v>1989.52</v>
      </c>
      <c r="C64">
        <v>1736.4770000000001</v>
      </c>
      <c r="D64">
        <v>1620.8610000000001</v>
      </c>
      <c r="E64">
        <v>1459.579</v>
      </c>
      <c r="F64">
        <v>1612.4280000000001</v>
      </c>
      <c r="H64" s="2">
        <f t="shared" si="0"/>
        <v>1683.7729999999999</v>
      </c>
      <c r="I64" s="2">
        <f t="shared" si="1"/>
        <v>88.195781653660475</v>
      </c>
      <c r="K64">
        <v>67.5</v>
      </c>
      <c r="L64">
        <v>1865.414</v>
      </c>
      <c r="M64">
        <v>1835.999</v>
      </c>
      <c r="N64">
        <v>1812.2139999999999</v>
      </c>
      <c r="O64">
        <v>1871.0840000000001</v>
      </c>
      <c r="P64">
        <v>1703.546</v>
      </c>
      <c r="R64" s="3">
        <f t="shared" si="2"/>
        <v>1817.6514</v>
      </c>
      <c r="S64" s="3">
        <f t="shared" si="3"/>
        <v>30.432343612676295</v>
      </c>
    </row>
    <row r="65" spans="1:19" x14ac:dyDescent="0.25">
      <c r="A65">
        <v>68.75</v>
      </c>
      <c r="B65">
        <v>1943.7529999999999</v>
      </c>
      <c r="C65">
        <v>1684.114</v>
      </c>
      <c r="D65">
        <v>1592.078</v>
      </c>
      <c r="E65">
        <v>1412.8</v>
      </c>
      <c r="F65">
        <v>1595.5429999999999</v>
      </c>
      <c r="H65" s="2">
        <f t="shared" si="0"/>
        <v>1645.6576</v>
      </c>
      <c r="I65" s="2">
        <f t="shared" si="1"/>
        <v>86.586566726368346</v>
      </c>
      <c r="K65">
        <v>68.75</v>
      </c>
      <c r="L65">
        <v>1836.008</v>
      </c>
      <c r="M65">
        <v>1812.2280000000001</v>
      </c>
      <c r="N65">
        <v>1791.203</v>
      </c>
      <c r="O65">
        <v>1860.5429999999999</v>
      </c>
      <c r="P65">
        <v>1652.84</v>
      </c>
      <c r="R65" s="3">
        <f t="shared" si="2"/>
        <v>1790.5644</v>
      </c>
      <c r="S65" s="3">
        <f t="shared" si="3"/>
        <v>36.331704452998082</v>
      </c>
    </row>
    <row r="66" spans="1:19" x14ac:dyDescent="0.25">
      <c r="A66">
        <v>70</v>
      </c>
      <c r="B66">
        <v>1916.7729999999999</v>
      </c>
      <c r="C66">
        <v>1644.5329999999999</v>
      </c>
      <c r="D66">
        <v>1564.115</v>
      </c>
      <c r="E66">
        <v>1373.6690000000001</v>
      </c>
      <c r="F66">
        <v>1565.915</v>
      </c>
      <c r="H66" s="2">
        <f t="shared" si="0"/>
        <v>1613.0009999999997</v>
      </c>
      <c r="I66" s="2">
        <f t="shared" si="1"/>
        <v>88.079064942812337</v>
      </c>
      <c r="K66">
        <v>70</v>
      </c>
      <c r="L66">
        <v>1805.626</v>
      </c>
      <c r="M66">
        <v>1781.54</v>
      </c>
      <c r="N66">
        <v>1759.481</v>
      </c>
      <c r="O66">
        <v>1813.73</v>
      </c>
      <c r="P66">
        <v>1612.989</v>
      </c>
      <c r="R66" s="3">
        <f t="shared" si="2"/>
        <v>1754.6732</v>
      </c>
      <c r="S66" s="3">
        <f t="shared" si="3"/>
        <v>36.676454208933542</v>
      </c>
    </row>
    <row r="67" spans="1:19" x14ac:dyDescent="0.25">
      <c r="A67">
        <v>71.25</v>
      </c>
      <c r="B67">
        <v>1894.684</v>
      </c>
      <c r="C67">
        <v>1623.412</v>
      </c>
      <c r="D67">
        <v>1543.4010000000001</v>
      </c>
      <c r="E67">
        <v>1351.085</v>
      </c>
      <c r="F67">
        <v>1544.1020000000001</v>
      </c>
      <c r="H67" s="2">
        <f t="shared" si="0"/>
        <v>1591.3368</v>
      </c>
      <c r="I67" s="2">
        <f t="shared" si="1"/>
        <v>88.11873718421019</v>
      </c>
      <c r="K67">
        <v>71.25</v>
      </c>
      <c r="L67">
        <v>1789.1220000000001</v>
      </c>
      <c r="M67">
        <v>1765.6510000000001</v>
      </c>
      <c r="N67">
        <v>1739.441</v>
      </c>
      <c r="O67">
        <v>1787.1320000000001</v>
      </c>
      <c r="P67">
        <v>1590.213</v>
      </c>
      <c r="R67" s="3">
        <f t="shared" si="2"/>
        <v>1734.3117999999999</v>
      </c>
      <c r="S67" s="3">
        <f t="shared" si="3"/>
        <v>37.126169922845548</v>
      </c>
    </row>
    <row r="68" spans="1:19" x14ac:dyDescent="0.25">
      <c r="A68">
        <v>72.5</v>
      </c>
      <c r="B68">
        <v>1893.1369999999999</v>
      </c>
      <c r="C68">
        <v>1613.0440000000001</v>
      </c>
      <c r="D68">
        <v>1531.855</v>
      </c>
      <c r="E68">
        <v>1351.4010000000001</v>
      </c>
      <c r="F68">
        <v>1536.13</v>
      </c>
      <c r="H68" s="2">
        <f t="shared" si="0"/>
        <v>1585.1134</v>
      </c>
      <c r="I68" s="2">
        <f t="shared" si="1"/>
        <v>88.180489092882894</v>
      </c>
      <c r="K68">
        <v>72.5</v>
      </c>
      <c r="L68">
        <v>1776.0530000000001</v>
      </c>
      <c r="M68">
        <v>1758.375</v>
      </c>
      <c r="N68">
        <v>1731.7339999999999</v>
      </c>
      <c r="O68">
        <v>1768.703</v>
      </c>
      <c r="P68">
        <v>1578.5170000000001</v>
      </c>
      <c r="R68" s="3">
        <f t="shared" si="2"/>
        <v>1722.6763999999998</v>
      </c>
      <c r="S68" s="3">
        <f t="shared" si="3"/>
        <v>36.814312504242146</v>
      </c>
    </row>
    <row r="69" spans="1:19" x14ac:dyDescent="0.25">
      <c r="A69">
        <v>73.75</v>
      </c>
      <c r="B69">
        <v>1932.713</v>
      </c>
      <c r="C69">
        <v>1627.855</v>
      </c>
      <c r="D69">
        <v>1540.816</v>
      </c>
      <c r="E69">
        <v>1364.0340000000001</v>
      </c>
      <c r="F69">
        <v>1543.82</v>
      </c>
      <c r="H69" s="2">
        <f t="shared" ref="H69:H96" si="4">AVERAGE(B69:F69)</f>
        <v>1601.8475999999998</v>
      </c>
      <c r="I69" s="2">
        <f t="shared" ref="I69:I96" si="5">STDEV(B69:F69)/SQRT(COUNT(B69:F69))</f>
        <v>93.219006827256209</v>
      </c>
      <c r="K69">
        <v>73.75</v>
      </c>
      <c r="L69">
        <v>1790.6890000000001</v>
      </c>
      <c r="M69">
        <v>1768.4469999999999</v>
      </c>
      <c r="N69">
        <v>1751.1189999999999</v>
      </c>
      <c r="O69">
        <v>1777.519</v>
      </c>
      <c r="P69">
        <v>1595.836</v>
      </c>
      <c r="R69" s="3">
        <f t="shared" ref="R69:R96" si="6">AVERAGE(L69:P69)</f>
        <v>1736.7220000000002</v>
      </c>
      <c r="S69" s="3">
        <f t="shared" ref="S69:S96" si="7">STDEV(L69:P69)/SQRT(COUNT(L69:P69))</f>
        <v>35.804641129328466</v>
      </c>
    </row>
    <row r="70" spans="1:19" x14ac:dyDescent="0.25">
      <c r="A70">
        <v>75</v>
      </c>
      <c r="B70">
        <v>2050.1320000000001</v>
      </c>
      <c r="C70">
        <v>1717.749</v>
      </c>
      <c r="D70">
        <v>1619.55</v>
      </c>
      <c r="E70">
        <v>1444.7439999999999</v>
      </c>
      <c r="F70">
        <v>1619.4380000000001</v>
      </c>
      <c r="H70" s="2">
        <f t="shared" si="4"/>
        <v>1690.3226000000002</v>
      </c>
      <c r="I70" s="2">
        <f t="shared" si="5"/>
        <v>100.13921508360208</v>
      </c>
      <c r="K70">
        <v>75</v>
      </c>
      <c r="L70">
        <v>1892.26</v>
      </c>
      <c r="M70">
        <v>1875.502</v>
      </c>
      <c r="N70">
        <v>1847.5350000000001</v>
      </c>
      <c r="O70">
        <v>1869.684</v>
      </c>
      <c r="P70">
        <v>1696.0640000000001</v>
      </c>
      <c r="R70" s="3">
        <f t="shared" si="6"/>
        <v>1836.2090000000001</v>
      </c>
      <c r="S70" s="3">
        <f t="shared" si="7"/>
        <v>35.759704540166418</v>
      </c>
    </row>
    <row r="71" spans="1:19" x14ac:dyDescent="0.25">
      <c r="A71">
        <v>76.25</v>
      </c>
      <c r="B71">
        <v>2228.4470000000001</v>
      </c>
      <c r="C71">
        <v>1875.5989999999999</v>
      </c>
      <c r="D71">
        <v>1783.027</v>
      </c>
      <c r="E71">
        <v>1566.0409999999999</v>
      </c>
      <c r="F71">
        <v>1781.348</v>
      </c>
      <c r="H71" s="2">
        <f t="shared" si="4"/>
        <v>1846.8924</v>
      </c>
      <c r="I71" s="2">
        <f t="shared" si="5"/>
        <v>108.08800771482579</v>
      </c>
      <c r="K71">
        <v>76.25</v>
      </c>
      <c r="L71">
        <v>2079.2280000000001</v>
      </c>
      <c r="M71">
        <v>2073.3980000000001</v>
      </c>
      <c r="N71">
        <v>2022.366</v>
      </c>
      <c r="O71">
        <v>2064.5720000000001</v>
      </c>
      <c r="P71">
        <v>1865.453</v>
      </c>
      <c r="R71" s="3">
        <f t="shared" si="6"/>
        <v>2021.0034000000001</v>
      </c>
      <c r="S71" s="3">
        <f t="shared" si="7"/>
        <v>40.144305124886664</v>
      </c>
    </row>
    <row r="72" spans="1:19" x14ac:dyDescent="0.25">
      <c r="A72">
        <v>77.5</v>
      </c>
      <c r="B72">
        <v>2316.7550000000001</v>
      </c>
      <c r="C72">
        <v>1971.5050000000001</v>
      </c>
      <c r="D72">
        <v>1880.999</v>
      </c>
      <c r="E72">
        <v>1627.425</v>
      </c>
      <c r="F72">
        <v>1874.827</v>
      </c>
      <c r="H72" s="2">
        <f t="shared" si="4"/>
        <v>1934.3022000000001</v>
      </c>
      <c r="I72" s="2">
        <f t="shared" si="5"/>
        <v>111.40160209368572</v>
      </c>
      <c r="K72">
        <v>77.5</v>
      </c>
      <c r="L72">
        <v>2191.1190000000001</v>
      </c>
      <c r="M72">
        <v>2170.8629999999998</v>
      </c>
      <c r="N72">
        <v>2118.752</v>
      </c>
      <c r="O72">
        <v>2184.0639999999999</v>
      </c>
      <c r="P72">
        <v>1950.018</v>
      </c>
      <c r="R72" s="3">
        <f t="shared" si="6"/>
        <v>2122.9632000000001</v>
      </c>
      <c r="S72" s="3">
        <f t="shared" si="7"/>
        <v>45.055903099815886</v>
      </c>
    </row>
    <row r="73" spans="1:19" x14ac:dyDescent="0.25">
      <c r="A73">
        <v>78.75</v>
      </c>
      <c r="B73">
        <v>2251.1990000000001</v>
      </c>
      <c r="C73">
        <v>1916.98</v>
      </c>
      <c r="D73">
        <v>1838.9290000000001</v>
      </c>
      <c r="E73">
        <v>1589.8340000000001</v>
      </c>
      <c r="F73">
        <v>1842.377</v>
      </c>
      <c r="H73" s="2">
        <f t="shared" si="4"/>
        <v>1887.8637999999999</v>
      </c>
      <c r="I73" s="2">
        <f t="shared" si="5"/>
        <v>106.33570566249224</v>
      </c>
      <c r="K73">
        <v>78.75</v>
      </c>
      <c r="L73">
        <v>2133.2350000000001</v>
      </c>
      <c r="M73">
        <v>2123.3229999999999</v>
      </c>
      <c r="N73">
        <v>2073.3690000000001</v>
      </c>
      <c r="O73">
        <v>2141.4259999999999</v>
      </c>
      <c r="P73">
        <v>1896.056</v>
      </c>
      <c r="R73" s="3">
        <f t="shared" si="6"/>
        <v>2073.4818</v>
      </c>
      <c r="S73" s="3">
        <f t="shared" si="7"/>
        <v>45.908023084641741</v>
      </c>
    </row>
    <row r="74" spans="1:19" x14ac:dyDescent="0.25">
      <c r="A74">
        <v>80</v>
      </c>
      <c r="B74">
        <v>2119.3789999999999</v>
      </c>
      <c r="C74">
        <v>1806.174</v>
      </c>
      <c r="D74">
        <v>1731.444</v>
      </c>
      <c r="E74">
        <v>1510.5540000000001</v>
      </c>
      <c r="F74">
        <v>1747.0340000000001</v>
      </c>
      <c r="H74" s="2">
        <f t="shared" si="4"/>
        <v>1782.9169999999999</v>
      </c>
      <c r="I74" s="2">
        <f t="shared" si="5"/>
        <v>97.945451318579217</v>
      </c>
      <c r="K74">
        <v>80</v>
      </c>
      <c r="L74">
        <v>2021.1210000000001</v>
      </c>
      <c r="M74">
        <v>1995.3040000000001</v>
      </c>
      <c r="N74">
        <v>2001.5930000000001</v>
      </c>
      <c r="O74">
        <v>2018.2090000000001</v>
      </c>
      <c r="P74">
        <v>1782.33</v>
      </c>
      <c r="R74" s="3">
        <f t="shared" si="6"/>
        <v>1963.7114000000001</v>
      </c>
      <c r="S74" s="3">
        <f t="shared" si="7"/>
        <v>45.606014316754347</v>
      </c>
    </row>
    <row r="75" spans="1:19" x14ac:dyDescent="0.25">
      <c r="A75">
        <v>81.25</v>
      </c>
      <c r="B75">
        <v>2057.8690000000001</v>
      </c>
      <c r="C75">
        <v>1876.3579999999999</v>
      </c>
      <c r="D75">
        <v>1758.4490000000001</v>
      </c>
      <c r="E75">
        <v>1579.299</v>
      </c>
      <c r="F75">
        <v>1780.547</v>
      </c>
      <c r="H75" s="2">
        <f t="shared" si="4"/>
        <v>1810.5043999999998</v>
      </c>
      <c r="I75" s="2">
        <f t="shared" si="5"/>
        <v>78.290832617618776</v>
      </c>
      <c r="K75">
        <v>81.25</v>
      </c>
      <c r="L75">
        <v>2087.6129999999998</v>
      </c>
      <c r="M75">
        <v>2001.789</v>
      </c>
      <c r="N75">
        <v>2145.5329999999999</v>
      </c>
      <c r="O75">
        <v>2091.6709999999998</v>
      </c>
      <c r="P75">
        <v>1837.405</v>
      </c>
      <c r="R75" s="3">
        <f t="shared" si="6"/>
        <v>2032.8022000000001</v>
      </c>
      <c r="S75" s="3">
        <f t="shared" si="7"/>
        <v>53.999943065155144</v>
      </c>
    </row>
    <row r="76" spans="1:19" x14ac:dyDescent="0.25">
      <c r="A76">
        <v>82.5</v>
      </c>
      <c r="B76">
        <v>2182.6280000000002</v>
      </c>
      <c r="C76">
        <v>2379.6170000000002</v>
      </c>
      <c r="D76">
        <v>2109.509</v>
      </c>
      <c r="E76">
        <v>1912.8889999999999</v>
      </c>
      <c r="F76">
        <v>2142.62</v>
      </c>
      <c r="H76" s="2">
        <f t="shared" si="4"/>
        <v>2145.4525999999996</v>
      </c>
      <c r="I76" s="2">
        <f t="shared" si="5"/>
        <v>74.699655501615311</v>
      </c>
      <c r="K76">
        <v>82.5</v>
      </c>
      <c r="L76">
        <v>2610.0050000000001</v>
      </c>
      <c r="M76">
        <v>2393.23</v>
      </c>
      <c r="N76">
        <v>2570.2530000000002</v>
      </c>
      <c r="O76">
        <v>2713.2220000000002</v>
      </c>
      <c r="P76">
        <v>2259.1590000000001</v>
      </c>
      <c r="R76" s="3">
        <f t="shared" si="6"/>
        <v>2509.1738</v>
      </c>
      <c r="S76" s="3">
        <f t="shared" si="7"/>
        <v>81.081327217430299</v>
      </c>
    </row>
    <row r="77" spans="1:19" x14ac:dyDescent="0.25">
      <c r="A77">
        <v>83.75</v>
      </c>
      <c r="B77">
        <v>2486.817</v>
      </c>
      <c r="C77">
        <v>3084.99</v>
      </c>
      <c r="D77">
        <v>2632.7080000000001</v>
      </c>
      <c r="E77">
        <v>2388.6179999999999</v>
      </c>
      <c r="F77">
        <v>2694.2750000000001</v>
      </c>
      <c r="H77" s="2">
        <f t="shared" si="4"/>
        <v>2657.4816000000001</v>
      </c>
      <c r="I77" s="2">
        <f t="shared" si="5"/>
        <v>119.61290873254435</v>
      </c>
      <c r="K77">
        <v>83.75</v>
      </c>
      <c r="L77">
        <v>3320.904</v>
      </c>
      <c r="M77">
        <v>2959.194</v>
      </c>
      <c r="N77">
        <v>3209.4250000000002</v>
      </c>
      <c r="O77">
        <v>3569.05</v>
      </c>
      <c r="P77">
        <v>2826.902</v>
      </c>
      <c r="R77" s="3">
        <f t="shared" si="6"/>
        <v>3177.0950000000003</v>
      </c>
      <c r="S77" s="3">
        <f t="shared" si="7"/>
        <v>131.42887096372704</v>
      </c>
    </row>
    <row r="78" spans="1:19" x14ac:dyDescent="0.25">
      <c r="A78">
        <v>85</v>
      </c>
      <c r="B78">
        <v>2697.627</v>
      </c>
      <c r="C78">
        <v>3505.5720000000001</v>
      </c>
      <c r="D78">
        <v>2959.0619999999999</v>
      </c>
      <c r="E78">
        <v>2671.056</v>
      </c>
      <c r="F78">
        <v>3041.7649999999999</v>
      </c>
      <c r="H78" s="2">
        <f t="shared" si="4"/>
        <v>2975.0164</v>
      </c>
      <c r="I78" s="2">
        <f t="shared" si="5"/>
        <v>150.91984083830792</v>
      </c>
      <c r="K78">
        <v>85</v>
      </c>
      <c r="L78">
        <v>3793.3409999999999</v>
      </c>
      <c r="M78">
        <v>3348.5940000000001</v>
      </c>
      <c r="N78">
        <v>3554.42</v>
      </c>
      <c r="O78">
        <v>4118.4110000000001</v>
      </c>
      <c r="P78">
        <v>3245.462</v>
      </c>
      <c r="R78" s="3">
        <f t="shared" si="6"/>
        <v>3612.0455999999999</v>
      </c>
      <c r="S78" s="3">
        <f t="shared" si="7"/>
        <v>157.54125356318576</v>
      </c>
    </row>
    <row r="79" spans="1:19" x14ac:dyDescent="0.25">
      <c r="A79">
        <v>86.25</v>
      </c>
      <c r="B79">
        <v>2652.3420000000001</v>
      </c>
      <c r="C79">
        <v>3435.223</v>
      </c>
      <c r="D79">
        <v>2898.5720000000001</v>
      </c>
      <c r="E79">
        <v>2591.5740000000001</v>
      </c>
      <c r="F79">
        <v>3000.5889999999999</v>
      </c>
      <c r="H79" s="2">
        <f t="shared" si="4"/>
        <v>2915.6600000000003</v>
      </c>
      <c r="I79" s="2">
        <f t="shared" si="5"/>
        <v>150.30281938040744</v>
      </c>
      <c r="K79">
        <v>86.25</v>
      </c>
      <c r="L79">
        <v>3737.81</v>
      </c>
      <c r="M79">
        <v>3264.433</v>
      </c>
      <c r="N79">
        <v>3484.779</v>
      </c>
      <c r="O79">
        <v>4039.2510000000002</v>
      </c>
      <c r="P79">
        <v>3165.9810000000002</v>
      </c>
      <c r="R79" s="3">
        <f t="shared" si="6"/>
        <v>3538.4508000000001</v>
      </c>
      <c r="S79" s="3">
        <f t="shared" si="7"/>
        <v>159.25531383423285</v>
      </c>
    </row>
    <row r="80" spans="1:19" x14ac:dyDescent="0.25">
      <c r="A80">
        <v>87.5</v>
      </c>
      <c r="B80">
        <v>2430.2710000000002</v>
      </c>
      <c r="C80">
        <v>2966.085</v>
      </c>
      <c r="D80">
        <v>2496.0509999999999</v>
      </c>
      <c r="E80">
        <v>2239.134</v>
      </c>
      <c r="F80">
        <v>2623.2350000000001</v>
      </c>
      <c r="H80" s="2">
        <f t="shared" si="4"/>
        <v>2550.9551999999999</v>
      </c>
      <c r="I80" s="2">
        <f t="shared" si="5"/>
        <v>120.90672611827681</v>
      </c>
      <c r="K80">
        <v>87.5</v>
      </c>
      <c r="L80">
        <v>3252.886</v>
      </c>
      <c r="M80">
        <v>2805.0529999999999</v>
      </c>
      <c r="N80">
        <v>3031.1669999999999</v>
      </c>
      <c r="O80">
        <v>3474.8290000000002</v>
      </c>
      <c r="P80">
        <v>2695.8510000000001</v>
      </c>
      <c r="R80" s="3">
        <f t="shared" si="6"/>
        <v>3051.9571999999998</v>
      </c>
      <c r="S80" s="3">
        <f t="shared" si="7"/>
        <v>142.72324337275973</v>
      </c>
    </row>
    <row r="81" spans="1:19" x14ac:dyDescent="0.25">
      <c r="A81">
        <v>88.75</v>
      </c>
      <c r="B81">
        <v>2232.8850000000002</v>
      </c>
      <c r="C81">
        <v>2558.0889999999999</v>
      </c>
      <c r="D81">
        <v>2141.1669999999999</v>
      </c>
      <c r="E81">
        <v>1918.9749999999999</v>
      </c>
      <c r="F81">
        <v>2255.3110000000001</v>
      </c>
      <c r="H81" s="2">
        <f t="shared" si="4"/>
        <v>2221.2853999999998</v>
      </c>
      <c r="I81" s="2">
        <f t="shared" si="5"/>
        <v>103.08721868282217</v>
      </c>
      <c r="K81">
        <v>88.75</v>
      </c>
      <c r="L81">
        <v>2735.8409999999999</v>
      </c>
      <c r="M81">
        <v>2471.11</v>
      </c>
      <c r="N81">
        <v>2544.299</v>
      </c>
      <c r="O81">
        <v>2939.7539999999999</v>
      </c>
      <c r="P81">
        <v>2254.4789999999998</v>
      </c>
      <c r="R81" s="3">
        <f t="shared" si="6"/>
        <v>2589.0965999999999</v>
      </c>
      <c r="S81" s="3">
        <f t="shared" si="7"/>
        <v>116.70285602357809</v>
      </c>
    </row>
    <row r="82" spans="1:19" x14ac:dyDescent="0.25">
      <c r="A82">
        <v>90</v>
      </c>
      <c r="B82">
        <v>2186.7310000000002</v>
      </c>
      <c r="C82">
        <v>2468.0630000000001</v>
      </c>
      <c r="D82">
        <v>2022.31</v>
      </c>
      <c r="E82">
        <v>1856.4469999999999</v>
      </c>
      <c r="F82">
        <v>2103.078</v>
      </c>
      <c r="H82" s="2">
        <f t="shared" si="4"/>
        <v>2127.3257999999996</v>
      </c>
      <c r="I82" s="2">
        <f t="shared" si="5"/>
        <v>101.14900286082907</v>
      </c>
      <c r="K82">
        <v>90</v>
      </c>
      <c r="L82">
        <v>2628.5990000000002</v>
      </c>
      <c r="M82">
        <v>2342.0839999999998</v>
      </c>
      <c r="N82">
        <v>2386.38</v>
      </c>
      <c r="O82">
        <v>2821.386</v>
      </c>
      <c r="P82">
        <v>2114.29</v>
      </c>
      <c r="R82" s="3">
        <f t="shared" si="6"/>
        <v>2458.5478000000003</v>
      </c>
      <c r="S82" s="3">
        <f t="shared" si="7"/>
        <v>122.03573471094442</v>
      </c>
    </row>
    <row r="83" spans="1:19" x14ac:dyDescent="0.25">
      <c r="A83">
        <v>91.25</v>
      </c>
      <c r="B83">
        <v>2253.79</v>
      </c>
      <c r="C83">
        <v>2556.9270000000001</v>
      </c>
      <c r="D83">
        <v>2082.6819999999998</v>
      </c>
      <c r="E83">
        <v>1932.126</v>
      </c>
      <c r="F83">
        <v>2162.06</v>
      </c>
      <c r="H83" s="2">
        <f t="shared" si="4"/>
        <v>2197.5169999999998</v>
      </c>
      <c r="I83" s="2">
        <f t="shared" si="5"/>
        <v>104.21584754345189</v>
      </c>
      <c r="K83">
        <v>91.25</v>
      </c>
      <c r="L83">
        <v>2730.6610000000001</v>
      </c>
      <c r="M83">
        <v>2407.7550000000001</v>
      </c>
      <c r="N83">
        <v>2457.1729999999998</v>
      </c>
      <c r="O83">
        <v>2923.473</v>
      </c>
      <c r="P83">
        <v>2186.8939999999998</v>
      </c>
      <c r="R83" s="3">
        <f t="shared" si="6"/>
        <v>2541.1912000000002</v>
      </c>
      <c r="S83" s="3">
        <f t="shared" si="7"/>
        <v>128.92419537324986</v>
      </c>
    </row>
    <row r="84" spans="1:19" x14ac:dyDescent="0.25">
      <c r="A84">
        <v>92.5</v>
      </c>
      <c r="B84">
        <v>2471.9430000000002</v>
      </c>
      <c r="C84">
        <v>2686.712</v>
      </c>
      <c r="D84">
        <v>2239.0439999999999</v>
      </c>
      <c r="E84">
        <v>2077.8670000000002</v>
      </c>
      <c r="F84">
        <v>2346.3290000000002</v>
      </c>
      <c r="H84" s="2">
        <f t="shared" si="4"/>
        <v>2364.3789999999999</v>
      </c>
      <c r="I84" s="2">
        <f t="shared" si="5"/>
        <v>103.34223915079447</v>
      </c>
      <c r="K84">
        <v>92.5</v>
      </c>
      <c r="L84">
        <v>2861.471</v>
      </c>
      <c r="M84">
        <v>2565.2510000000002</v>
      </c>
      <c r="N84">
        <v>2632.9650000000001</v>
      </c>
      <c r="O84">
        <v>3071.915</v>
      </c>
      <c r="P84">
        <v>2335.7919999999999</v>
      </c>
      <c r="R84" s="3">
        <f t="shared" si="6"/>
        <v>2693.4787999999999</v>
      </c>
      <c r="S84" s="3">
        <f t="shared" si="7"/>
        <v>126.38818621785818</v>
      </c>
    </row>
    <row r="85" spans="1:19" x14ac:dyDescent="0.25">
      <c r="A85">
        <v>93.75</v>
      </c>
      <c r="B85">
        <v>2864.076</v>
      </c>
      <c r="C85">
        <v>2949.64</v>
      </c>
      <c r="D85">
        <v>2594.413</v>
      </c>
      <c r="E85">
        <v>2394.5830000000001</v>
      </c>
      <c r="F85">
        <v>2696.596</v>
      </c>
      <c r="H85" s="2">
        <f t="shared" si="4"/>
        <v>2699.8616000000002</v>
      </c>
      <c r="I85" s="2">
        <f t="shared" si="5"/>
        <v>98.407498006300287</v>
      </c>
      <c r="K85">
        <v>93.75</v>
      </c>
      <c r="L85">
        <v>3166.1239999999998</v>
      </c>
      <c r="M85">
        <v>2902.9229999999998</v>
      </c>
      <c r="N85">
        <v>3016.078</v>
      </c>
      <c r="O85">
        <v>3390.299</v>
      </c>
      <c r="P85">
        <v>2659.973</v>
      </c>
      <c r="R85" s="3">
        <f t="shared" si="6"/>
        <v>3027.0793999999996</v>
      </c>
      <c r="S85" s="3">
        <f t="shared" si="7"/>
        <v>122.79349127645162</v>
      </c>
    </row>
    <row r="86" spans="1:19" x14ac:dyDescent="0.25">
      <c r="A86">
        <v>95</v>
      </c>
      <c r="B86">
        <v>3497.306</v>
      </c>
      <c r="C86">
        <v>3419.1179999999999</v>
      </c>
      <c r="D86">
        <v>3071.6970000000001</v>
      </c>
      <c r="E86">
        <v>2832.319</v>
      </c>
      <c r="F86">
        <v>3209.9879999999998</v>
      </c>
      <c r="H86" s="2">
        <f t="shared" si="4"/>
        <v>3206.0855999999994</v>
      </c>
      <c r="I86" s="2">
        <f t="shared" si="5"/>
        <v>119.99356662696546</v>
      </c>
      <c r="K86">
        <v>95</v>
      </c>
      <c r="L86">
        <v>3662.2950000000001</v>
      </c>
      <c r="M86">
        <v>3491.9659999999999</v>
      </c>
      <c r="N86">
        <v>3480.9319999999998</v>
      </c>
      <c r="O86">
        <v>3908.8980000000001</v>
      </c>
      <c r="P86">
        <v>3187.4859999999999</v>
      </c>
      <c r="R86" s="3">
        <f t="shared" si="6"/>
        <v>3546.3154000000004</v>
      </c>
      <c r="S86" s="3">
        <f t="shared" si="7"/>
        <v>118.51261410060961</v>
      </c>
    </row>
    <row r="87" spans="1:19" x14ac:dyDescent="0.25">
      <c r="A87">
        <v>96.25</v>
      </c>
      <c r="B87">
        <v>4108.4080000000004</v>
      </c>
      <c r="C87">
        <v>3879.828</v>
      </c>
      <c r="D87">
        <v>3526.0390000000002</v>
      </c>
      <c r="E87">
        <v>3242.453</v>
      </c>
      <c r="F87">
        <v>3629.7150000000001</v>
      </c>
      <c r="H87" s="2">
        <f t="shared" si="4"/>
        <v>3677.2885999999999</v>
      </c>
      <c r="I87" s="2">
        <f t="shared" si="5"/>
        <v>148.51057766253558</v>
      </c>
      <c r="K87">
        <v>96.25</v>
      </c>
      <c r="L87">
        <v>4185.3270000000002</v>
      </c>
      <c r="M87">
        <v>4091.7109999999998</v>
      </c>
      <c r="N87">
        <v>3884.4679999999998</v>
      </c>
      <c r="O87">
        <v>4399.4369999999999</v>
      </c>
      <c r="P87">
        <v>3622.056</v>
      </c>
      <c r="R87" s="3">
        <f t="shared" si="6"/>
        <v>4036.5998</v>
      </c>
      <c r="S87" s="3">
        <f t="shared" si="7"/>
        <v>132.62701549435542</v>
      </c>
    </row>
    <row r="88" spans="1:19" x14ac:dyDescent="0.25">
      <c r="A88">
        <v>97.5</v>
      </c>
      <c r="B88">
        <v>4734.9279999999999</v>
      </c>
      <c r="C88">
        <v>4322.2539999999999</v>
      </c>
      <c r="D88">
        <v>3915.2420000000002</v>
      </c>
      <c r="E88">
        <v>3597.4470000000001</v>
      </c>
      <c r="F88">
        <v>4009.0790000000002</v>
      </c>
      <c r="H88" s="2">
        <f t="shared" si="4"/>
        <v>4115.79</v>
      </c>
      <c r="I88" s="2">
        <f t="shared" si="5"/>
        <v>193.16384881933777</v>
      </c>
      <c r="K88">
        <v>97.5</v>
      </c>
      <c r="L88">
        <v>4620.384</v>
      </c>
      <c r="M88">
        <v>4586.8919999999998</v>
      </c>
      <c r="N88">
        <v>4317.5929999999998</v>
      </c>
      <c r="O88">
        <v>4741.1670000000004</v>
      </c>
      <c r="P88">
        <v>4000.8609999999999</v>
      </c>
      <c r="R88" s="3">
        <f t="shared" si="6"/>
        <v>4453.3793999999998</v>
      </c>
      <c r="S88" s="3">
        <f t="shared" si="7"/>
        <v>132.61762745902226</v>
      </c>
    </row>
    <row r="89" spans="1:19" x14ac:dyDescent="0.25">
      <c r="A89">
        <v>98.75</v>
      </c>
      <c r="B89">
        <v>5170.799</v>
      </c>
      <c r="C89">
        <v>4664.3779999999997</v>
      </c>
      <c r="D89">
        <v>4224.01</v>
      </c>
      <c r="E89">
        <v>3848.4450000000002</v>
      </c>
      <c r="F89">
        <v>4319.6880000000001</v>
      </c>
      <c r="H89" s="2">
        <f t="shared" si="4"/>
        <v>4445.4639999999999</v>
      </c>
      <c r="I89" s="2">
        <f t="shared" si="5"/>
        <v>223.08376949858987</v>
      </c>
      <c r="K89">
        <v>98.75</v>
      </c>
      <c r="L89">
        <v>5054.3419999999996</v>
      </c>
      <c r="M89">
        <v>5008.4660000000003</v>
      </c>
      <c r="N89">
        <v>4687.6170000000002</v>
      </c>
      <c r="O89">
        <v>5157.32</v>
      </c>
      <c r="P89">
        <v>4300.4480000000003</v>
      </c>
      <c r="R89" s="3">
        <f t="shared" si="6"/>
        <v>4841.6386000000002</v>
      </c>
      <c r="S89" s="3">
        <f t="shared" si="7"/>
        <v>156.41911373984948</v>
      </c>
    </row>
    <row r="90" spans="1:19" x14ac:dyDescent="0.25">
      <c r="A90">
        <v>100</v>
      </c>
      <c r="B90">
        <v>5339.241</v>
      </c>
      <c r="C90">
        <v>4827.5290000000005</v>
      </c>
      <c r="D90">
        <v>4296.16</v>
      </c>
      <c r="E90">
        <v>3915.855</v>
      </c>
      <c r="F90">
        <v>4487.1009999999997</v>
      </c>
      <c r="H90" s="2">
        <f t="shared" si="4"/>
        <v>4573.1772000000001</v>
      </c>
      <c r="I90" s="2">
        <f t="shared" si="5"/>
        <v>241.63699010590236</v>
      </c>
      <c r="K90">
        <v>100</v>
      </c>
      <c r="L90">
        <v>5243.0969999999998</v>
      </c>
      <c r="M90">
        <v>5121.835</v>
      </c>
      <c r="N90">
        <v>4873.665</v>
      </c>
      <c r="O90">
        <v>5370.7179999999998</v>
      </c>
      <c r="P90">
        <v>4475.4120000000003</v>
      </c>
      <c r="R90" s="3">
        <f t="shared" si="6"/>
        <v>5016.9454000000005</v>
      </c>
      <c r="S90" s="3">
        <f t="shared" si="7"/>
        <v>158.28599483548749</v>
      </c>
    </row>
    <row r="91" spans="1:19" x14ac:dyDescent="0.25">
      <c r="A91">
        <v>101.25</v>
      </c>
      <c r="B91">
        <v>5147.78</v>
      </c>
      <c r="C91">
        <v>4651.6559999999999</v>
      </c>
      <c r="D91">
        <v>4077.3110000000001</v>
      </c>
      <c r="E91">
        <v>3776.6660000000002</v>
      </c>
      <c r="F91">
        <v>4330.7359999999999</v>
      </c>
      <c r="H91" s="2">
        <f t="shared" si="4"/>
        <v>4396.8298000000004</v>
      </c>
      <c r="I91" s="2">
        <f t="shared" si="5"/>
        <v>236.63541449546304</v>
      </c>
      <c r="K91">
        <v>101.25</v>
      </c>
      <c r="L91">
        <v>5028.3140000000003</v>
      </c>
      <c r="M91">
        <v>4894.5839999999998</v>
      </c>
      <c r="N91">
        <v>4717.4409999999998</v>
      </c>
      <c r="O91">
        <v>5176.1080000000002</v>
      </c>
      <c r="P91">
        <v>4313.97</v>
      </c>
      <c r="R91" s="3">
        <f t="shared" si="6"/>
        <v>4826.0834000000004</v>
      </c>
      <c r="S91" s="3">
        <f t="shared" si="7"/>
        <v>148.68928574702349</v>
      </c>
    </row>
    <row r="92" spans="1:19" x14ac:dyDescent="0.25">
      <c r="A92">
        <v>102.5</v>
      </c>
      <c r="B92">
        <v>4691.8869999999997</v>
      </c>
      <c r="C92">
        <v>4223.5140000000001</v>
      </c>
      <c r="D92">
        <v>3669.48</v>
      </c>
      <c r="E92">
        <v>3482.3670000000002</v>
      </c>
      <c r="F92">
        <v>3935.0630000000001</v>
      </c>
      <c r="H92" s="2">
        <f t="shared" si="4"/>
        <v>4000.4622000000004</v>
      </c>
      <c r="I92" s="2">
        <f t="shared" si="5"/>
        <v>213.31540824314422</v>
      </c>
      <c r="K92">
        <v>102.5</v>
      </c>
      <c r="L92">
        <v>4557.2290000000003</v>
      </c>
      <c r="M92">
        <v>4388.0600000000004</v>
      </c>
      <c r="N92">
        <v>4285.8389999999999</v>
      </c>
      <c r="O92">
        <v>4675.8670000000002</v>
      </c>
      <c r="P92">
        <v>3897.5320000000002</v>
      </c>
      <c r="R92" s="3">
        <f t="shared" si="6"/>
        <v>4360.9054000000006</v>
      </c>
      <c r="S92" s="3">
        <f t="shared" si="7"/>
        <v>133.94607309085254</v>
      </c>
    </row>
    <row r="93" spans="1:19" x14ac:dyDescent="0.25">
      <c r="A93">
        <v>103.75</v>
      </c>
      <c r="B93">
        <v>4145.0600000000004</v>
      </c>
      <c r="C93">
        <v>3723.85</v>
      </c>
      <c r="D93">
        <v>3184.4679999999998</v>
      </c>
      <c r="E93">
        <v>3134.0349999999999</v>
      </c>
      <c r="F93">
        <v>3454.08</v>
      </c>
      <c r="H93" s="2">
        <f t="shared" si="4"/>
        <v>3528.2986000000005</v>
      </c>
      <c r="I93" s="2">
        <f t="shared" si="5"/>
        <v>186.78953971504868</v>
      </c>
      <c r="K93">
        <v>103.75</v>
      </c>
      <c r="L93">
        <v>3970.2469999999998</v>
      </c>
      <c r="M93">
        <v>3798.252</v>
      </c>
      <c r="N93">
        <v>3723.51</v>
      </c>
      <c r="O93">
        <v>4072.3980000000001</v>
      </c>
      <c r="P93">
        <v>3382.5680000000002</v>
      </c>
      <c r="R93" s="3">
        <f t="shared" si="6"/>
        <v>3789.3949999999995</v>
      </c>
      <c r="S93" s="3">
        <f t="shared" si="7"/>
        <v>118.89609571302158</v>
      </c>
    </row>
    <row r="94" spans="1:19" x14ac:dyDescent="0.25">
      <c r="A94">
        <v>105</v>
      </c>
      <c r="B94">
        <v>3665.9969999999998</v>
      </c>
      <c r="C94">
        <v>3323.0349999999999</v>
      </c>
      <c r="D94">
        <v>2805.692</v>
      </c>
      <c r="E94">
        <v>2855.556</v>
      </c>
      <c r="F94">
        <v>3086.0610000000001</v>
      </c>
      <c r="H94" s="2">
        <f t="shared" si="4"/>
        <v>3147.2681999999995</v>
      </c>
      <c r="I94" s="2">
        <f t="shared" si="5"/>
        <v>158.97958442812782</v>
      </c>
      <c r="K94">
        <v>105</v>
      </c>
      <c r="L94">
        <v>3453.3020000000001</v>
      </c>
      <c r="M94">
        <v>3357.5639999999999</v>
      </c>
      <c r="N94">
        <v>3178.6689999999999</v>
      </c>
      <c r="O94">
        <v>3557.712</v>
      </c>
      <c r="P94">
        <v>2944.2370000000001</v>
      </c>
      <c r="R94" s="3">
        <f t="shared" si="6"/>
        <v>3298.2968000000001</v>
      </c>
      <c r="S94" s="3">
        <f t="shared" si="7"/>
        <v>108.28310383499357</v>
      </c>
    </row>
    <row r="95" spans="1:19" x14ac:dyDescent="0.25">
      <c r="A95">
        <v>106.25</v>
      </c>
      <c r="B95">
        <v>3335.893</v>
      </c>
      <c r="C95">
        <v>3060.5479999999998</v>
      </c>
      <c r="D95">
        <v>2578.9299999999998</v>
      </c>
      <c r="E95">
        <v>2656.279</v>
      </c>
      <c r="F95">
        <v>2838.66</v>
      </c>
      <c r="H95" s="2">
        <f t="shared" si="4"/>
        <v>2894.0619999999999</v>
      </c>
      <c r="I95" s="2">
        <f t="shared" si="5"/>
        <v>138.17570967322732</v>
      </c>
      <c r="K95">
        <v>106.25</v>
      </c>
      <c r="L95">
        <v>3148.0430000000001</v>
      </c>
      <c r="M95">
        <v>3083.4879999999998</v>
      </c>
      <c r="N95">
        <v>2831.68</v>
      </c>
      <c r="O95">
        <v>3257.5140000000001</v>
      </c>
      <c r="P95">
        <v>2667.32</v>
      </c>
      <c r="R95" s="3">
        <f t="shared" si="6"/>
        <v>2997.6089999999995</v>
      </c>
      <c r="S95" s="3">
        <f t="shared" si="7"/>
        <v>108.20800723236705</v>
      </c>
    </row>
    <row r="96" spans="1:19" x14ac:dyDescent="0.25">
      <c r="A96">
        <v>107.5</v>
      </c>
      <c r="B96">
        <v>3084.0430000000001</v>
      </c>
      <c r="C96">
        <v>2845.7040000000002</v>
      </c>
      <c r="D96">
        <v>2392.8359999999998</v>
      </c>
      <c r="E96">
        <v>2487.893</v>
      </c>
      <c r="F96">
        <v>2639.4580000000001</v>
      </c>
      <c r="H96" s="2">
        <f t="shared" si="4"/>
        <v>2689.9868000000001</v>
      </c>
      <c r="I96" s="2">
        <f t="shared" si="5"/>
        <v>124.74409739598909</v>
      </c>
      <c r="K96">
        <v>107.5</v>
      </c>
      <c r="L96">
        <v>2952.9670000000001</v>
      </c>
      <c r="M96">
        <v>2874.7849999999999</v>
      </c>
      <c r="N96">
        <v>2606.5390000000002</v>
      </c>
      <c r="O96">
        <v>3025.1370000000002</v>
      </c>
      <c r="P96">
        <v>2469.77</v>
      </c>
      <c r="R96" s="3">
        <f t="shared" si="6"/>
        <v>2785.8396000000002</v>
      </c>
      <c r="S96" s="3">
        <f t="shared" si="7"/>
        <v>106.10249640399607</v>
      </c>
    </row>
  </sheetData>
  <mergeCells count="2">
    <mergeCell ref="A1:F1"/>
    <mergeCell ref="K1:P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BRIGHT</vt:lpstr>
      <vt:lpstr>BRIGHT!OCT_RAW___\AD13__to_do\_dark_profiles_AD13_DARK</vt:lpstr>
      <vt:lpstr>BRIGHT!OCT_RAW___\AD13__to_do\_light_profiles_AD13_LIGHT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</dc:creator>
  <cp:lastModifiedBy>Dave</cp:lastModifiedBy>
  <dcterms:created xsi:type="dcterms:W3CDTF">2015-06-05T18:17:20Z</dcterms:created>
  <dcterms:modified xsi:type="dcterms:W3CDTF">2019-11-17T02:58:37Z</dcterms:modified>
</cp:coreProperties>
</file>