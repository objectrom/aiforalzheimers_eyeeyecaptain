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620\"/>
    </mc:Choice>
  </mc:AlternateContent>
  <xr:revisionPtr revIDLastSave="0" documentId="13_ncr:1_{645E70E6-1E72-4829-A604-896B2275F506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6\_dark_profiles_AD06_DARK" localSheetId="0">BRIGHT!$A$2:$F$96</definedName>
    <definedName name="OCT_RAW___\AD06\_fovea_dark_profiles_AD06_DARK" localSheetId="0">BRIGHT!#REF!</definedName>
    <definedName name="OCT_RAW___\AD06\_fovea_light_profiles_AD06_LIGHT" localSheetId="0">BRIGHT!#REF!</definedName>
    <definedName name="OCT_RAW___\AD06\_light_profiles_AD06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E462E-29BD-4F45-AFBC-2324D833C8A2}" name="[[[OCT RAW]]]\AD06\_dark_profiles_AD06_DARK" type="6" refreshedVersion="6" background="1" saveData="1">
    <textPr codePage="437" sourceFile="E:\[Documents]\[[[OCT RAW]]]\AD06\_dark_profiles_AD06_DARK.txt" space="1" consecutive="1">
      <textFields count="6">
        <textField/>
        <textField/>
        <textField/>
        <textField/>
        <textField/>
        <textField/>
      </textFields>
    </textPr>
  </connection>
  <connection id="2" xr16:uid="{FD28C1DA-690F-4967-AEB0-AD9C0323E488}" name="[[[OCT RAW]]]\AD06\_light_profiles_AD06_LIGHT" type="6" refreshedVersion="6" background="1" saveData="1">
    <textPr codePage="437" sourceFile="E:\[Documents]\[[[OCT RAW]]]\AD06\_light_profiles_AD06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<sst xmlns="http://schemas.openxmlformats.org/spreadsheetml/2006/main" count="12" uniqueCount="8">
  <si>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</si>
  <si>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</si>
  <si>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</si>
  <si>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</si>
  <si>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</si>
  <si>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</si>
  <si>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AD620_DARK</t>
  </si>
  <si>
    <t>AD620_LIGHT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</si>
</sst>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608.30880000000002</c:v>
                </c:pt>
                <c:pt idx="1">
                  <c:v>833.04660000000001</c:v>
                </c:pt>
                <c:pt idx="2">
                  <c:v>1419.9603999999999</c:v>
                </c:pt>
                <c:pt idx="3">
                  <c:v>2078.3015999999998</c:v>
                </c:pt>
                <c:pt idx="4">
                  <c:v>2781.5953999999997</c:v>
                </c:pt>
                <c:pt idx="5">
                  <c:v>3253.5136000000002</c:v>
                </c:pt>
                <c:pt idx="6">
                  <c:v>3478.4929999999999</c:v>
                </c:pt>
                <c:pt idx="7">
                  <c:v>3588.835</c:v>
                </c:pt>
                <c:pt idx="8">
                  <c:v>3625.9962</c:v>
                </c:pt>
                <c:pt idx="9">
                  <c:v>3587.5448000000006</c:v>
                </c:pt>
                <c:pt idx="10">
                  <c:v>3416.4425999999999</c:v>
                </c:pt>
                <c:pt idx="11">
                  <c:v>3077.1432</c:v>
                </c:pt>
                <c:pt idx="12">
                  <c:v>2832.7040000000002</c:v>
                </c:pt>
                <c:pt idx="13">
                  <c:v>2716.9081999999999</c:v>
                </c:pt>
                <c:pt idx="14">
                  <c:v>2656.0910000000003</c:v>
                </c:pt>
                <c:pt idx="15">
                  <c:v>2638.9000000000005</c:v>
                </c:pt>
                <c:pt idx="16">
                  <c:v>2656.0299999999997</c:v>
                </c:pt>
                <c:pt idx="17">
                  <c:v>2686.2272000000003</c:v>
                </c:pt>
                <c:pt idx="18">
                  <c:v>2703.5940000000001</c:v>
                </c:pt>
                <c:pt idx="19">
                  <c:v>2716.7038000000002</c:v>
                </c:pt>
                <c:pt idx="20">
                  <c:v>2731.6158</c:v>
                </c:pt>
                <c:pt idx="21">
                  <c:v>2725.5644000000002</c:v>
                </c:pt>
                <c:pt idx="22">
                  <c:v>2699.0506</c:v>
                </c:pt>
                <c:pt idx="23">
                  <c:v>2695.8269999999998</c:v>
                </c:pt>
                <c:pt idx="24">
                  <c:v>2722.6950000000006</c:v>
                </c:pt>
                <c:pt idx="25">
                  <c:v>2748.0441999999998</c:v>
                </c:pt>
                <c:pt idx="26">
                  <c:v>2744.1498000000001</c:v>
                </c:pt>
                <c:pt idx="27">
                  <c:v>2757.8563999999997</c:v>
                </c:pt>
                <c:pt idx="28">
                  <c:v>2788.5563999999999</c:v>
                </c:pt>
                <c:pt idx="29">
                  <c:v>2803.0323999999996</c:v>
                </c:pt>
                <c:pt idx="30">
                  <c:v>2803.5533999999998</c:v>
                </c:pt>
                <c:pt idx="31">
                  <c:v>2763.9733999999999</c:v>
                </c:pt>
                <c:pt idx="32">
                  <c:v>2641.4715999999999</c:v>
                </c:pt>
                <c:pt idx="33">
                  <c:v>2460.1642000000002</c:v>
                </c:pt>
                <c:pt idx="34">
                  <c:v>2272.1373999999996</c:v>
                </c:pt>
                <c:pt idx="35">
                  <c:v>2154.6145999999999</c:v>
                </c:pt>
                <c:pt idx="36">
                  <c:v>2109.002</c:v>
                </c:pt>
                <c:pt idx="37">
                  <c:v>2105.6143999999999</c:v>
                </c:pt>
                <c:pt idx="38">
                  <c:v>2122.1494000000002</c:v>
                </c:pt>
                <c:pt idx="39">
                  <c:v>2157.2527999999998</c:v>
                </c:pt>
                <c:pt idx="40">
                  <c:v>2223.125</c:v>
                </c:pt>
                <c:pt idx="41">
                  <c:v>2321.6217999999999</c:v>
                </c:pt>
                <c:pt idx="42">
                  <c:v>2427.6304</c:v>
                </c:pt>
                <c:pt idx="43">
                  <c:v>2499.6722</c:v>
                </c:pt>
                <c:pt idx="44">
                  <c:v>2551.1970000000001</c:v>
                </c:pt>
                <c:pt idx="45">
                  <c:v>2600.9358000000002</c:v>
                </c:pt>
                <c:pt idx="46">
                  <c:v>2631.4675999999999</c:v>
                </c:pt>
                <c:pt idx="47">
                  <c:v>2618.7480000000005</c:v>
                </c:pt>
                <c:pt idx="48">
                  <c:v>2540.8063999999999</c:v>
                </c:pt>
                <c:pt idx="49">
                  <c:v>2404.6505999999999</c:v>
                </c:pt>
                <c:pt idx="50">
                  <c:v>2311.5101999999997</c:v>
                </c:pt>
                <c:pt idx="51">
                  <c:v>2229.9954000000007</c:v>
                </c:pt>
                <c:pt idx="52">
                  <c:v>2161.8989999999999</c:v>
                </c:pt>
                <c:pt idx="53">
                  <c:v>2103.7368000000001</c:v>
                </c:pt>
                <c:pt idx="54">
                  <c:v>2038.9618000000003</c:v>
                </c:pt>
                <c:pt idx="55">
                  <c:v>1979.1522</c:v>
                </c:pt>
                <c:pt idx="56">
                  <c:v>1912.0114000000001</c:v>
                </c:pt>
                <c:pt idx="57">
                  <c:v>1838.6366000000003</c:v>
                </c:pt>
                <c:pt idx="58">
                  <c:v>1763.0351999999998</c:v>
                </c:pt>
                <c:pt idx="59">
                  <c:v>1700.9517999999996</c:v>
                </c:pt>
                <c:pt idx="60">
                  <c:v>1681.7380000000001</c:v>
                </c:pt>
                <c:pt idx="61">
                  <c:v>1715.4177999999999</c:v>
                </c:pt>
                <c:pt idx="62">
                  <c:v>1793.3984</c:v>
                </c:pt>
                <c:pt idx="63">
                  <c:v>1933.8337999999999</c:v>
                </c:pt>
                <c:pt idx="64">
                  <c:v>2084.2406000000001</c:v>
                </c:pt>
                <c:pt idx="65">
                  <c:v>2153.3012000000003</c:v>
                </c:pt>
                <c:pt idx="66">
                  <c:v>2102.9738000000002</c:v>
                </c:pt>
                <c:pt idx="67">
                  <c:v>2010.6416000000002</c:v>
                </c:pt>
                <c:pt idx="68">
                  <c:v>2116.6498000000001</c:v>
                </c:pt>
                <c:pt idx="69">
                  <c:v>2678.0387999999994</c:v>
                </c:pt>
                <c:pt idx="70">
                  <c:v>3476.3686000000002</c:v>
                </c:pt>
                <c:pt idx="71">
                  <c:v>4046.2549999999997</c:v>
                </c:pt>
                <c:pt idx="72">
                  <c:v>4124.8173999999999</c:v>
                </c:pt>
                <c:pt idx="73">
                  <c:v>3788.4708000000001</c:v>
                </c:pt>
                <c:pt idx="74">
                  <c:v>3411.3735999999999</c:v>
                </c:pt>
                <c:pt idx="75">
                  <c:v>3272.7820000000002</c:v>
                </c:pt>
                <c:pt idx="76">
                  <c:v>3295.6804000000002</c:v>
                </c:pt>
                <c:pt idx="77">
                  <c:v>3390.2094000000006</c:v>
                </c:pt>
                <c:pt idx="78">
                  <c:v>3532.3057999999996</c:v>
                </c:pt>
                <c:pt idx="79">
                  <c:v>3692.2220000000002</c:v>
                </c:pt>
                <c:pt idx="80">
                  <c:v>3905.9603999999999</c:v>
                </c:pt>
                <c:pt idx="81">
                  <c:v>4218.5865999999996</c:v>
                </c:pt>
                <c:pt idx="82">
                  <c:v>4482.2687999999998</c:v>
                </c:pt>
                <c:pt idx="83">
                  <c:v>4537.1604000000007</c:v>
                </c:pt>
                <c:pt idx="84">
                  <c:v>4376.2435999999998</c:v>
                </c:pt>
                <c:pt idx="85">
                  <c:v>4016.8952000000004</c:v>
                </c:pt>
                <c:pt idx="86">
                  <c:v>3533.7143999999998</c:v>
                </c:pt>
                <c:pt idx="87">
                  <c:v>3093.9674</c:v>
                </c:pt>
                <c:pt idx="88">
                  <c:v>2811.2458000000001</c:v>
                </c:pt>
                <c:pt idx="89">
                  <c:v>2620.3712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655.24860000000001</c:v>
                </c:pt>
                <c:pt idx="1">
                  <c:v>814.10540000000003</c:v>
                </c:pt>
                <c:pt idx="2">
                  <c:v>1341.0872000000002</c:v>
                </c:pt>
                <c:pt idx="3">
                  <c:v>1996.9</c:v>
                </c:pt>
                <c:pt idx="4">
                  <c:v>2666.7120000000004</c:v>
                </c:pt>
                <c:pt idx="5">
                  <c:v>3103.6394</c:v>
                </c:pt>
                <c:pt idx="6">
                  <c:v>3303.3086000000003</c:v>
                </c:pt>
                <c:pt idx="7">
                  <c:v>3388.7652000000003</c:v>
                </c:pt>
                <c:pt idx="8">
                  <c:v>3427.72</c:v>
                </c:pt>
                <c:pt idx="9">
                  <c:v>3388.8270000000002</c:v>
                </c:pt>
                <c:pt idx="10">
                  <c:v>3233.3429999999998</c:v>
                </c:pt>
                <c:pt idx="11">
                  <c:v>2927.0147999999999</c:v>
                </c:pt>
                <c:pt idx="12">
                  <c:v>2696.4793999999997</c:v>
                </c:pt>
                <c:pt idx="13">
                  <c:v>2585.3942000000002</c:v>
                </c:pt>
                <c:pt idx="14">
                  <c:v>2539.6771999999996</c:v>
                </c:pt>
                <c:pt idx="15">
                  <c:v>2518.2521999999999</c:v>
                </c:pt>
                <c:pt idx="16">
                  <c:v>2528.9546</c:v>
                </c:pt>
                <c:pt idx="17">
                  <c:v>2558.9292</c:v>
                </c:pt>
                <c:pt idx="18">
                  <c:v>2582.2131999999997</c:v>
                </c:pt>
                <c:pt idx="19">
                  <c:v>2597.2032000000004</c:v>
                </c:pt>
                <c:pt idx="20">
                  <c:v>2617.3854000000001</c:v>
                </c:pt>
                <c:pt idx="21">
                  <c:v>2615.1760000000004</c:v>
                </c:pt>
                <c:pt idx="22">
                  <c:v>2594.1626000000001</c:v>
                </c:pt>
                <c:pt idx="23">
                  <c:v>2573.1850000000004</c:v>
                </c:pt>
                <c:pt idx="24">
                  <c:v>2586.9492</c:v>
                </c:pt>
                <c:pt idx="25">
                  <c:v>2618.8610000000003</c:v>
                </c:pt>
                <c:pt idx="26">
                  <c:v>2630.9582</c:v>
                </c:pt>
                <c:pt idx="27">
                  <c:v>2642.4576000000002</c:v>
                </c:pt>
                <c:pt idx="28">
                  <c:v>2677.8256000000001</c:v>
                </c:pt>
                <c:pt idx="29">
                  <c:v>2691.9605999999999</c:v>
                </c:pt>
                <c:pt idx="30">
                  <c:v>2690.6718000000001</c:v>
                </c:pt>
                <c:pt idx="31">
                  <c:v>2655.8671999999997</c:v>
                </c:pt>
                <c:pt idx="32">
                  <c:v>2544.9488000000001</c:v>
                </c:pt>
                <c:pt idx="33">
                  <c:v>2358.7665999999999</c:v>
                </c:pt>
                <c:pt idx="34">
                  <c:v>2175.1758</c:v>
                </c:pt>
                <c:pt idx="35">
                  <c:v>2062.9947999999999</c:v>
                </c:pt>
                <c:pt idx="36">
                  <c:v>2026.7498000000001</c:v>
                </c:pt>
                <c:pt idx="37">
                  <c:v>2022.7273999999998</c:v>
                </c:pt>
                <c:pt idx="38">
                  <c:v>2025.4104</c:v>
                </c:pt>
                <c:pt idx="39">
                  <c:v>2055.3389999999999</c:v>
                </c:pt>
                <c:pt idx="40">
                  <c:v>2114.5623999999998</c:v>
                </c:pt>
                <c:pt idx="41">
                  <c:v>2211.8613999999998</c:v>
                </c:pt>
                <c:pt idx="42">
                  <c:v>2312.8258000000001</c:v>
                </c:pt>
                <c:pt idx="43">
                  <c:v>2379.3980000000001</c:v>
                </c:pt>
                <c:pt idx="44">
                  <c:v>2431.2898</c:v>
                </c:pt>
                <c:pt idx="45">
                  <c:v>2495.1891999999998</c:v>
                </c:pt>
                <c:pt idx="46">
                  <c:v>2543.0111999999999</c:v>
                </c:pt>
                <c:pt idx="47">
                  <c:v>2531.7706000000007</c:v>
                </c:pt>
                <c:pt idx="48">
                  <c:v>2459.1760000000004</c:v>
                </c:pt>
                <c:pt idx="49">
                  <c:v>2337.6938</c:v>
                </c:pt>
                <c:pt idx="50">
                  <c:v>2256.8306000000002</c:v>
                </c:pt>
                <c:pt idx="51">
                  <c:v>2187.4893999999999</c:v>
                </c:pt>
                <c:pt idx="52">
                  <c:v>2117.3723999999997</c:v>
                </c:pt>
                <c:pt idx="53">
                  <c:v>2046.2644</c:v>
                </c:pt>
                <c:pt idx="54">
                  <c:v>1975.6196</c:v>
                </c:pt>
                <c:pt idx="55">
                  <c:v>1909.345</c:v>
                </c:pt>
                <c:pt idx="56">
                  <c:v>1840.3399999999997</c:v>
                </c:pt>
                <c:pt idx="57">
                  <c:v>1759.0900000000001</c:v>
                </c:pt>
                <c:pt idx="58">
                  <c:v>1683.2714000000001</c:v>
                </c:pt>
                <c:pt idx="59">
                  <c:v>1630.5981999999999</c:v>
                </c:pt>
                <c:pt idx="60">
                  <c:v>1615.3996000000002</c:v>
                </c:pt>
                <c:pt idx="61">
                  <c:v>1652.6864</c:v>
                </c:pt>
                <c:pt idx="62">
                  <c:v>1728.0552</c:v>
                </c:pt>
                <c:pt idx="63">
                  <c:v>1860.5885999999998</c:v>
                </c:pt>
                <c:pt idx="64">
                  <c:v>2001.6044000000002</c:v>
                </c:pt>
                <c:pt idx="65">
                  <c:v>2062.5036</c:v>
                </c:pt>
                <c:pt idx="66">
                  <c:v>2012.9864000000002</c:v>
                </c:pt>
                <c:pt idx="67">
                  <c:v>1940.4374</c:v>
                </c:pt>
                <c:pt idx="68">
                  <c:v>2068.0369999999998</c:v>
                </c:pt>
                <c:pt idx="69">
                  <c:v>2632.2383999999997</c:v>
                </c:pt>
                <c:pt idx="70">
                  <c:v>3412.3782000000001</c:v>
                </c:pt>
                <c:pt idx="71">
                  <c:v>3951.9702000000007</c:v>
                </c:pt>
                <c:pt idx="72">
                  <c:v>3994.2149999999992</c:v>
                </c:pt>
                <c:pt idx="73">
                  <c:v>3649.5343999999996</c:v>
                </c:pt>
                <c:pt idx="74">
                  <c:v>3284.1762000000003</c:v>
                </c:pt>
                <c:pt idx="75">
                  <c:v>3142.4731999999999</c:v>
                </c:pt>
                <c:pt idx="76">
                  <c:v>3142.1783999999998</c:v>
                </c:pt>
                <c:pt idx="77">
                  <c:v>3242.9085999999998</c:v>
                </c:pt>
                <c:pt idx="78">
                  <c:v>3415.0769999999998</c:v>
                </c:pt>
                <c:pt idx="79">
                  <c:v>3591.9497999999999</c:v>
                </c:pt>
                <c:pt idx="80">
                  <c:v>3815.1979999999994</c:v>
                </c:pt>
                <c:pt idx="81">
                  <c:v>4136.7991999999995</c:v>
                </c:pt>
                <c:pt idx="82">
                  <c:v>4398.5825999999997</c:v>
                </c:pt>
                <c:pt idx="83">
                  <c:v>4446.3541999999998</c:v>
                </c:pt>
                <c:pt idx="84">
                  <c:v>4282.5347999999994</c:v>
                </c:pt>
                <c:pt idx="85">
                  <c:v>3945.9828000000007</c:v>
                </c:pt>
                <c:pt idx="86">
                  <c:v>3509.9440000000004</c:v>
                </c:pt>
                <c:pt idx="87">
                  <c:v>3117.5909999999999</c:v>
                </c:pt>
                <c:pt idx="88">
                  <c:v>2843.6361999999999</c:v>
                </c:pt>
                <c:pt idx="89">
                  <c:v>2652.1514000000002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6\_light_profiles_AD06_LIGHT" connectionId="2" xr16:uid="{F7C1C755-2D9B-45DC-9927-C9C3FC8857F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6\_dark_profiles_AD06_DARK" connectionId="1" xr16:uid="{4202C621-C167-48A2-B906-8803CE0BC9E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E5" sqref="E5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-6.3230000000000004</v>
      </c>
      <c r="C3">
        <v>-4.109</v>
      </c>
      <c r="D3">
        <v>-1.8</v>
      </c>
      <c r="E3">
        <v>-1.651</v>
      </c>
      <c r="F3">
        <v>-5.4279999999999999</v>
      </c>
      <c r="K3" t="s">
        <v>0</v>
      </c>
      <c r="L3">
        <v>-5.6109999999999998</v>
      </c>
      <c r="M3">
        <v>-3.3919999999999999</v>
      </c>
      <c r="N3">
        <v>-3.4710000000000001</v>
      </c>
      <c r="O3">
        <v>-4.9450000000000003</v>
      </c>
      <c r="P3">
        <v>-4.3079999999999998</v>
      </c>
    </row>
    <row r="4" spans="1:19" x14ac:dyDescent="0.25">
      <c r="A4" t="s">
        <v>1</v>
      </c>
      <c r="B4">
        <v>318.31</v>
      </c>
      <c r="C4">
        <v>319.51900000000001</v>
      </c>
      <c r="D4">
        <v>317.86200000000002</v>
      </c>
      <c r="E4">
        <v>317.93299999999999</v>
      </c>
      <c r="F4">
        <v>318.40199999999999</v>
      </c>
      <c r="H4" s="2">
        <f>AVERAGE(B4:F4)</f>
        <v>318.40520000000004</v>
      </c>
      <c r="I4" s="2">
        <f>STDEV(B4:F4)/SQRT(COUNT(B4:F4))</f>
        <v>0.29729302043606687</v>
      </c>
      <c r="K4" t="s">
        <v>1</v>
      </c>
      <c r="L4">
        <v>319.48099999999999</v>
      </c>
      <c r="M4">
        <v>318.25900000000001</v>
      </c>
      <c r="N4">
        <v>317.57299999999998</v>
      </c>
      <c r="O4">
        <v>319.39499999999998</v>
      </c>
      <c r="P4">
        <v>318.274</v>
      </c>
      <c r="R4" s="3">
        <f>AVERAGE(L4:P4)</f>
        <v>318.59640000000002</v>
      </c>
      <c r="S4" s="3">
        <f>STDEV(L4:P4)/SQRT(COUNT(L4:P4))</f>
        <v>0.36642920189308009</v>
      </c>
    </row>
    <row r="5" spans="1:19" x14ac:dyDescent="0.25">
      <c r="A5" t="s">
        <v>2</v>
      </c>
      <c r="B5">
        <v>66.790999999999997</v>
      </c>
      <c r="C5">
        <v>66.837999999999994</v>
      </c>
      <c r="D5">
        <v>66.688999999999993</v>
      </c>
      <c r="E5">
        <v>67.265000000000001</v>
      </c>
      <c r="F5">
        <v>66.903000000000006</v>
      </c>
      <c r="H5" s="2">
        <f t="shared" ref="H5:H68" si="0">AVERAGE(B5:F5)</f>
        <v>66.897199999999998</v>
      </c>
      <c r="I5" s="2">
        <f t="shared" ref="I5:I68" si="1">STDEV(B5:F5)/SQRT(COUNT(B5:F5))</f>
        <v>9.8346530187903639E-2</v>
      </c>
      <c r="K5" t="s">
        <v>2</v>
      </c>
      <c r="L5">
        <v>67.572000000000003</v>
      </c>
      <c r="M5">
        <v>66.936000000000007</v>
      </c>
      <c r="N5">
        <v>66.92</v>
      </c>
      <c r="O5">
        <v>67.128</v>
      </c>
      <c r="P5">
        <v>67.061000000000007</v>
      </c>
      <c r="R5" s="3">
        <f t="shared" ref="R5:R68" si="2">AVERAGE(L5:P5)</f>
        <v>67.12339999999999</v>
      </c>
      <c r="S5" s="3">
        <f t="shared" ref="S5:S68" si="3">STDEV(L5:P5)/SQRT(COUNT(L5:P5))</f>
        <v>0.11866911982483019</v>
      </c>
    </row>
    <row r="6" spans="1:19" x14ac:dyDescent="0.25">
      <c r="A6" t="s">
        <v>3</v>
      </c>
      <c r="B6">
        <v>37.021000000000001</v>
      </c>
      <c r="C6">
        <v>36.886000000000003</v>
      </c>
      <c r="D6">
        <v>36.792999999999999</v>
      </c>
      <c r="E6">
        <v>36.347999999999999</v>
      </c>
      <c r="F6">
        <v>36.770000000000003</v>
      </c>
      <c r="H6" s="2">
        <f t="shared" si="0"/>
        <v>36.763600000000004</v>
      </c>
      <c r="I6" s="2">
        <f t="shared" si="1"/>
        <v>0.11288604873942616</v>
      </c>
      <c r="K6" t="s">
        <v>3</v>
      </c>
      <c r="L6">
        <v>37.646000000000001</v>
      </c>
      <c r="M6">
        <v>36.220999999999997</v>
      </c>
      <c r="N6">
        <v>36.953000000000003</v>
      </c>
      <c r="O6">
        <v>36.884</v>
      </c>
      <c r="P6">
        <v>36.594999999999999</v>
      </c>
      <c r="R6" s="3">
        <f t="shared" si="2"/>
        <v>36.8598</v>
      </c>
      <c r="S6" s="3">
        <f t="shared" si="3"/>
        <v>0.2351134619710244</v>
      </c>
    </row>
    <row r="7" spans="1:19" x14ac:dyDescent="0.25">
      <c r="A7">
        <v>-3.75</v>
      </c>
      <c r="B7">
        <v>622.93399999999997</v>
      </c>
      <c r="C7">
        <v>740.46500000000003</v>
      </c>
      <c r="D7">
        <v>525.74900000000002</v>
      </c>
      <c r="E7">
        <v>587.572</v>
      </c>
      <c r="F7">
        <v>564.82399999999996</v>
      </c>
      <c r="H7" s="2">
        <f t="shared" si="0"/>
        <v>608.30880000000002</v>
      </c>
      <c r="I7" s="2">
        <f t="shared" si="1"/>
        <v>36.617086827600204</v>
      </c>
      <c r="K7">
        <v>-3.75</v>
      </c>
      <c r="L7">
        <v>565.57000000000005</v>
      </c>
      <c r="M7">
        <v>715.83900000000006</v>
      </c>
      <c r="N7">
        <v>563.28099999999995</v>
      </c>
      <c r="O7">
        <v>858.29899999999998</v>
      </c>
      <c r="P7">
        <v>573.25400000000002</v>
      </c>
      <c r="R7" s="3">
        <f t="shared" si="2"/>
        <v>655.24860000000001</v>
      </c>
      <c r="S7" s="3">
        <f t="shared" si="3"/>
        <v>58.362687861852379</v>
      </c>
    </row>
    <row r="8" spans="1:19" x14ac:dyDescent="0.25">
      <c r="A8">
        <v>-2.5</v>
      </c>
      <c r="B8">
        <v>723.63</v>
      </c>
      <c r="C8">
        <v>1021.499</v>
      </c>
      <c r="D8">
        <v>756.36400000000003</v>
      </c>
      <c r="E8">
        <v>854.99</v>
      </c>
      <c r="F8">
        <v>808.75</v>
      </c>
      <c r="H8" s="2">
        <f t="shared" si="0"/>
        <v>833.04660000000001</v>
      </c>
      <c r="I8" s="2">
        <f t="shared" si="1"/>
        <v>52.172003095146792</v>
      </c>
      <c r="K8">
        <v>-2.5</v>
      </c>
      <c r="L8">
        <v>648.26800000000003</v>
      </c>
      <c r="M8">
        <v>852.35599999999999</v>
      </c>
      <c r="N8">
        <v>766.48500000000001</v>
      </c>
      <c r="O8">
        <v>955.60699999999997</v>
      </c>
      <c r="P8">
        <v>847.81100000000004</v>
      </c>
      <c r="R8" s="3">
        <f t="shared" si="2"/>
        <v>814.10540000000003</v>
      </c>
      <c r="S8" s="3">
        <f t="shared" si="3"/>
        <v>51.181844637136564</v>
      </c>
    </row>
    <row r="9" spans="1:19" x14ac:dyDescent="0.25">
      <c r="A9">
        <v>-1.25</v>
      </c>
      <c r="B9">
        <v>1265.4860000000001</v>
      </c>
      <c r="C9">
        <v>1650.134</v>
      </c>
      <c r="D9">
        <v>1340.6980000000001</v>
      </c>
      <c r="E9">
        <v>1447.191</v>
      </c>
      <c r="F9">
        <v>1396.2929999999999</v>
      </c>
      <c r="H9" s="2">
        <f t="shared" si="0"/>
        <v>1419.9603999999999</v>
      </c>
      <c r="I9" s="2">
        <f t="shared" si="1"/>
        <v>64.971688390098024</v>
      </c>
      <c r="K9">
        <v>-1.25</v>
      </c>
      <c r="L9">
        <v>1152.498</v>
      </c>
      <c r="M9">
        <v>1419.91</v>
      </c>
      <c r="N9">
        <v>1303.3009999999999</v>
      </c>
      <c r="O9">
        <v>1451.337</v>
      </c>
      <c r="P9">
        <v>1378.39</v>
      </c>
      <c r="R9" s="3">
        <f t="shared" si="2"/>
        <v>1341.0872000000002</v>
      </c>
      <c r="S9" s="3">
        <f t="shared" si="3"/>
        <v>53.269707317949475</v>
      </c>
    </row>
    <row r="10" spans="1:19" x14ac:dyDescent="0.25">
      <c r="A10">
        <v>0</v>
      </c>
      <c r="B10">
        <v>1924.24</v>
      </c>
      <c r="C10">
        <v>2334.221</v>
      </c>
      <c r="D10">
        <v>2035.971</v>
      </c>
      <c r="E10">
        <v>2092.6909999999998</v>
      </c>
      <c r="F10">
        <v>2004.385</v>
      </c>
      <c r="H10" s="2">
        <f t="shared" si="0"/>
        <v>2078.3015999999998</v>
      </c>
      <c r="I10" s="2">
        <f t="shared" si="1"/>
        <v>69.531400883054275</v>
      </c>
      <c r="K10">
        <v>0</v>
      </c>
      <c r="L10">
        <v>1767.635</v>
      </c>
      <c r="M10">
        <v>2165.4940000000001</v>
      </c>
      <c r="N10">
        <v>1892.9549999999999</v>
      </c>
      <c r="O10">
        <v>2120.203</v>
      </c>
      <c r="P10">
        <v>2038.213</v>
      </c>
      <c r="R10" s="3">
        <f t="shared" si="2"/>
        <v>1996.9</v>
      </c>
      <c r="S10" s="3">
        <f t="shared" si="3"/>
        <v>73.722904807122205</v>
      </c>
    </row>
    <row r="11" spans="1:19" x14ac:dyDescent="0.25">
      <c r="A11">
        <v>1.25</v>
      </c>
      <c r="B11">
        <v>2567.3690000000001</v>
      </c>
      <c r="C11">
        <v>3122.797</v>
      </c>
      <c r="D11">
        <v>2767.0070000000001</v>
      </c>
      <c r="E11">
        <v>2828.183</v>
      </c>
      <c r="F11">
        <v>2622.6210000000001</v>
      </c>
      <c r="H11" s="2">
        <f t="shared" si="0"/>
        <v>2781.5953999999997</v>
      </c>
      <c r="I11" s="2">
        <f t="shared" si="1"/>
        <v>97.459624471675426</v>
      </c>
      <c r="K11">
        <v>1.25</v>
      </c>
      <c r="L11">
        <v>2370.1480000000001</v>
      </c>
      <c r="M11">
        <v>2888.1619999999998</v>
      </c>
      <c r="N11">
        <v>2545.7139999999999</v>
      </c>
      <c r="O11">
        <v>2809.9960000000001</v>
      </c>
      <c r="P11">
        <v>2719.54</v>
      </c>
      <c r="R11" s="3">
        <f t="shared" si="2"/>
        <v>2666.7120000000004</v>
      </c>
      <c r="S11" s="3">
        <f t="shared" si="3"/>
        <v>93.528585694428159</v>
      </c>
    </row>
    <row r="12" spans="1:19" x14ac:dyDescent="0.25">
      <c r="A12">
        <v>2.5</v>
      </c>
      <c r="B12">
        <v>3008.614</v>
      </c>
      <c r="C12">
        <v>3611.8449999999998</v>
      </c>
      <c r="D12">
        <v>3238.4920000000002</v>
      </c>
      <c r="E12">
        <v>3318.3919999999998</v>
      </c>
      <c r="F12">
        <v>3090.2249999999999</v>
      </c>
      <c r="H12" s="2">
        <f t="shared" si="0"/>
        <v>3253.5136000000002</v>
      </c>
      <c r="I12" s="2">
        <f t="shared" si="1"/>
        <v>104.75572262392156</v>
      </c>
      <c r="K12">
        <v>2.5</v>
      </c>
      <c r="L12">
        <v>2796.4679999999998</v>
      </c>
      <c r="M12">
        <v>3356.3119999999999</v>
      </c>
      <c r="N12">
        <v>2948.1930000000002</v>
      </c>
      <c r="O12">
        <v>3237.0140000000001</v>
      </c>
      <c r="P12">
        <v>3180.21</v>
      </c>
      <c r="R12" s="3">
        <f t="shared" si="2"/>
        <v>3103.6394</v>
      </c>
      <c r="S12" s="3">
        <f t="shared" si="3"/>
        <v>101.49215135940315</v>
      </c>
    </row>
    <row r="13" spans="1:19" x14ac:dyDescent="0.25">
      <c r="A13">
        <v>3.75</v>
      </c>
      <c r="B13">
        <v>3219.5819999999999</v>
      </c>
      <c r="C13">
        <v>3849.8620000000001</v>
      </c>
      <c r="D13">
        <v>3471.6970000000001</v>
      </c>
      <c r="E13">
        <v>3535.0149999999999</v>
      </c>
      <c r="F13">
        <v>3316.3090000000002</v>
      </c>
      <c r="H13" s="2">
        <f t="shared" si="0"/>
        <v>3478.4929999999999</v>
      </c>
      <c r="I13" s="2">
        <f t="shared" si="1"/>
        <v>108.28074899029836</v>
      </c>
      <c r="K13">
        <v>3.75</v>
      </c>
      <c r="L13">
        <v>2985.232</v>
      </c>
      <c r="M13">
        <v>3549.556</v>
      </c>
      <c r="N13">
        <v>3148.056</v>
      </c>
      <c r="O13">
        <v>3449.7649999999999</v>
      </c>
      <c r="P13">
        <v>3383.9340000000002</v>
      </c>
      <c r="R13" s="3">
        <f t="shared" si="2"/>
        <v>3303.3086000000003</v>
      </c>
      <c r="S13" s="3">
        <f t="shared" si="3"/>
        <v>103.40788352616062</v>
      </c>
    </row>
    <row r="14" spans="1:19" x14ac:dyDescent="0.25">
      <c r="A14">
        <v>5</v>
      </c>
      <c r="B14">
        <v>3320.5369999999998</v>
      </c>
      <c r="C14">
        <v>3974.0810000000001</v>
      </c>
      <c r="D14">
        <v>3593.5970000000002</v>
      </c>
      <c r="E14">
        <v>3625.39</v>
      </c>
      <c r="F14">
        <v>3430.57</v>
      </c>
      <c r="H14" s="2">
        <f t="shared" si="0"/>
        <v>3588.835</v>
      </c>
      <c r="I14" s="2">
        <f t="shared" si="1"/>
        <v>111.08668961986402</v>
      </c>
      <c r="K14">
        <v>5</v>
      </c>
      <c r="L14">
        <v>3057.7420000000002</v>
      </c>
      <c r="M14">
        <v>3632.877</v>
      </c>
      <c r="N14">
        <v>3226.8980000000001</v>
      </c>
      <c r="O14">
        <v>3537.4760000000001</v>
      </c>
      <c r="P14">
        <v>3488.8330000000001</v>
      </c>
      <c r="R14" s="3">
        <f t="shared" si="2"/>
        <v>3388.7652000000003</v>
      </c>
      <c r="S14" s="3">
        <f t="shared" si="3"/>
        <v>106.65279811303589</v>
      </c>
    </row>
    <row r="15" spans="1:19" x14ac:dyDescent="0.25">
      <c r="A15">
        <v>6.25</v>
      </c>
      <c r="B15">
        <v>3360.9160000000002</v>
      </c>
      <c r="C15">
        <v>4001.7190000000001</v>
      </c>
      <c r="D15">
        <v>3620.4189999999999</v>
      </c>
      <c r="E15">
        <v>3658.5219999999999</v>
      </c>
      <c r="F15">
        <v>3488.4050000000002</v>
      </c>
      <c r="H15" s="2">
        <f t="shared" si="0"/>
        <v>3625.9962</v>
      </c>
      <c r="I15" s="2">
        <f t="shared" si="1"/>
        <v>107.57683440564699</v>
      </c>
      <c r="K15">
        <v>6.25</v>
      </c>
      <c r="L15">
        <v>3065.873</v>
      </c>
      <c r="M15">
        <v>3690.855</v>
      </c>
      <c r="N15">
        <v>3239.701</v>
      </c>
      <c r="O15">
        <v>3594.8209999999999</v>
      </c>
      <c r="P15">
        <v>3547.35</v>
      </c>
      <c r="R15" s="3">
        <f t="shared" si="2"/>
        <v>3427.72</v>
      </c>
      <c r="S15" s="3">
        <f t="shared" si="3"/>
        <v>117.84704177364824</v>
      </c>
    </row>
    <row r="16" spans="1:19" x14ac:dyDescent="0.25">
      <c r="A16">
        <v>7.5</v>
      </c>
      <c r="B16">
        <v>3321.9839999999999</v>
      </c>
      <c r="C16">
        <v>3934.9050000000002</v>
      </c>
      <c r="D16">
        <v>3579.8620000000001</v>
      </c>
      <c r="E16">
        <v>3629.404</v>
      </c>
      <c r="F16">
        <v>3471.569</v>
      </c>
      <c r="H16" s="2">
        <f t="shared" si="0"/>
        <v>3587.5448000000006</v>
      </c>
      <c r="I16" s="2">
        <f t="shared" si="1"/>
        <v>101.59804409209859</v>
      </c>
      <c r="K16">
        <v>7.5</v>
      </c>
      <c r="L16">
        <v>3026.5169999999998</v>
      </c>
      <c r="M16">
        <v>3645.7820000000002</v>
      </c>
      <c r="N16">
        <v>3187.2020000000002</v>
      </c>
      <c r="O16">
        <v>3572.5459999999998</v>
      </c>
      <c r="P16">
        <v>3512.0880000000002</v>
      </c>
      <c r="R16" s="3">
        <f t="shared" si="2"/>
        <v>3388.8270000000002</v>
      </c>
      <c r="S16" s="3">
        <f t="shared" si="3"/>
        <v>119.7691516693677</v>
      </c>
    </row>
    <row r="17" spans="1:19" x14ac:dyDescent="0.25">
      <c r="A17">
        <v>8.75</v>
      </c>
      <c r="B17">
        <v>3200.0259999999998</v>
      </c>
      <c r="C17">
        <v>3730.5259999999998</v>
      </c>
      <c r="D17">
        <v>3391.9360000000001</v>
      </c>
      <c r="E17">
        <v>3423.6840000000002</v>
      </c>
      <c r="F17">
        <v>3336.0410000000002</v>
      </c>
      <c r="H17" s="2">
        <f t="shared" si="0"/>
        <v>3416.4425999999999</v>
      </c>
      <c r="I17" s="2">
        <f t="shared" si="1"/>
        <v>87.3504308836539</v>
      </c>
      <c r="K17">
        <v>8.75</v>
      </c>
      <c r="L17">
        <v>2891.1610000000001</v>
      </c>
      <c r="M17">
        <v>3473.4070000000002</v>
      </c>
      <c r="N17">
        <v>3027.047</v>
      </c>
      <c r="O17">
        <v>3427.337</v>
      </c>
      <c r="P17">
        <v>3347.7629999999999</v>
      </c>
      <c r="R17" s="3">
        <f t="shared" si="2"/>
        <v>3233.3429999999998</v>
      </c>
      <c r="S17" s="3">
        <f t="shared" si="3"/>
        <v>115.75899387779766</v>
      </c>
    </row>
    <row r="18" spans="1:19" x14ac:dyDescent="0.25">
      <c r="A18">
        <v>10</v>
      </c>
      <c r="B18">
        <v>2950.462</v>
      </c>
      <c r="C18">
        <v>3341.1129999999998</v>
      </c>
      <c r="D18">
        <v>3008.9279999999999</v>
      </c>
      <c r="E18">
        <v>3026.9</v>
      </c>
      <c r="F18">
        <v>3058.3130000000001</v>
      </c>
      <c r="H18" s="2">
        <f t="shared" si="0"/>
        <v>3077.1432</v>
      </c>
      <c r="I18" s="2">
        <f t="shared" si="1"/>
        <v>68.286327634014668</v>
      </c>
      <c r="K18">
        <v>10</v>
      </c>
      <c r="L18">
        <v>2647.3490000000002</v>
      </c>
      <c r="M18">
        <v>3125.3249999999998</v>
      </c>
      <c r="N18">
        <v>2727.4549999999999</v>
      </c>
      <c r="O18">
        <v>3122.3939999999998</v>
      </c>
      <c r="P18">
        <v>3012.5509999999999</v>
      </c>
      <c r="R18" s="3">
        <f t="shared" si="2"/>
        <v>2927.0147999999999</v>
      </c>
      <c r="S18" s="3">
        <f t="shared" si="3"/>
        <v>100.71084405186954</v>
      </c>
    </row>
    <row r="19" spans="1:19" x14ac:dyDescent="0.25">
      <c r="A19">
        <v>11.25</v>
      </c>
      <c r="B19">
        <v>2761.8130000000001</v>
      </c>
      <c r="C19">
        <v>3068.0479999999998</v>
      </c>
      <c r="D19">
        <v>2739.4969999999998</v>
      </c>
      <c r="E19">
        <v>2745.5639999999999</v>
      </c>
      <c r="F19">
        <v>2848.598</v>
      </c>
      <c r="H19" s="2">
        <f t="shared" si="0"/>
        <v>2832.7040000000002</v>
      </c>
      <c r="I19" s="2">
        <f t="shared" si="1"/>
        <v>62.026557175938734</v>
      </c>
      <c r="K19">
        <v>11.25</v>
      </c>
      <c r="L19">
        <v>2451.7530000000002</v>
      </c>
      <c r="M19">
        <v>2877.873</v>
      </c>
      <c r="N19">
        <v>2499.643</v>
      </c>
      <c r="O19">
        <v>2887.5419999999999</v>
      </c>
      <c r="P19">
        <v>2765.5859999999998</v>
      </c>
      <c r="R19" s="3">
        <f t="shared" si="2"/>
        <v>2696.4793999999997</v>
      </c>
      <c r="S19" s="3">
        <f t="shared" si="3"/>
        <v>92.956940737418819</v>
      </c>
    </row>
    <row r="20" spans="1:19" x14ac:dyDescent="0.25">
      <c r="A20">
        <v>12.5</v>
      </c>
      <c r="B20">
        <v>2662.5479999999998</v>
      </c>
      <c r="C20">
        <v>2949.4279999999999</v>
      </c>
      <c r="D20">
        <v>2604.9929999999999</v>
      </c>
      <c r="E20">
        <v>2617.4549999999999</v>
      </c>
      <c r="F20">
        <v>2750.1170000000002</v>
      </c>
      <c r="H20" s="2">
        <f t="shared" si="0"/>
        <v>2716.9081999999999</v>
      </c>
      <c r="I20" s="2">
        <f t="shared" si="1"/>
        <v>63.458358044783985</v>
      </c>
      <c r="K20">
        <v>12.5</v>
      </c>
      <c r="L20">
        <v>2346.3539999999998</v>
      </c>
      <c r="M20">
        <v>2758.9169999999999</v>
      </c>
      <c r="N20">
        <v>2394.3240000000001</v>
      </c>
      <c r="O20">
        <v>2779.6030000000001</v>
      </c>
      <c r="P20">
        <v>2647.7730000000001</v>
      </c>
      <c r="R20" s="3">
        <f t="shared" si="2"/>
        <v>2585.3942000000002</v>
      </c>
      <c r="S20" s="3">
        <f t="shared" si="3"/>
        <v>90.930295652989074</v>
      </c>
    </row>
    <row r="21" spans="1:19" x14ac:dyDescent="0.25">
      <c r="A21">
        <v>13.75</v>
      </c>
      <c r="B21">
        <v>2605.6089999999999</v>
      </c>
      <c r="C21">
        <v>2895.6080000000002</v>
      </c>
      <c r="D21">
        <v>2536.0650000000001</v>
      </c>
      <c r="E21">
        <v>2557.3690000000001</v>
      </c>
      <c r="F21">
        <v>2685.8040000000001</v>
      </c>
      <c r="H21" s="2">
        <f t="shared" si="0"/>
        <v>2656.0910000000003</v>
      </c>
      <c r="I21" s="2">
        <f t="shared" si="1"/>
        <v>65.173599694201357</v>
      </c>
      <c r="K21">
        <v>13.75</v>
      </c>
      <c r="L21">
        <v>2303.567</v>
      </c>
      <c r="M21">
        <v>2701.4679999999998</v>
      </c>
      <c r="N21">
        <v>2360.355</v>
      </c>
      <c r="O21">
        <v>2734.6419999999998</v>
      </c>
      <c r="P21">
        <v>2598.3539999999998</v>
      </c>
      <c r="R21" s="3">
        <f t="shared" si="2"/>
        <v>2539.6771999999996</v>
      </c>
      <c r="S21" s="3">
        <f t="shared" si="3"/>
        <v>88.185877842997016</v>
      </c>
    </row>
    <row r="22" spans="1:19" x14ac:dyDescent="0.25">
      <c r="A22">
        <v>15</v>
      </c>
      <c r="B22">
        <v>2592.357</v>
      </c>
      <c r="C22">
        <v>2874.181</v>
      </c>
      <c r="D22">
        <v>2507.502</v>
      </c>
      <c r="E22">
        <v>2534.4050000000002</v>
      </c>
      <c r="F22">
        <v>2686.0549999999998</v>
      </c>
      <c r="H22" s="2">
        <f t="shared" si="0"/>
        <v>2638.9000000000005</v>
      </c>
      <c r="I22" s="2">
        <f t="shared" si="1"/>
        <v>66.306724117543297</v>
      </c>
      <c r="K22">
        <v>15</v>
      </c>
      <c r="L22">
        <v>2296.9229999999998</v>
      </c>
      <c r="M22">
        <v>2670.924</v>
      </c>
      <c r="N22">
        <v>2339.13</v>
      </c>
      <c r="O22">
        <v>2713.9180000000001</v>
      </c>
      <c r="P22">
        <v>2570.366</v>
      </c>
      <c r="R22" s="3">
        <f t="shared" si="2"/>
        <v>2518.2521999999999</v>
      </c>
      <c r="S22" s="3">
        <f t="shared" si="3"/>
        <v>85.258726609303764</v>
      </c>
    </row>
    <row r="23" spans="1:19" x14ac:dyDescent="0.25">
      <c r="A23">
        <v>16.25</v>
      </c>
      <c r="B23">
        <v>2617.5309999999999</v>
      </c>
      <c r="C23">
        <v>2890.8820000000001</v>
      </c>
      <c r="D23">
        <v>2519.3580000000002</v>
      </c>
      <c r="E23">
        <v>2546.1750000000002</v>
      </c>
      <c r="F23">
        <v>2706.2040000000002</v>
      </c>
      <c r="H23" s="2">
        <f t="shared" si="0"/>
        <v>2656.0299999999997</v>
      </c>
      <c r="I23" s="2">
        <f t="shared" si="1"/>
        <v>67.045664211043487</v>
      </c>
      <c r="K23">
        <v>16.25</v>
      </c>
      <c r="L23">
        <v>2312.3739999999998</v>
      </c>
      <c r="M23">
        <v>2681.0619999999999</v>
      </c>
      <c r="N23">
        <v>2337.8339999999998</v>
      </c>
      <c r="O23">
        <v>2735.75</v>
      </c>
      <c r="P23">
        <v>2577.7530000000002</v>
      </c>
      <c r="R23" s="3">
        <f t="shared" si="2"/>
        <v>2528.9546</v>
      </c>
      <c r="S23" s="3">
        <f t="shared" si="3"/>
        <v>87.096648178675665</v>
      </c>
    </row>
    <row r="24" spans="1:19" x14ac:dyDescent="0.25">
      <c r="A24">
        <v>17.5</v>
      </c>
      <c r="B24">
        <v>2647.5630000000001</v>
      </c>
      <c r="C24">
        <v>2937.34</v>
      </c>
      <c r="D24">
        <v>2549.9839999999999</v>
      </c>
      <c r="E24">
        <v>2574.4290000000001</v>
      </c>
      <c r="F24">
        <v>2721.82</v>
      </c>
      <c r="H24" s="2">
        <f t="shared" si="0"/>
        <v>2686.2272000000003</v>
      </c>
      <c r="I24" s="2">
        <f t="shared" si="1"/>
        <v>69.599013343150219</v>
      </c>
      <c r="K24">
        <v>17.5</v>
      </c>
      <c r="L24">
        <v>2339.556</v>
      </c>
      <c r="M24">
        <v>2708.598</v>
      </c>
      <c r="N24">
        <v>2359.2109999999998</v>
      </c>
      <c r="O24">
        <v>2773.502</v>
      </c>
      <c r="P24">
        <v>2613.779</v>
      </c>
      <c r="R24" s="3">
        <f t="shared" si="2"/>
        <v>2558.9292</v>
      </c>
      <c r="S24" s="3">
        <f t="shared" si="3"/>
        <v>89.292412063623857</v>
      </c>
    </row>
    <row r="25" spans="1:19" x14ac:dyDescent="0.25">
      <c r="A25">
        <v>18.75</v>
      </c>
      <c r="B25">
        <v>2659.3620000000001</v>
      </c>
      <c r="C25">
        <v>2958.1419999999998</v>
      </c>
      <c r="D25">
        <v>2574.7170000000001</v>
      </c>
      <c r="E25">
        <v>2590.4340000000002</v>
      </c>
      <c r="F25">
        <v>2735.3150000000001</v>
      </c>
      <c r="H25" s="2">
        <f t="shared" si="0"/>
        <v>2703.5940000000001</v>
      </c>
      <c r="I25" s="2">
        <f t="shared" si="1"/>
        <v>69.703602022420554</v>
      </c>
      <c r="K25">
        <v>18.75</v>
      </c>
      <c r="L25">
        <v>2352.8290000000002</v>
      </c>
      <c r="M25">
        <v>2741.355</v>
      </c>
      <c r="N25">
        <v>2385.36</v>
      </c>
      <c r="O25">
        <v>2790.3110000000001</v>
      </c>
      <c r="P25">
        <v>2641.2109999999998</v>
      </c>
      <c r="R25" s="3">
        <f t="shared" si="2"/>
        <v>2582.2131999999997</v>
      </c>
      <c r="S25" s="3">
        <f t="shared" si="3"/>
        <v>90.410132406937635</v>
      </c>
    </row>
    <row r="26" spans="1:19" x14ac:dyDescent="0.25">
      <c r="A26">
        <v>20</v>
      </c>
      <c r="B26">
        <v>2684.9279999999999</v>
      </c>
      <c r="C26">
        <v>2972.8090000000002</v>
      </c>
      <c r="D26">
        <v>2594.895</v>
      </c>
      <c r="E26">
        <v>2606.08</v>
      </c>
      <c r="F26">
        <v>2724.8069999999998</v>
      </c>
      <c r="H26" s="2">
        <f t="shared" si="0"/>
        <v>2716.7038000000002</v>
      </c>
      <c r="I26" s="2">
        <f t="shared" si="1"/>
        <v>68.46175781660888</v>
      </c>
      <c r="K26">
        <v>20</v>
      </c>
      <c r="L26">
        <v>2366.9940000000001</v>
      </c>
      <c r="M26">
        <v>2764.1849999999999</v>
      </c>
      <c r="N26">
        <v>2420.0970000000002</v>
      </c>
      <c r="O26">
        <v>2784.0680000000002</v>
      </c>
      <c r="P26">
        <v>2650.672</v>
      </c>
      <c r="R26" s="3">
        <f t="shared" si="2"/>
        <v>2597.2032000000004</v>
      </c>
      <c r="S26" s="3">
        <f t="shared" si="3"/>
        <v>86.609228557584998</v>
      </c>
    </row>
    <row r="27" spans="1:19" x14ac:dyDescent="0.25">
      <c r="A27">
        <v>21.25</v>
      </c>
      <c r="B27">
        <v>2705.29</v>
      </c>
      <c r="C27">
        <v>2988.1390000000001</v>
      </c>
      <c r="D27">
        <v>2626.8789999999999</v>
      </c>
      <c r="E27">
        <v>2627.2559999999999</v>
      </c>
      <c r="F27">
        <v>2710.5149999999999</v>
      </c>
      <c r="H27" s="2">
        <f t="shared" si="0"/>
        <v>2731.6158</v>
      </c>
      <c r="I27" s="2">
        <f t="shared" si="1"/>
        <v>66.634528877602222</v>
      </c>
      <c r="K27">
        <v>21.25</v>
      </c>
      <c r="L27">
        <v>2375.0129999999999</v>
      </c>
      <c r="M27">
        <v>2780.8809999999999</v>
      </c>
      <c r="N27">
        <v>2442.1680000000001</v>
      </c>
      <c r="O27">
        <v>2813.7849999999999</v>
      </c>
      <c r="P27">
        <v>2675.08</v>
      </c>
      <c r="R27" s="3">
        <f t="shared" si="2"/>
        <v>2617.3854000000001</v>
      </c>
      <c r="S27" s="3">
        <f t="shared" si="3"/>
        <v>88.903824021579595</v>
      </c>
    </row>
    <row r="28" spans="1:19" x14ac:dyDescent="0.25">
      <c r="A28">
        <v>22.5</v>
      </c>
      <c r="B28">
        <v>2694.3739999999998</v>
      </c>
      <c r="C28">
        <v>2972.2240000000002</v>
      </c>
      <c r="D28">
        <v>2624.971</v>
      </c>
      <c r="E28">
        <v>2622.748</v>
      </c>
      <c r="F28">
        <v>2713.5050000000001</v>
      </c>
      <c r="H28" s="2">
        <f t="shared" si="0"/>
        <v>2725.5644000000002</v>
      </c>
      <c r="I28" s="2">
        <f t="shared" si="1"/>
        <v>64.284318727509302</v>
      </c>
      <c r="K28">
        <v>22.5</v>
      </c>
      <c r="L28">
        <v>2366.17</v>
      </c>
      <c r="M28">
        <v>2775.3119999999999</v>
      </c>
      <c r="N28">
        <v>2431.873</v>
      </c>
      <c r="O28">
        <v>2821.4319999999998</v>
      </c>
      <c r="P28">
        <v>2681.0929999999998</v>
      </c>
      <c r="R28" s="3">
        <f t="shared" si="2"/>
        <v>2615.1760000000004</v>
      </c>
      <c r="S28" s="3">
        <f t="shared" si="3"/>
        <v>91.688086675968918</v>
      </c>
    </row>
    <row r="29" spans="1:19" x14ac:dyDescent="0.25">
      <c r="A29">
        <v>23.75</v>
      </c>
      <c r="B29">
        <v>2667.556</v>
      </c>
      <c r="C29">
        <v>2937.087</v>
      </c>
      <c r="D29">
        <v>2599.1120000000001</v>
      </c>
      <c r="E29">
        <v>2586.4589999999998</v>
      </c>
      <c r="F29">
        <v>2705.0390000000002</v>
      </c>
      <c r="H29" s="2">
        <f t="shared" si="0"/>
        <v>2699.0506</v>
      </c>
      <c r="I29" s="2">
        <f t="shared" si="1"/>
        <v>63.385207520840382</v>
      </c>
      <c r="K29">
        <v>23.75</v>
      </c>
      <c r="L29">
        <v>2356.4879999999998</v>
      </c>
      <c r="M29">
        <v>2748.0790000000002</v>
      </c>
      <c r="N29">
        <v>2407.7530000000002</v>
      </c>
      <c r="O29">
        <v>2808.3420000000001</v>
      </c>
      <c r="P29">
        <v>2650.1509999999998</v>
      </c>
      <c r="R29" s="3">
        <f t="shared" si="2"/>
        <v>2594.1626000000001</v>
      </c>
      <c r="S29" s="3">
        <f t="shared" si="3"/>
        <v>90.536050544852046</v>
      </c>
    </row>
    <row r="30" spans="1:19" x14ac:dyDescent="0.25">
      <c r="A30">
        <v>25</v>
      </c>
      <c r="B30">
        <v>2656.1239999999998</v>
      </c>
      <c r="C30">
        <v>2950.8420000000001</v>
      </c>
      <c r="D30">
        <v>2601.2919999999999</v>
      </c>
      <c r="E30">
        <v>2580.576</v>
      </c>
      <c r="F30">
        <v>2690.3009999999999</v>
      </c>
      <c r="H30" s="2">
        <f t="shared" si="0"/>
        <v>2695.8269999999998</v>
      </c>
      <c r="I30" s="2">
        <f t="shared" si="1"/>
        <v>66.65552277793644</v>
      </c>
      <c r="K30">
        <v>25</v>
      </c>
      <c r="L30">
        <v>2344.3200000000002</v>
      </c>
      <c r="M30">
        <v>2727.8150000000001</v>
      </c>
      <c r="N30">
        <v>2383.3330000000001</v>
      </c>
      <c r="O30">
        <v>2775.9569999999999</v>
      </c>
      <c r="P30">
        <v>2634.5</v>
      </c>
      <c r="R30" s="3">
        <f t="shared" si="2"/>
        <v>2573.1850000000004</v>
      </c>
      <c r="S30" s="3">
        <f t="shared" si="3"/>
        <v>88.659297379913809</v>
      </c>
    </row>
    <row r="31" spans="1:19" x14ac:dyDescent="0.25">
      <c r="A31">
        <v>26.25</v>
      </c>
      <c r="B31">
        <v>2690.97</v>
      </c>
      <c r="C31">
        <v>2969.076</v>
      </c>
      <c r="D31">
        <v>2633.6729999999998</v>
      </c>
      <c r="E31">
        <v>2602.38</v>
      </c>
      <c r="F31">
        <v>2717.3760000000002</v>
      </c>
      <c r="H31" s="2">
        <f t="shared" si="0"/>
        <v>2722.6950000000006</v>
      </c>
      <c r="I31" s="2">
        <f t="shared" si="1"/>
        <v>64.860997624150073</v>
      </c>
      <c r="K31">
        <v>26.25</v>
      </c>
      <c r="L31">
        <v>2355.9119999999998</v>
      </c>
      <c r="M31">
        <v>2746.3649999999998</v>
      </c>
      <c r="N31">
        <v>2414.2539999999999</v>
      </c>
      <c r="O31">
        <v>2771.68</v>
      </c>
      <c r="P31">
        <v>2646.5349999999999</v>
      </c>
      <c r="R31" s="3">
        <f t="shared" si="2"/>
        <v>2586.9492</v>
      </c>
      <c r="S31" s="3">
        <f t="shared" si="3"/>
        <v>85.52518728620241</v>
      </c>
    </row>
    <row r="32" spans="1:19" x14ac:dyDescent="0.25">
      <c r="A32">
        <v>27.5</v>
      </c>
      <c r="B32">
        <v>2723.2869999999998</v>
      </c>
      <c r="C32">
        <v>2980.4879999999998</v>
      </c>
      <c r="D32">
        <v>2653.0279999999998</v>
      </c>
      <c r="E32">
        <v>2631.91</v>
      </c>
      <c r="F32">
        <v>2751.5079999999998</v>
      </c>
      <c r="H32" s="2">
        <f t="shared" si="0"/>
        <v>2748.0441999999998</v>
      </c>
      <c r="I32" s="2">
        <f t="shared" si="1"/>
        <v>62.116933155460913</v>
      </c>
      <c r="K32">
        <v>27.5</v>
      </c>
      <c r="L32">
        <v>2377.424</v>
      </c>
      <c r="M32">
        <v>2776.3110000000001</v>
      </c>
      <c r="N32">
        <v>2454.52</v>
      </c>
      <c r="O32">
        <v>2794.7170000000001</v>
      </c>
      <c r="P32">
        <v>2691.3330000000001</v>
      </c>
      <c r="R32" s="3">
        <f t="shared" si="2"/>
        <v>2618.8610000000003</v>
      </c>
      <c r="S32" s="3">
        <f t="shared" si="3"/>
        <v>85.518365065639586</v>
      </c>
    </row>
    <row r="33" spans="1:19" x14ac:dyDescent="0.25">
      <c r="A33">
        <v>28.75</v>
      </c>
      <c r="B33">
        <v>2704.7429999999999</v>
      </c>
      <c r="C33">
        <v>2975.7530000000002</v>
      </c>
      <c r="D33">
        <v>2641.59</v>
      </c>
      <c r="E33">
        <v>2643.645</v>
      </c>
      <c r="F33">
        <v>2755.018</v>
      </c>
      <c r="H33" s="2">
        <f t="shared" si="0"/>
        <v>2744.1498000000001</v>
      </c>
      <c r="I33" s="2">
        <f t="shared" si="1"/>
        <v>61.616062559530718</v>
      </c>
      <c r="K33">
        <v>28.75</v>
      </c>
      <c r="L33">
        <v>2378.9110000000001</v>
      </c>
      <c r="M33">
        <v>2776.797</v>
      </c>
      <c r="N33">
        <v>2469.4699999999998</v>
      </c>
      <c r="O33">
        <v>2812.1570000000002</v>
      </c>
      <c r="P33">
        <v>2717.4560000000001</v>
      </c>
      <c r="R33" s="3">
        <f t="shared" si="2"/>
        <v>2630.9582</v>
      </c>
      <c r="S33" s="3">
        <f t="shared" si="3"/>
        <v>86.94540237378861</v>
      </c>
    </row>
    <row r="34" spans="1:19" x14ac:dyDescent="0.25">
      <c r="A34">
        <v>30</v>
      </c>
      <c r="B34">
        <v>2690.3739999999998</v>
      </c>
      <c r="C34">
        <v>3004.018</v>
      </c>
      <c r="D34">
        <v>2656.8710000000001</v>
      </c>
      <c r="E34">
        <v>2668.2489999999998</v>
      </c>
      <c r="F34">
        <v>2769.77</v>
      </c>
      <c r="H34" s="2">
        <f t="shared" si="0"/>
        <v>2757.8563999999997</v>
      </c>
      <c r="I34" s="2">
        <f t="shared" si="1"/>
        <v>64.621543867815504</v>
      </c>
      <c r="K34">
        <v>30</v>
      </c>
      <c r="L34">
        <v>2373.1170000000002</v>
      </c>
      <c r="M34">
        <v>2795.8029999999999</v>
      </c>
      <c r="N34">
        <v>2475.723</v>
      </c>
      <c r="O34">
        <v>2836.096</v>
      </c>
      <c r="P34">
        <v>2731.549</v>
      </c>
      <c r="R34" s="3">
        <f t="shared" si="2"/>
        <v>2642.4576000000002</v>
      </c>
      <c r="S34" s="3">
        <f t="shared" si="3"/>
        <v>92.00345234152897</v>
      </c>
    </row>
    <row r="35" spans="1:19" x14ac:dyDescent="0.25">
      <c r="A35">
        <v>31.25</v>
      </c>
      <c r="B35">
        <v>2726.5329999999999</v>
      </c>
      <c r="C35">
        <v>3031.9409999999998</v>
      </c>
      <c r="D35">
        <v>2693.4189999999999</v>
      </c>
      <c r="E35">
        <v>2675.5839999999998</v>
      </c>
      <c r="F35">
        <v>2815.3049999999998</v>
      </c>
      <c r="H35" s="2">
        <f t="shared" si="0"/>
        <v>2788.5563999999999</v>
      </c>
      <c r="I35" s="2">
        <f t="shared" si="1"/>
        <v>65.42642482483663</v>
      </c>
      <c r="K35">
        <v>31.25</v>
      </c>
      <c r="L35">
        <v>2396.3739999999998</v>
      </c>
      <c r="M35">
        <v>2846.7220000000002</v>
      </c>
      <c r="N35">
        <v>2504.8330000000001</v>
      </c>
      <c r="O35">
        <v>2886.4870000000001</v>
      </c>
      <c r="P35">
        <v>2754.712</v>
      </c>
      <c r="R35" s="3">
        <f t="shared" si="2"/>
        <v>2677.8256000000001</v>
      </c>
      <c r="S35" s="3">
        <f t="shared" si="3"/>
        <v>96.726039690767905</v>
      </c>
    </row>
    <row r="36" spans="1:19" x14ac:dyDescent="0.25">
      <c r="A36">
        <v>32.5</v>
      </c>
      <c r="B36">
        <v>2768.4569999999999</v>
      </c>
      <c r="C36">
        <v>3045.5230000000001</v>
      </c>
      <c r="D36">
        <v>2693.442</v>
      </c>
      <c r="E36">
        <v>2684.9169999999999</v>
      </c>
      <c r="F36">
        <v>2822.8229999999999</v>
      </c>
      <c r="H36" s="2">
        <f t="shared" si="0"/>
        <v>2803.0323999999996</v>
      </c>
      <c r="I36" s="2">
        <f t="shared" si="1"/>
        <v>65.70773193133364</v>
      </c>
      <c r="K36">
        <v>32.5</v>
      </c>
      <c r="L36">
        <v>2418.674</v>
      </c>
      <c r="M36">
        <v>2870.0770000000002</v>
      </c>
      <c r="N36">
        <v>2511.5770000000002</v>
      </c>
      <c r="O36">
        <v>2908.4349999999999</v>
      </c>
      <c r="P36">
        <v>2751.04</v>
      </c>
      <c r="R36" s="3">
        <f t="shared" si="2"/>
        <v>2691.9605999999999</v>
      </c>
      <c r="S36" s="3">
        <f t="shared" si="3"/>
        <v>97.288437698731698</v>
      </c>
    </row>
    <row r="37" spans="1:19" x14ac:dyDescent="0.25">
      <c r="A37">
        <v>33.75</v>
      </c>
      <c r="B37">
        <v>2777.67</v>
      </c>
      <c r="C37">
        <v>3041.8969999999999</v>
      </c>
      <c r="D37">
        <v>2685.6970000000001</v>
      </c>
      <c r="E37">
        <v>2687.9209999999998</v>
      </c>
      <c r="F37">
        <v>2824.5819999999999</v>
      </c>
      <c r="H37" s="2">
        <f t="shared" si="0"/>
        <v>2803.5533999999998</v>
      </c>
      <c r="I37" s="2">
        <f t="shared" si="1"/>
        <v>65.261323548178197</v>
      </c>
      <c r="K37">
        <v>33.75</v>
      </c>
      <c r="L37">
        <v>2418.3229999999999</v>
      </c>
      <c r="M37">
        <v>2871.2820000000002</v>
      </c>
      <c r="N37">
        <v>2513.9780000000001</v>
      </c>
      <c r="O37">
        <v>2896.8420000000001</v>
      </c>
      <c r="P37">
        <v>2752.9340000000002</v>
      </c>
      <c r="R37" s="3">
        <f t="shared" si="2"/>
        <v>2690.6718000000001</v>
      </c>
      <c r="S37" s="3">
        <f t="shared" si="3"/>
        <v>96.020139835557458</v>
      </c>
    </row>
    <row r="38" spans="1:19" x14ac:dyDescent="0.25">
      <c r="A38">
        <v>35</v>
      </c>
      <c r="B38">
        <v>2736.5320000000002</v>
      </c>
      <c r="C38">
        <v>2993.7840000000001</v>
      </c>
      <c r="D38">
        <v>2651.3270000000002</v>
      </c>
      <c r="E38">
        <v>2649.7660000000001</v>
      </c>
      <c r="F38">
        <v>2788.4580000000001</v>
      </c>
      <c r="H38" s="2">
        <f t="shared" si="0"/>
        <v>2763.9733999999999</v>
      </c>
      <c r="I38" s="2">
        <f t="shared" si="1"/>
        <v>63.205213230872005</v>
      </c>
      <c r="K38">
        <v>35</v>
      </c>
      <c r="L38">
        <v>2383.6379999999999</v>
      </c>
      <c r="M38">
        <v>2827.1370000000002</v>
      </c>
      <c r="N38">
        <v>2487.8789999999999</v>
      </c>
      <c r="O38">
        <v>2853.0360000000001</v>
      </c>
      <c r="P38">
        <v>2727.6460000000002</v>
      </c>
      <c r="R38" s="3">
        <f t="shared" si="2"/>
        <v>2655.8671999999997</v>
      </c>
      <c r="S38" s="3">
        <f t="shared" si="3"/>
        <v>93.725623200595507</v>
      </c>
    </row>
    <row r="39" spans="1:19" x14ac:dyDescent="0.25">
      <c r="A39">
        <v>36.25</v>
      </c>
      <c r="B39">
        <v>2618.9670000000001</v>
      </c>
      <c r="C39">
        <v>2852.645</v>
      </c>
      <c r="D39">
        <v>2536.8969999999999</v>
      </c>
      <c r="E39">
        <v>2531.8519999999999</v>
      </c>
      <c r="F39">
        <v>2666.9969999999998</v>
      </c>
      <c r="H39" s="2">
        <f t="shared" si="0"/>
        <v>2641.4715999999999</v>
      </c>
      <c r="I39" s="2">
        <f t="shared" si="1"/>
        <v>58.61079747077325</v>
      </c>
      <c r="K39">
        <v>36.25</v>
      </c>
      <c r="L39">
        <v>2286.3870000000002</v>
      </c>
      <c r="M39">
        <v>2698.2429999999999</v>
      </c>
      <c r="N39">
        <v>2390.998</v>
      </c>
      <c r="O39">
        <v>2739.4740000000002</v>
      </c>
      <c r="P39">
        <v>2609.6419999999998</v>
      </c>
      <c r="R39" s="3">
        <f t="shared" si="2"/>
        <v>2544.9488000000001</v>
      </c>
      <c r="S39" s="3">
        <f t="shared" si="3"/>
        <v>88.340089584174606</v>
      </c>
    </row>
    <row r="40" spans="1:19" x14ac:dyDescent="0.25">
      <c r="A40">
        <v>37.5</v>
      </c>
      <c r="B40">
        <v>2437.529</v>
      </c>
      <c r="C40">
        <v>2654.2869999999998</v>
      </c>
      <c r="D40">
        <v>2356.875</v>
      </c>
      <c r="E40">
        <v>2370.174</v>
      </c>
      <c r="F40">
        <v>2481.9560000000001</v>
      </c>
      <c r="H40" s="2">
        <f t="shared" si="0"/>
        <v>2460.1642000000002</v>
      </c>
      <c r="I40" s="2">
        <f t="shared" si="1"/>
        <v>53.590013640043018</v>
      </c>
      <c r="K40">
        <v>37.5</v>
      </c>
      <c r="L40">
        <v>2113.078</v>
      </c>
      <c r="M40">
        <v>2495.9479999999999</v>
      </c>
      <c r="N40">
        <v>2220.52</v>
      </c>
      <c r="O40">
        <v>2539.7429999999999</v>
      </c>
      <c r="P40">
        <v>2424.5439999999999</v>
      </c>
      <c r="R40" s="3">
        <f t="shared" si="2"/>
        <v>2358.7665999999999</v>
      </c>
      <c r="S40" s="3">
        <f t="shared" si="3"/>
        <v>82.271766358575263</v>
      </c>
    </row>
    <row r="41" spans="1:19" x14ac:dyDescent="0.25">
      <c r="A41">
        <v>38.75</v>
      </c>
      <c r="B41">
        <v>2257.962</v>
      </c>
      <c r="C41">
        <v>2448.2939999999999</v>
      </c>
      <c r="D41">
        <v>2169.4319999999998</v>
      </c>
      <c r="E41">
        <v>2185.1010000000001</v>
      </c>
      <c r="F41">
        <v>2299.8980000000001</v>
      </c>
      <c r="H41" s="2">
        <f t="shared" si="0"/>
        <v>2272.1373999999996</v>
      </c>
      <c r="I41" s="2">
        <f t="shared" si="1"/>
        <v>50.063197418462984</v>
      </c>
      <c r="K41">
        <v>38.75</v>
      </c>
      <c r="L41">
        <v>1949.6969999999999</v>
      </c>
      <c r="M41">
        <v>2290.8009999999999</v>
      </c>
      <c r="N41">
        <v>2048.6880000000001</v>
      </c>
      <c r="O41">
        <v>2345.0520000000001</v>
      </c>
      <c r="P41">
        <v>2241.6410000000001</v>
      </c>
      <c r="R41" s="3">
        <f t="shared" si="2"/>
        <v>2175.1758</v>
      </c>
      <c r="S41" s="3">
        <f t="shared" si="3"/>
        <v>75.327480314557206</v>
      </c>
    </row>
    <row r="42" spans="1:19" x14ac:dyDescent="0.25">
      <c r="A42">
        <v>40</v>
      </c>
      <c r="B42">
        <v>2148.489</v>
      </c>
      <c r="C42">
        <v>2327.828</v>
      </c>
      <c r="D42">
        <v>2050.444</v>
      </c>
      <c r="E42">
        <v>2066.2399999999998</v>
      </c>
      <c r="F42">
        <v>2180.0720000000001</v>
      </c>
      <c r="H42" s="2">
        <f t="shared" si="0"/>
        <v>2154.6145999999999</v>
      </c>
      <c r="I42" s="2">
        <f t="shared" si="1"/>
        <v>49.673971030711868</v>
      </c>
      <c r="K42">
        <v>40</v>
      </c>
      <c r="L42">
        <v>1851.5889999999999</v>
      </c>
      <c r="M42">
        <v>2170.92</v>
      </c>
      <c r="N42">
        <v>1944.644</v>
      </c>
      <c r="O42">
        <v>2222.5459999999998</v>
      </c>
      <c r="P42">
        <v>2125.2750000000001</v>
      </c>
      <c r="R42" s="3">
        <f t="shared" si="2"/>
        <v>2062.9947999999999</v>
      </c>
      <c r="S42" s="3">
        <f t="shared" si="3"/>
        <v>70.598364592531468</v>
      </c>
    </row>
    <row r="43" spans="1:19" x14ac:dyDescent="0.25">
      <c r="A43">
        <v>41.25</v>
      </c>
      <c r="B43">
        <v>2101.0729999999999</v>
      </c>
      <c r="C43">
        <v>2278.0889999999999</v>
      </c>
      <c r="D43">
        <v>2005.675</v>
      </c>
      <c r="E43">
        <v>2021.2149999999999</v>
      </c>
      <c r="F43">
        <v>2138.9580000000001</v>
      </c>
      <c r="H43" s="2">
        <f t="shared" si="0"/>
        <v>2109.002</v>
      </c>
      <c r="I43" s="2">
        <f t="shared" si="1"/>
        <v>48.955934698461235</v>
      </c>
      <c r="K43">
        <v>41.25</v>
      </c>
      <c r="L43">
        <v>1817.951</v>
      </c>
      <c r="M43">
        <v>2131.384</v>
      </c>
      <c r="N43">
        <v>1914.9059999999999</v>
      </c>
      <c r="O43">
        <v>2193.3209999999999</v>
      </c>
      <c r="P43">
        <v>2076.1869999999999</v>
      </c>
      <c r="R43" s="3">
        <f t="shared" si="2"/>
        <v>2026.7498000000001</v>
      </c>
      <c r="S43" s="3">
        <f t="shared" si="3"/>
        <v>69.729581851177045</v>
      </c>
    </row>
    <row r="44" spans="1:19" x14ac:dyDescent="0.25">
      <c r="A44">
        <v>42.5</v>
      </c>
      <c r="B44">
        <v>2087.8690000000001</v>
      </c>
      <c r="C44">
        <v>2263.2649999999999</v>
      </c>
      <c r="D44">
        <v>2021.0050000000001</v>
      </c>
      <c r="E44">
        <v>2024.3720000000001</v>
      </c>
      <c r="F44">
        <v>2131.5610000000001</v>
      </c>
      <c r="H44" s="2">
        <f t="shared" si="0"/>
        <v>2105.6143999999999</v>
      </c>
      <c r="I44" s="2">
        <f t="shared" si="1"/>
        <v>44.497705041496204</v>
      </c>
      <c r="K44">
        <v>42.5</v>
      </c>
      <c r="L44">
        <v>1820.1759999999999</v>
      </c>
      <c r="M44">
        <v>2113.5100000000002</v>
      </c>
      <c r="N44">
        <v>1905.193</v>
      </c>
      <c r="O44">
        <v>2204.1179999999999</v>
      </c>
      <c r="P44">
        <v>2070.64</v>
      </c>
      <c r="R44" s="3">
        <f t="shared" si="2"/>
        <v>2022.7273999999998</v>
      </c>
      <c r="S44" s="3">
        <f t="shared" si="3"/>
        <v>70.100303956259722</v>
      </c>
    </row>
    <row r="45" spans="1:19" x14ac:dyDescent="0.25">
      <c r="A45">
        <v>43.75</v>
      </c>
      <c r="B45">
        <v>2100.21</v>
      </c>
      <c r="C45">
        <v>2276.902</v>
      </c>
      <c r="D45">
        <v>2045.7819999999999</v>
      </c>
      <c r="E45">
        <v>2052.3960000000002</v>
      </c>
      <c r="F45">
        <v>2135.4569999999999</v>
      </c>
      <c r="H45" s="2">
        <f t="shared" si="0"/>
        <v>2122.1494000000002</v>
      </c>
      <c r="I45" s="2">
        <f t="shared" si="1"/>
        <v>42.014469704614861</v>
      </c>
      <c r="K45">
        <v>43.75</v>
      </c>
      <c r="L45">
        <v>1836.2529999999999</v>
      </c>
      <c r="M45">
        <v>2107.0050000000001</v>
      </c>
      <c r="N45">
        <v>1906.614</v>
      </c>
      <c r="O45">
        <v>2198.998</v>
      </c>
      <c r="P45">
        <v>2078.1819999999998</v>
      </c>
      <c r="R45" s="3">
        <f t="shared" si="2"/>
        <v>2025.4104</v>
      </c>
      <c r="S45" s="3">
        <f t="shared" si="3"/>
        <v>66.883586184205171</v>
      </c>
    </row>
    <row r="46" spans="1:19" x14ac:dyDescent="0.25">
      <c r="A46">
        <v>45</v>
      </c>
      <c r="B46">
        <v>2141.61</v>
      </c>
      <c r="C46">
        <v>2315.7869999999998</v>
      </c>
      <c r="D46">
        <v>2068.087</v>
      </c>
      <c r="E46">
        <v>2092.31</v>
      </c>
      <c r="F46">
        <v>2168.4699999999998</v>
      </c>
      <c r="H46" s="2">
        <f t="shared" si="0"/>
        <v>2157.2527999999998</v>
      </c>
      <c r="I46" s="2">
        <f t="shared" si="1"/>
        <v>43.400300977527756</v>
      </c>
      <c r="K46">
        <v>45</v>
      </c>
      <c r="L46">
        <v>1862.0619999999999</v>
      </c>
      <c r="M46">
        <v>2154.9879999999998</v>
      </c>
      <c r="N46">
        <v>1935.944</v>
      </c>
      <c r="O46">
        <v>2218.4160000000002</v>
      </c>
      <c r="P46">
        <v>2105.2849999999999</v>
      </c>
      <c r="R46" s="3">
        <f t="shared" si="2"/>
        <v>2055.3389999999999</v>
      </c>
      <c r="S46" s="3">
        <f t="shared" si="3"/>
        <v>67.316342295166351</v>
      </c>
    </row>
    <row r="47" spans="1:19" x14ac:dyDescent="0.25">
      <c r="A47">
        <v>46.25</v>
      </c>
      <c r="B47">
        <v>2211.1950000000002</v>
      </c>
      <c r="C47">
        <v>2401.9549999999999</v>
      </c>
      <c r="D47">
        <v>2123.1289999999999</v>
      </c>
      <c r="E47">
        <v>2148.9299999999998</v>
      </c>
      <c r="F47">
        <v>2230.4160000000002</v>
      </c>
      <c r="H47" s="2">
        <f t="shared" si="0"/>
        <v>2223.125</v>
      </c>
      <c r="I47" s="2">
        <f t="shared" si="1"/>
        <v>48.82609472505456</v>
      </c>
      <c r="K47">
        <v>46.25</v>
      </c>
      <c r="L47">
        <v>1917.297</v>
      </c>
      <c r="M47">
        <v>2211.2060000000001</v>
      </c>
      <c r="N47">
        <v>1994.5419999999999</v>
      </c>
      <c r="O47">
        <v>2282.4079999999999</v>
      </c>
      <c r="P47">
        <v>2167.3589999999999</v>
      </c>
      <c r="R47" s="3">
        <f t="shared" si="2"/>
        <v>2114.5623999999998</v>
      </c>
      <c r="S47" s="3">
        <f t="shared" si="3"/>
        <v>68.41715657830278</v>
      </c>
    </row>
    <row r="48" spans="1:19" x14ac:dyDescent="0.25">
      <c r="A48">
        <v>47.5</v>
      </c>
      <c r="B48">
        <v>2301.9369999999999</v>
      </c>
      <c r="C48">
        <v>2514.924</v>
      </c>
      <c r="D48">
        <v>2226.6219999999998</v>
      </c>
      <c r="E48">
        <v>2238.2269999999999</v>
      </c>
      <c r="F48">
        <v>2326.3989999999999</v>
      </c>
      <c r="H48" s="2">
        <f t="shared" si="0"/>
        <v>2321.6217999999999</v>
      </c>
      <c r="I48" s="2">
        <f t="shared" si="1"/>
        <v>51.843856040422011</v>
      </c>
      <c r="K48">
        <v>47.5</v>
      </c>
      <c r="L48">
        <v>2003.6010000000001</v>
      </c>
      <c r="M48">
        <v>2301.3980000000001</v>
      </c>
      <c r="N48">
        <v>2096.1060000000002</v>
      </c>
      <c r="O48">
        <v>2393.4769999999999</v>
      </c>
      <c r="P48">
        <v>2264.7249999999999</v>
      </c>
      <c r="R48" s="3">
        <f t="shared" si="2"/>
        <v>2211.8613999999998</v>
      </c>
      <c r="S48" s="3">
        <f t="shared" si="3"/>
        <v>70.910963872027523</v>
      </c>
    </row>
    <row r="49" spans="1:19" x14ac:dyDescent="0.25">
      <c r="A49">
        <v>48.75</v>
      </c>
      <c r="B49">
        <v>2394.5160000000001</v>
      </c>
      <c r="C49">
        <v>2631.6030000000001</v>
      </c>
      <c r="D49">
        <v>2336.0790000000002</v>
      </c>
      <c r="E49">
        <v>2353.8389999999999</v>
      </c>
      <c r="F49">
        <v>2422.1149999999998</v>
      </c>
      <c r="H49" s="2">
        <f t="shared" si="0"/>
        <v>2427.6304</v>
      </c>
      <c r="I49" s="2">
        <f t="shared" si="1"/>
        <v>53.178301134579314</v>
      </c>
      <c r="K49">
        <v>48.75</v>
      </c>
      <c r="L49">
        <v>2088.029</v>
      </c>
      <c r="M49">
        <v>2417.7800000000002</v>
      </c>
      <c r="N49">
        <v>2193.837</v>
      </c>
      <c r="O49">
        <v>2493.5160000000001</v>
      </c>
      <c r="P49">
        <v>2370.9670000000001</v>
      </c>
      <c r="R49" s="3">
        <f t="shared" si="2"/>
        <v>2312.8258000000001</v>
      </c>
      <c r="S49" s="3">
        <f t="shared" si="3"/>
        <v>74.745122726101684</v>
      </c>
    </row>
    <row r="50" spans="1:19" x14ac:dyDescent="0.25">
      <c r="A50">
        <v>50</v>
      </c>
      <c r="B50">
        <v>2464.6219999999998</v>
      </c>
      <c r="C50">
        <v>2702.8789999999999</v>
      </c>
      <c r="D50">
        <v>2421.761</v>
      </c>
      <c r="E50">
        <v>2437.1579999999999</v>
      </c>
      <c r="F50">
        <v>2471.9409999999998</v>
      </c>
      <c r="H50" s="2">
        <f t="shared" si="0"/>
        <v>2499.6722</v>
      </c>
      <c r="I50" s="2">
        <f t="shared" si="1"/>
        <v>51.608487590124163</v>
      </c>
      <c r="K50">
        <v>50</v>
      </c>
      <c r="L50">
        <v>2138.375</v>
      </c>
      <c r="M50">
        <v>2499.4630000000002</v>
      </c>
      <c r="N50">
        <v>2246.7429999999999</v>
      </c>
      <c r="O50">
        <v>2551.7069999999999</v>
      </c>
      <c r="P50">
        <v>2460.7020000000002</v>
      </c>
      <c r="R50" s="3">
        <f t="shared" si="2"/>
        <v>2379.3980000000001</v>
      </c>
      <c r="S50" s="3">
        <f t="shared" si="3"/>
        <v>79.500242665038471</v>
      </c>
    </row>
    <row r="51" spans="1:19" x14ac:dyDescent="0.25">
      <c r="A51">
        <v>51.25</v>
      </c>
      <c r="B51">
        <v>2511.884</v>
      </c>
      <c r="C51">
        <v>2744.433</v>
      </c>
      <c r="D51">
        <v>2489.759</v>
      </c>
      <c r="E51">
        <v>2483.694</v>
      </c>
      <c r="F51">
        <v>2526.2150000000001</v>
      </c>
      <c r="H51" s="2">
        <f t="shared" si="0"/>
        <v>2551.1970000000001</v>
      </c>
      <c r="I51" s="2">
        <f t="shared" si="1"/>
        <v>48.908612146533045</v>
      </c>
      <c r="K51">
        <v>51.25</v>
      </c>
      <c r="L51">
        <v>2187.7199999999998</v>
      </c>
      <c r="M51">
        <v>2535.2150000000001</v>
      </c>
      <c r="N51">
        <v>2298.9639999999999</v>
      </c>
      <c r="O51">
        <v>2621.0500000000002</v>
      </c>
      <c r="P51">
        <v>2513.5</v>
      </c>
      <c r="R51" s="3">
        <f t="shared" si="2"/>
        <v>2431.2898</v>
      </c>
      <c r="S51" s="3">
        <f t="shared" si="3"/>
        <v>80.747836658575622</v>
      </c>
    </row>
    <row r="52" spans="1:19" x14ac:dyDescent="0.25">
      <c r="A52">
        <v>52.5</v>
      </c>
      <c r="B52">
        <v>2575.884</v>
      </c>
      <c r="C52">
        <v>2804.9029999999998</v>
      </c>
      <c r="D52">
        <v>2514.7330000000002</v>
      </c>
      <c r="E52">
        <v>2490.9490000000001</v>
      </c>
      <c r="F52">
        <v>2618.21</v>
      </c>
      <c r="H52" s="2">
        <f t="shared" si="0"/>
        <v>2600.9358000000002</v>
      </c>
      <c r="I52" s="2">
        <f t="shared" si="1"/>
        <v>55.703064658418867</v>
      </c>
      <c r="K52">
        <v>52.5</v>
      </c>
      <c r="L52">
        <v>2245.692</v>
      </c>
      <c r="M52">
        <v>2592.1999999999998</v>
      </c>
      <c r="N52">
        <v>2374.7950000000001</v>
      </c>
      <c r="O52">
        <v>2700.5010000000002</v>
      </c>
      <c r="P52">
        <v>2562.7579999999998</v>
      </c>
      <c r="R52" s="3">
        <f t="shared" si="2"/>
        <v>2495.1891999999998</v>
      </c>
      <c r="S52" s="3">
        <f t="shared" si="3"/>
        <v>81.508646618257615</v>
      </c>
    </row>
    <row r="53" spans="1:19" x14ac:dyDescent="0.25">
      <c r="A53">
        <v>53.75</v>
      </c>
      <c r="B53">
        <v>2616.8980000000001</v>
      </c>
      <c r="C53">
        <v>2848.42</v>
      </c>
      <c r="D53">
        <v>2506.348</v>
      </c>
      <c r="E53">
        <v>2484.223</v>
      </c>
      <c r="F53">
        <v>2701.4490000000001</v>
      </c>
      <c r="H53" s="2">
        <f t="shared" si="0"/>
        <v>2631.4675999999999</v>
      </c>
      <c r="I53" s="2">
        <f t="shared" si="1"/>
        <v>66.900635269480091</v>
      </c>
      <c r="K53">
        <v>53.75</v>
      </c>
      <c r="L53">
        <v>2294.866</v>
      </c>
      <c r="M53">
        <v>2640.027</v>
      </c>
      <c r="N53">
        <v>2419.018</v>
      </c>
      <c r="O53">
        <v>2765.6039999999998</v>
      </c>
      <c r="P53">
        <v>2595.5410000000002</v>
      </c>
      <c r="R53" s="3">
        <f t="shared" si="2"/>
        <v>2543.0111999999999</v>
      </c>
      <c r="S53" s="3">
        <f t="shared" si="3"/>
        <v>83.267446784082409</v>
      </c>
    </row>
    <row r="54" spans="1:19" x14ac:dyDescent="0.25">
      <c r="A54">
        <v>55</v>
      </c>
      <c r="B54">
        <v>2644.9760000000001</v>
      </c>
      <c r="C54">
        <v>2828.375</v>
      </c>
      <c r="D54">
        <v>2461.3510000000001</v>
      </c>
      <c r="E54">
        <v>2446.9490000000001</v>
      </c>
      <c r="F54">
        <v>2712.0889999999999</v>
      </c>
      <c r="H54" s="2">
        <f t="shared" si="0"/>
        <v>2618.7480000000005</v>
      </c>
      <c r="I54" s="2">
        <f t="shared" si="1"/>
        <v>73.359607892899731</v>
      </c>
      <c r="K54">
        <v>55</v>
      </c>
      <c r="L54">
        <v>2303.1729999999998</v>
      </c>
      <c r="M54">
        <v>2610.471</v>
      </c>
      <c r="N54">
        <v>2407.1460000000002</v>
      </c>
      <c r="O54">
        <v>2760.3090000000002</v>
      </c>
      <c r="P54">
        <v>2577.7539999999999</v>
      </c>
      <c r="R54" s="3">
        <f t="shared" si="2"/>
        <v>2531.7706000000007</v>
      </c>
      <c r="S54" s="3">
        <f t="shared" si="3"/>
        <v>80.101866383124971</v>
      </c>
    </row>
    <row r="55" spans="1:19" x14ac:dyDescent="0.25">
      <c r="A55">
        <v>56.25</v>
      </c>
      <c r="B55">
        <v>2610.9569999999999</v>
      </c>
      <c r="C55">
        <v>2732.1559999999999</v>
      </c>
      <c r="D55">
        <v>2357.5970000000002</v>
      </c>
      <c r="E55">
        <v>2351.3710000000001</v>
      </c>
      <c r="F55">
        <v>2651.951</v>
      </c>
      <c r="H55" s="2">
        <f t="shared" si="0"/>
        <v>2540.8063999999999</v>
      </c>
      <c r="I55" s="2">
        <f t="shared" si="1"/>
        <v>78.53036139965225</v>
      </c>
      <c r="K55">
        <v>56.25</v>
      </c>
      <c r="L55">
        <v>2254.1260000000002</v>
      </c>
      <c r="M55">
        <v>2514.9290000000001</v>
      </c>
      <c r="N55">
        <v>2333.6819999999998</v>
      </c>
      <c r="O55">
        <v>2686.64</v>
      </c>
      <c r="P55">
        <v>2506.5030000000002</v>
      </c>
      <c r="R55" s="3">
        <f t="shared" si="2"/>
        <v>2459.1760000000004</v>
      </c>
      <c r="S55" s="3">
        <f t="shared" si="3"/>
        <v>75.789959681345636</v>
      </c>
    </row>
    <row r="56" spans="1:19" x14ac:dyDescent="0.25">
      <c r="A56">
        <v>57.5</v>
      </c>
      <c r="B56">
        <v>2495.8220000000001</v>
      </c>
      <c r="C56">
        <v>2578.83</v>
      </c>
      <c r="D56">
        <v>2199.2049999999999</v>
      </c>
      <c r="E56">
        <v>2195.482</v>
      </c>
      <c r="F56">
        <v>2553.9140000000002</v>
      </c>
      <c r="H56" s="2">
        <f t="shared" si="0"/>
        <v>2404.6505999999999</v>
      </c>
      <c r="I56" s="2">
        <f t="shared" si="1"/>
        <v>85.699955638028214</v>
      </c>
      <c r="K56">
        <v>57.5</v>
      </c>
      <c r="L56">
        <v>2151.7860000000001</v>
      </c>
      <c r="M56">
        <v>2379.15</v>
      </c>
      <c r="N56">
        <v>2213.4369999999999</v>
      </c>
      <c r="O56">
        <v>2566.0650000000001</v>
      </c>
      <c r="P56">
        <v>2378.0309999999999</v>
      </c>
      <c r="R56" s="3">
        <f t="shared" si="2"/>
        <v>2337.6938</v>
      </c>
      <c r="S56" s="3">
        <f t="shared" si="3"/>
        <v>72.629392692903622</v>
      </c>
    </row>
    <row r="57" spans="1:19" x14ac:dyDescent="0.25">
      <c r="A57">
        <v>58.75</v>
      </c>
      <c r="B57">
        <v>2427.7939999999999</v>
      </c>
      <c r="C57">
        <v>2479.902</v>
      </c>
      <c r="D57">
        <v>2095.7620000000002</v>
      </c>
      <c r="E57">
        <v>2072.5410000000002</v>
      </c>
      <c r="F57">
        <v>2481.5520000000001</v>
      </c>
      <c r="H57" s="2">
        <f t="shared" si="0"/>
        <v>2311.5101999999997</v>
      </c>
      <c r="I57" s="2">
        <f t="shared" si="1"/>
        <v>93.393120343202966</v>
      </c>
      <c r="K57">
        <v>58.75</v>
      </c>
      <c r="L57">
        <v>2083.125</v>
      </c>
      <c r="M57">
        <v>2302.5749999999998</v>
      </c>
      <c r="N57">
        <v>2133.498</v>
      </c>
      <c r="O57">
        <v>2484.2919999999999</v>
      </c>
      <c r="P57">
        <v>2280.663</v>
      </c>
      <c r="R57" s="3">
        <f t="shared" si="2"/>
        <v>2256.8306000000002</v>
      </c>
      <c r="S57" s="3">
        <f t="shared" si="3"/>
        <v>70.6341941290477</v>
      </c>
    </row>
    <row r="58" spans="1:19" x14ac:dyDescent="0.25">
      <c r="A58">
        <v>60</v>
      </c>
      <c r="B58">
        <v>2369.6460000000002</v>
      </c>
      <c r="C58">
        <v>2392.241</v>
      </c>
      <c r="D58">
        <v>2013.5889999999999</v>
      </c>
      <c r="E58">
        <v>1986.8530000000001</v>
      </c>
      <c r="F58">
        <v>2387.6480000000001</v>
      </c>
      <c r="H58" s="2">
        <f t="shared" si="0"/>
        <v>2229.9954000000007</v>
      </c>
      <c r="I58" s="2">
        <f t="shared" si="1"/>
        <v>93.976120297977843</v>
      </c>
      <c r="K58">
        <v>60</v>
      </c>
      <c r="L58">
        <v>2045.4749999999999</v>
      </c>
      <c r="M58">
        <v>2209.1529999999998</v>
      </c>
      <c r="N58">
        <v>2058.585</v>
      </c>
      <c r="O58">
        <v>2426.663</v>
      </c>
      <c r="P58">
        <v>2197.5709999999999</v>
      </c>
      <c r="R58" s="3">
        <f t="shared" si="2"/>
        <v>2187.4893999999999</v>
      </c>
      <c r="S58" s="3">
        <f t="shared" si="3"/>
        <v>68.760233895471885</v>
      </c>
    </row>
    <row r="59" spans="1:19" x14ac:dyDescent="0.25">
      <c r="A59">
        <v>61.25</v>
      </c>
      <c r="B59">
        <v>2316.9859999999999</v>
      </c>
      <c r="C59">
        <v>2317.0639999999999</v>
      </c>
      <c r="D59">
        <v>1937.8409999999999</v>
      </c>
      <c r="E59">
        <v>1911.463</v>
      </c>
      <c r="F59">
        <v>2326.1410000000001</v>
      </c>
      <c r="H59" s="2">
        <f t="shared" si="0"/>
        <v>2161.8989999999999</v>
      </c>
      <c r="I59" s="2">
        <f t="shared" si="1"/>
        <v>96.95972535491218</v>
      </c>
      <c r="K59">
        <v>61.25</v>
      </c>
      <c r="L59">
        <v>2004.481</v>
      </c>
      <c r="M59">
        <v>2116.7860000000001</v>
      </c>
      <c r="N59">
        <v>1984.299</v>
      </c>
      <c r="O59">
        <v>2364.627</v>
      </c>
      <c r="P59">
        <v>2116.6689999999999</v>
      </c>
      <c r="R59" s="3">
        <f t="shared" si="2"/>
        <v>2117.3723999999997</v>
      </c>
      <c r="S59" s="3">
        <f t="shared" si="3"/>
        <v>67.671513149625952</v>
      </c>
    </row>
    <row r="60" spans="1:19" x14ac:dyDescent="0.25">
      <c r="A60">
        <v>62.5</v>
      </c>
      <c r="B60">
        <v>2270.0450000000001</v>
      </c>
      <c r="C60">
        <v>2242.5770000000002</v>
      </c>
      <c r="D60">
        <v>1879.672</v>
      </c>
      <c r="E60">
        <v>1855.2360000000001</v>
      </c>
      <c r="F60">
        <v>2271.154</v>
      </c>
      <c r="H60" s="2">
        <f t="shared" si="0"/>
        <v>2103.7368000000001</v>
      </c>
      <c r="I60" s="2">
        <f t="shared" si="1"/>
        <v>96.675027690402032</v>
      </c>
      <c r="K60">
        <v>62.5</v>
      </c>
      <c r="L60">
        <v>1947.7090000000001</v>
      </c>
      <c r="M60">
        <v>2025.8910000000001</v>
      </c>
      <c r="N60">
        <v>1924.511</v>
      </c>
      <c r="O60">
        <v>2294.65</v>
      </c>
      <c r="P60">
        <v>2038.5609999999999</v>
      </c>
      <c r="R60" s="3">
        <f t="shared" si="2"/>
        <v>2046.2644</v>
      </c>
      <c r="S60" s="3">
        <f t="shared" si="3"/>
        <v>65.84332971805118</v>
      </c>
    </row>
    <row r="61" spans="1:19" x14ac:dyDescent="0.25">
      <c r="A61">
        <v>63.75</v>
      </c>
      <c r="B61">
        <v>2197.942</v>
      </c>
      <c r="C61">
        <v>2150.944</v>
      </c>
      <c r="D61">
        <v>1819.0740000000001</v>
      </c>
      <c r="E61">
        <v>1796.3789999999999</v>
      </c>
      <c r="F61">
        <v>2230.4699999999998</v>
      </c>
      <c r="H61" s="2">
        <f t="shared" si="0"/>
        <v>2038.9618000000003</v>
      </c>
      <c r="I61" s="2">
        <f t="shared" si="1"/>
        <v>95.311900416684566</v>
      </c>
      <c r="K61">
        <v>63.75</v>
      </c>
      <c r="L61">
        <v>1892.845</v>
      </c>
      <c r="M61">
        <v>1957.758</v>
      </c>
      <c r="N61">
        <v>1856.16</v>
      </c>
      <c r="O61">
        <v>2208.5259999999998</v>
      </c>
      <c r="P61">
        <v>1962.809</v>
      </c>
      <c r="R61" s="3">
        <f t="shared" si="2"/>
        <v>1975.6196</v>
      </c>
      <c r="S61" s="3">
        <f t="shared" si="3"/>
        <v>61.583589463914784</v>
      </c>
    </row>
    <row r="62" spans="1:19" x14ac:dyDescent="0.25">
      <c r="A62">
        <v>65</v>
      </c>
      <c r="B62">
        <v>2127.9009999999998</v>
      </c>
      <c r="C62">
        <v>2072.221</v>
      </c>
      <c r="D62">
        <v>1769.912</v>
      </c>
      <c r="E62">
        <v>1758.671</v>
      </c>
      <c r="F62">
        <v>2167.056</v>
      </c>
      <c r="H62" s="2">
        <f t="shared" si="0"/>
        <v>1979.1522</v>
      </c>
      <c r="I62" s="2">
        <f t="shared" si="1"/>
        <v>89.019454598082078</v>
      </c>
      <c r="K62">
        <v>65</v>
      </c>
      <c r="L62">
        <v>1845.59</v>
      </c>
      <c r="M62">
        <v>1893.5360000000001</v>
      </c>
      <c r="N62">
        <v>1776.8430000000001</v>
      </c>
      <c r="O62">
        <v>2130.6680000000001</v>
      </c>
      <c r="P62">
        <v>1900.088</v>
      </c>
      <c r="R62" s="3">
        <f t="shared" si="2"/>
        <v>1909.345</v>
      </c>
      <c r="S62" s="3">
        <f t="shared" si="3"/>
        <v>59.557101544652106</v>
      </c>
    </row>
    <row r="63" spans="1:19" x14ac:dyDescent="0.25">
      <c r="A63">
        <v>66.25</v>
      </c>
      <c r="B63">
        <v>2044.904</v>
      </c>
      <c r="C63">
        <v>2005.604</v>
      </c>
      <c r="D63">
        <v>1722.961</v>
      </c>
      <c r="E63">
        <v>1726.327</v>
      </c>
      <c r="F63">
        <v>2060.261</v>
      </c>
      <c r="H63" s="2">
        <f t="shared" si="0"/>
        <v>1912.0114000000001</v>
      </c>
      <c r="I63" s="2">
        <f t="shared" si="1"/>
        <v>77.01191854291126</v>
      </c>
      <c r="K63">
        <v>66.25</v>
      </c>
      <c r="L63">
        <v>1769.3219999999999</v>
      </c>
      <c r="M63">
        <v>1824.23</v>
      </c>
      <c r="N63">
        <v>1719.088</v>
      </c>
      <c r="O63">
        <v>2048.8110000000001</v>
      </c>
      <c r="P63">
        <v>1840.249</v>
      </c>
      <c r="R63" s="3">
        <f t="shared" si="2"/>
        <v>1840.3399999999997</v>
      </c>
      <c r="S63" s="3">
        <f t="shared" si="3"/>
        <v>56.331741518437049</v>
      </c>
    </row>
    <row r="64" spans="1:19" x14ac:dyDescent="0.25">
      <c r="A64">
        <v>67.5</v>
      </c>
      <c r="B64">
        <v>1938.931</v>
      </c>
      <c r="C64">
        <v>1933.6420000000001</v>
      </c>
      <c r="D64">
        <v>1685.99</v>
      </c>
      <c r="E64">
        <v>1691.7760000000001</v>
      </c>
      <c r="F64">
        <v>1942.8440000000001</v>
      </c>
      <c r="H64" s="2">
        <f t="shared" si="0"/>
        <v>1838.6366000000003</v>
      </c>
      <c r="I64" s="2">
        <f t="shared" si="1"/>
        <v>61.160933298634347</v>
      </c>
      <c r="K64">
        <v>67.5</v>
      </c>
      <c r="L64">
        <v>1652.752</v>
      </c>
      <c r="M64">
        <v>1759.4190000000001</v>
      </c>
      <c r="N64">
        <v>1664.827</v>
      </c>
      <c r="O64">
        <v>1949.586</v>
      </c>
      <c r="P64">
        <v>1768.866</v>
      </c>
      <c r="R64" s="3">
        <f t="shared" si="2"/>
        <v>1759.0900000000001</v>
      </c>
      <c r="S64" s="3">
        <f t="shared" si="3"/>
        <v>53.187257800153603</v>
      </c>
    </row>
    <row r="65" spans="1:19" x14ac:dyDescent="0.25">
      <c r="A65">
        <v>68.75</v>
      </c>
      <c r="B65">
        <v>1826.67</v>
      </c>
      <c r="C65">
        <v>1858.4659999999999</v>
      </c>
      <c r="D65">
        <v>1659.0740000000001</v>
      </c>
      <c r="E65">
        <v>1652.7829999999999</v>
      </c>
      <c r="F65">
        <v>1818.183</v>
      </c>
      <c r="H65" s="2">
        <f t="shared" si="0"/>
        <v>1763.0351999999998</v>
      </c>
      <c r="I65" s="2">
        <f t="shared" si="1"/>
        <v>44.249962663713056</v>
      </c>
      <c r="K65">
        <v>68.75</v>
      </c>
      <c r="L65">
        <v>1521.3720000000001</v>
      </c>
      <c r="M65">
        <v>1715.7909999999999</v>
      </c>
      <c r="N65">
        <v>1613.511</v>
      </c>
      <c r="O65">
        <v>1855.2560000000001</v>
      </c>
      <c r="P65">
        <v>1710.4269999999999</v>
      </c>
      <c r="R65" s="3">
        <f t="shared" si="2"/>
        <v>1683.2714000000001</v>
      </c>
      <c r="S65" s="3">
        <f t="shared" si="3"/>
        <v>55.880042394937384</v>
      </c>
    </row>
    <row r="66" spans="1:19" x14ac:dyDescent="0.25">
      <c r="A66">
        <v>70</v>
      </c>
      <c r="B66">
        <v>1721.9559999999999</v>
      </c>
      <c r="C66">
        <v>1803.498</v>
      </c>
      <c r="D66">
        <v>1638.7090000000001</v>
      </c>
      <c r="E66">
        <v>1627.8420000000001</v>
      </c>
      <c r="F66">
        <v>1712.7539999999999</v>
      </c>
      <c r="H66" s="2">
        <f t="shared" si="0"/>
        <v>1700.9517999999996</v>
      </c>
      <c r="I66" s="2">
        <f t="shared" si="1"/>
        <v>31.871147206211436</v>
      </c>
      <c r="K66">
        <v>70</v>
      </c>
      <c r="L66">
        <v>1442.048</v>
      </c>
      <c r="M66">
        <v>1683.8409999999999</v>
      </c>
      <c r="N66">
        <v>1569.7190000000001</v>
      </c>
      <c r="O66">
        <v>1787.412</v>
      </c>
      <c r="P66">
        <v>1669.971</v>
      </c>
      <c r="R66" s="3">
        <f t="shared" si="2"/>
        <v>1630.5981999999999</v>
      </c>
      <c r="S66" s="3">
        <f t="shared" si="3"/>
        <v>58.409346818296115</v>
      </c>
    </row>
    <row r="67" spans="1:19" x14ac:dyDescent="0.25">
      <c r="A67">
        <v>71.25</v>
      </c>
      <c r="B67">
        <v>1671.93</v>
      </c>
      <c r="C67">
        <v>1792.0340000000001</v>
      </c>
      <c r="D67">
        <v>1638.885</v>
      </c>
      <c r="E67">
        <v>1632.1320000000001</v>
      </c>
      <c r="F67">
        <v>1673.7090000000001</v>
      </c>
      <c r="H67" s="2">
        <f t="shared" si="0"/>
        <v>1681.7380000000001</v>
      </c>
      <c r="I67" s="2">
        <f t="shared" si="1"/>
        <v>28.829675827175041</v>
      </c>
      <c r="K67">
        <v>71.25</v>
      </c>
      <c r="L67">
        <v>1430.857</v>
      </c>
      <c r="M67">
        <v>1662.5820000000001</v>
      </c>
      <c r="N67">
        <v>1557.184</v>
      </c>
      <c r="O67">
        <v>1754.6120000000001</v>
      </c>
      <c r="P67">
        <v>1671.7629999999999</v>
      </c>
      <c r="R67" s="3">
        <f t="shared" si="2"/>
        <v>1615.3996000000002</v>
      </c>
      <c r="S67" s="3">
        <f t="shared" si="3"/>
        <v>55.779983569915125</v>
      </c>
    </row>
    <row r="68" spans="1:19" x14ac:dyDescent="0.25">
      <c r="A68">
        <v>72.5</v>
      </c>
      <c r="B68">
        <v>1690.4349999999999</v>
      </c>
      <c r="C68">
        <v>1844.0170000000001</v>
      </c>
      <c r="D68">
        <v>1672.902</v>
      </c>
      <c r="E68">
        <v>1675.537</v>
      </c>
      <c r="F68">
        <v>1694.1980000000001</v>
      </c>
      <c r="H68" s="2">
        <f t="shared" si="0"/>
        <v>1715.4177999999999</v>
      </c>
      <c r="I68" s="2">
        <f t="shared" si="1"/>
        <v>32.411607416788208</v>
      </c>
      <c r="K68">
        <v>72.5</v>
      </c>
      <c r="L68">
        <v>1466.576</v>
      </c>
      <c r="M68">
        <v>1698.1990000000001</v>
      </c>
      <c r="N68">
        <v>1587.4690000000001</v>
      </c>
      <c r="O68">
        <v>1799.567</v>
      </c>
      <c r="P68">
        <v>1711.6210000000001</v>
      </c>
      <c r="R68" s="3">
        <f t="shared" si="2"/>
        <v>1652.6864</v>
      </c>
      <c r="S68" s="3">
        <f t="shared" si="3"/>
        <v>57.449536439905238</v>
      </c>
    </row>
    <row r="69" spans="1:19" x14ac:dyDescent="0.25">
      <c r="A69">
        <v>73.75</v>
      </c>
      <c r="B69">
        <v>1761.7370000000001</v>
      </c>
      <c r="C69">
        <v>1941.6130000000001</v>
      </c>
      <c r="D69">
        <v>1750.982</v>
      </c>
      <c r="E69">
        <v>1760.1020000000001</v>
      </c>
      <c r="F69">
        <v>1752.558</v>
      </c>
      <c r="H69" s="2">
        <f t="shared" ref="H69:H96" si="4">AVERAGE(B69:F69)</f>
        <v>1793.3984</v>
      </c>
      <c r="I69" s="2">
        <f t="shared" ref="I69:I96" si="5">STDEV(B69:F69)/SQRT(COUNT(B69:F69))</f>
        <v>37.111825215960486</v>
      </c>
      <c r="K69">
        <v>73.75</v>
      </c>
      <c r="L69">
        <v>1530.8779999999999</v>
      </c>
      <c r="M69">
        <v>1776.9369999999999</v>
      </c>
      <c r="N69">
        <v>1659.8530000000001</v>
      </c>
      <c r="O69">
        <v>1875.2470000000001</v>
      </c>
      <c r="P69">
        <v>1797.3610000000001</v>
      </c>
      <c r="R69" s="3">
        <f t="shared" ref="R69:R96" si="6">AVERAGE(L69:P69)</f>
        <v>1728.0552</v>
      </c>
      <c r="S69" s="3">
        <f t="shared" ref="S69:S96" si="7">STDEV(L69:P69)/SQRT(COUNT(L69:P69))</f>
        <v>60.161673246677594</v>
      </c>
    </row>
    <row r="70" spans="1:19" x14ac:dyDescent="0.25">
      <c r="A70">
        <v>75</v>
      </c>
      <c r="B70">
        <v>1887.414</v>
      </c>
      <c r="C70">
        <v>2083.1329999999998</v>
      </c>
      <c r="D70">
        <v>1907.0519999999999</v>
      </c>
      <c r="E70">
        <v>1910.0840000000001</v>
      </c>
      <c r="F70">
        <v>1881.4860000000001</v>
      </c>
      <c r="H70" s="2">
        <f t="shared" si="4"/>
        <v>1933.8337999999999</v>
      </c>
      <c r="I70" s="2">
        <f t="shared" si="5"/>
        <v>37.727085050928558</v>
      </c>
      <c r="K70">
        <v>75</v>
      </c>
      <c r="L70">
        <v>1623.3779999999999</v>
      </c>
      <c r="M70">
        <v>1946.18</v>
      </c>
      <c r="N70">
        <v>1784.3530000000001</v>
      </c>
      <c r="O70">
        <v>2018.617</v>
      </c>
      <c r="P70">
        <v>1930.415</v>
      </c>
      <c r="R70" s="3">
        <f t="shared" si="6"/>
        <v>1860.5885999999998</v>
      </c>
      <c r="S70" s="3">
        <f t="shared" si="7"/>
        <v>70.446903607326846</v>
      </c>
    </row>
    <row r="71" spans="1:19" x14ac:dyDescent="0.25">
      <c r="A71">
        <v>76.25</v>
      </c>
      <c r="B71">
        <v>2022.3489999999999</v>
      </c>
      <c r="C71">
        <v>2224.5650000000001</v>
      </c>
      <c r="D71">
        <v>2078.8020000000001</v>
      </c>
      <c r="E71">
        <v>2079.3519999999999</v>
      </c>
      <c r="F71">
        <v>2016.135</v>
      </c>
      <c r="H71" s="2">
        <f t="shared" si="4"/>
        <v>2084.2406000000001</v>
      </c>
      <c r="I71" s="2">
        <f t="shared" si="5"/>
        <v>37.558858420617646</v>
      </c>
      <c r="K71">
        <v>76.25</v>
      </c>
      <c r="L71">
        <v>1731.654</v>
      </c>
      <c r="M71">
        <v>2099.9639999999999</v>
      </c>
      <c r="N71">
        <v>1930.7270000000001</v>
      </c>
      <c r="O71">
        <v>2176.0940000000001</v>
      </c>
      <c r="P71">
        <v>2069.5830000000001</v>
      </c>
      <c r="R71" s="3">
        <f t="shared" si="6"/>
        <v>2001.6044000000002</v>
      </c>
      <c r="S71" s="3">
        <f t="shared" si="7"/>
        <v>78.306815083107551</v>
      </c>
    </row>
    <row r="72" spans="1:19" x14ac:dyDescent="0.25">
      <c r="A72">
        <v>77.5</v>
      </c>
      <c r="B72">
        <v>2086.3270000000002</v>
      </c>
      <c r="C72">
        <v>2281.7280000000001</v>
      </c>
      <c r="D72">
        <v>2154.616</v>
      </c>
      <c r="E72">
        <v>2158.3879999999999</v>
      </c>
      <c r="F72">
        <v>2085.4470000000001</v>
      </c>
      <c r="H72" s="2">
        <f t="shared" si="4"/>
        <v>2153.3012000000003</v>
      </c>
      <c r="I72" s="2">
        <f t="shared" si="5"/>
        <v>35.784621777238314</v>
      </c>
      <c r="K72">
        <v>77.5</v>
      </c>
      <c r="L72">
        <v>1789.373</v>
      </c>
      <c r="M72">
        <v>2156.8380000000002</v>
      </c>
      <c r="N72">
        <v>1994.2180000000001</v>
      </c>
      <c r="O72">
        <v>2235.9780000000001</v>
      </c>
      <c r="P72">
        <v>2136.1109999999999</v>
      </c>
      <c r="R72" s="3">
        <f t="shared" si="6"/>
        <v>2062.5036</v>
      </c>
      <c r="S72" s="3">
        <f t="shared" si="7"/>
        <v>78.636392223066807</v>
      </c>
    </row>
    <row r="73" spans="1:19" x14ac:dyDescent="0.25">
      <c r="A73">
        <v>78.75</v>
      </c>
      <c r="B73">
        <v>2047.0730000000001</v>
      </c>
      <c r="C73">
        <v>2221.5340000000001</v>
      </c>
      <c r="D73">
        <v>2100.9679999999998</v>
      </c>
      <c r="E73">
        <v>2096.3000000000002</v>
      </c>
      <c r="F73">
        <v>2048.9940000000001</v>
      </c>
      <c r="H73" s="2">
        <f t="shared" si="4"/>
        <v>2102.9738000000002</v>
      </c>
      <c r="I73" s="2">
        <f t="shared" si="5"/>
        <v>31.736258532473546</v>
      </c>
      <c r="K73">
        <v>78.75</v>
      </c>
      <c r="L73">
        <v>1742.829</v>
      </c>
      <c r="M73">
        <v>2108.152</v>
      </c>
      <c r="N73">
        <v>1939.529</v>
      </c>
      <c r="O73">
        <v>2183.9630000000002</v>
      </c>
      <c r="P73">
        <v>2090.4589999999998</v>
      </c>
      <c r="R73" s="3">
        <f t="shared" si="6"/>
        <v>2012.9864000000002</v>
      </c>
      <c r="S73" s="3">
        <f t="shared" si="7"/>
        <v>78.317463988308532</v>
      </c>
    </row>
    <row r="74" spans="1:19" x14ac:dyDescent="0.25">
      <c r="A74">
        <v>80</v>
      </c>
      <c r="B74">
        <v>1955.056</v>
      </c>
      <c r="C74">
        <v>2149.5059999999999</v>
      </c>
      <c r="D74">
        <v>1993.27</v>
      </c>
      <c r="E74">
        <v>1993.66</v>
      </c>
      <c r="F74">
        <v>1961.7159999999999</v>
      </c>
      <c r="H74" s="2">
        <f t="shared" si="4"/>
        <v>2010.6416000000002</v>
      </c>
      <c r="I74" s="2">
        <f t="shared" si="5"/>
        <v>35.60684068771053</v>
      </c>
      <c r="K74">
        <v>80</v>
      </c>
      <c r="L74">
        <v>1674.4</v>
      </c>
      <c r="M74">
        <v>2046.028</v>
      </c>
      <c r="N74">
        <v>1861.713</v>
      </c>
      <c r="O74">
        <v>2105.5909999999999</v>
      </c>
      <c r="P74">
        <v>2014.4549999999999</v>
      </c>
      <c r="R74" s="3">
        <f t="shared" si="6"/>
        <v>1940.4374</v>
      </c>
      <c r="S74" s="3">
        <f t="shared" si="7"/>
        <v>77.74224104860879</v>
      </c>
    </row>
    <row r="75" spans="1:19" x14ac:dyDescent="0.25">
      <c r="A75">
        <v>81.25</v>
      </c>
      <c r="B75">
        <v>2020.8489999999999</v>
      </c>
      <c r="C75">
        <v>2328.5360000000001</v>
      </c>
      <c r="D75">
        <v>2103.6610000000001</v>
      </c>
      <c r="E75">
        <v>2122.444</v>
      </c>
      <c r="F75">
        <v>2007.759</v>
      </c>
      <c r="H75" s="2">
        <f t="shared" si="4"/>
        <v>2116.6498000000001</v>
      </c>
      <c r="I75" s="2">
        <f t="shared" si="5"/>
        <v>57.503496865321168</v>
      </c>
      <c r="K75">
        <v>81.25</v>
      </c>
      <c r="L75">
        <v>1791.1679999999999</v>
      </c>
      <c r="M75">
        <v>2196.0909999999999</v>
      </c>
      <c r="N75">
        <v>1972.0340000000001</v>
      </c>
      <c r="O75">
        <v>2232.0329999999999</v>
      </c>
      <c r="P75">
        <v>2148.8589999999999</v>
      </c>
      <c r="R75" s="3">
        <f t="shared" si="6"/>
        <v>2068.0369999999998</v>
      </c>
      <c r="S75" s="3">
        <f t="shared" si="7"/>
        <v>82.370422417880064</v>
      </c>
    </row>
    <row r="76" spans="1:19" x14ac:dyDescent="0.25">
      <c r="A76">
        <v>82.5</v>
      </c>
      <c r="B76">
        <v>2424.047</v>
      </c>
      <c r="C76">
        <v>2999.7779999999998</v>
      </c>
      <c r="D76">
        <v>2780.0450000000001</v>
      </c>
      <c r="E76">
        <v>2780.2820000000002</v>
      </c>
      <c r="F76">
        <v>2406.0419999999999</v>
      </c>
      <c r="H76" s="2">
        <f t="shared" si="4"/>
        <v>2678.0387999999994</v>
      </c>
      <c r="I76" s="2">
        <f t="shared" si="5"/>
        <v>114.64491774143325</v>
      </c>
      <c r="K76">
        <v>82.5</v>
      </c>
      <c r="L76">
        <v>2225.8330000000001</v>
      </c>
      <c r="M76">
        <v>2828.51</v>
      </c>
      <c r="N76">
        <v>2525.4</v>
      </c>
      <c r="O76">
        <v>2793.9</v>
      </c>
      <c r="P76">
        <v>2787.549</v>
      </c>
      <c r="R76" s="3">
        <f t="shared" si="6"/>
        <v>2632.2383999999997</v>
      </c>
      <c r="S76" s="3">
        <f t="shared" si="7"/>
        <v>115.18641178915159</v>
      </c>
    </row>
    <row r="77" spans="1:19" x14ac:dyDescent="0.25">
      <c r="A77">
        <v>83.75</v>
      </c>
      <c r="B77">
        <v>3012.306</v>
      </c>
      <c r="C77">
        <v>3864.1680000000001</v>
      </c>
      <c r="D77">
        <v>3717.5569999999998</v>
      </c>
      <c r="E77">
        <v>3735.3789999999999</v>
      </c>
      <c r="F77">
        <v>3052.433</v>
      </c>
      <c r="H77" s="2">
        <f t="shared" si="4"/>
        <v>3476.3686000000002</v>
      </c>
      <c r="I77" s="2">
        <f t="shared" si="5"/>
        <v>183.12865640161195</v>
      </c>
      <c r="K77">
        <v>83.75</v>
      </c>
      <c r="L77">
        <v>2807.2930000000001</v>
      </c>
      <c r="M77">
        <v>3664.15</v>
      </c>
      <c r="N77">
        <v>3356.6460000000002</v>
      </c>
      <c r="O77">
        <v>3590.3620000000001</v>
      </c>
      <c r="P77">
        <v>3643.44</v>
      </c>
      <c r="R77" s="3">
        <f t="shared" si="6"/>
        <v>3412.3782000000001</v>
      </c>
      <c r="S77" s="3">
        <f t="shared" si="7"/>
        <v>160.88676221690829</v>
      </c>
    </row>
    <row r="78" spans="1:19" x14ac:dyDescent="0.25">
      <c r="A78">
        <v>85</v>
      </c>
      <c r="B78">
        <v>3433.527</v>
      </c>
      <c r="C78">
        <v>4433.6779999999999</v>
      </c>
      <c r="D78">
        <v>4361.8919999999998</v>
      </c>
      <c r="E78">
        <v>4460.9120000000003</v>
      </c>
      <c r="F78">
        <v>3541.2660000000001</v>
      </c>
      <c r="H78" s="2">
        <f t="shared" si="4"/>
        <v>4046.2549999999997</v>
      </c>
      <c r="I78" s="2">
        <f t="shared" si="5"/>
        <v>229.35923967130881</v>
      </c>
      <c r="K78">
        <v>85</v>
      </c>
      <c r="L78">
        <v>3174.942</v>
      </c>
      <c r="M78">
        <v>4254.4840000000004</v>
      </c>
      <c r="N78">
        <v>3960.7350000000001</v>
      </c>
      <c r="O78">
        <v>4133.9489999999996</v>
      </c>
      <c r="P78">
        <v>4235.741</v>
      </c>
      <c r="R78" s="3">
        <f t="shared" si="6"/>
        <v>3951.9702000000007</v>
      </c>
      <c r="S78" s="3">
        <f t="shared" si="7"/>
        <v>201.1226485365062</v>
      </c>
    </row>
    <row r="79" spans="1:19" x14ac:dyDescent="0.25">
      <c r="A79">
        <v>86.25</v>
      </c>
      <c r="B79">
        <v>3456.3409999999999</v>
      </c>
      <c r="C79">
        <v>4460.2889999999998</v>
      </c>
      <c r="D79">
        <v>4464.1080000000002</v>
      </c>
      <c r="E79">
        <v>4642.7420000000002</v>
      </c>
      <c r="F79">
        <v>3600.607</v>
      </c>
      <c r="H79" s="2">
        <f t="shared" si="4"/>
        <v>4124.8173999999999</v>
      </c>
      <c r="I79" s="2">
        <f t="shared" si="5"/>
        <v>246.73492231190093</v>
      </c>
      <c r="K79">
        <v>86.25</v>
      </c>
      <c r="L79">
        <v>3152.9450000000002</v>
      </c>
      <c r="M79">
        <v>4295.259</v>
      </c>
      <c r="N79">
        <v>4073.3789999999999</v>
      </c>
      <c r="O79">
        <v>4149.7150000000001</v>
      </c>
      <c r="P79">
        <v>4299.777</v>
      </c>
      <c r="R79" s="3">
        <f t="shared" si="6"/>
        <v>3994.2149999999992</v>
      </c>
      <c r="S79" s="3">
        <f t="shared" si="7"/>
        <v>214.72983346242486</v>
      </c>
    </row>
    <row r="80" spans="1:19" x14ac:dyDescent="0.25">
      <c r="A80">
        <v>87.5</v>
      </c>
      <c r="B80">
        <v>3145.683</v>
      </c>
      <c r="C80">
        <v>4087.16</v>
      </c>
      <c r="D80">
        <v>4090.127</v>
      </c>
      <c r="E80">
        <v>4303.1940000000004</v>
      </c>
      <c r="F80">
        <v>3316.19</v>
      </c>
      <c r="H80" s="2">
        <f t="shared" si="4"/>
        <v>3788.4708000000001</v>
      </c>
      <c r="I80" s="2">
        <f t="shared" si="5"/>
        <v>232.52709344190549</v>
      </c>
      <c r="K80">
        <v>87.5</v>
      </c>
      <c r="L80">
        <v>2869.105</v>
      </c>
      <c r="M80">
        <v>3949.2370000000001</v>
      </c>
      <c r="N80">
        <v>3740.348</v>
      </c>
      <c r="O80">
        <v>3748.759</v>
      </c>
      <c r="P80">
        <v>3940.223</v>
      </c>
      <c r="R80" s="3">
        <f t="shared" si="6"/>
        <v>3649.5343999999996</v>
      </c>
      <c r="S80" s="3">
        <f t="shared" si="7"/>
        <v>200.18543780595147</v>
      </c>
    </row>
    <row r="81" spans="1:19" x14ac:dyDescent="0.25">
      <c r="A81">
        <v>88.75</v>
      </c>
      <c r="B81">
        <v>2782.3110000000001</v>
      </c>
      <c r="C81">
        <v>3722.4090000000001</v>
      </c>
      <c r="D81">
        <v>3699.3310000000001</v>
      </c>
      <c r="E81">
        <v>3865.2779999999998</v>
      </c>
      <c r="F81">
        <v>2987.5390000000002</v>
      </c>
      <c r="H81" s="2">
        <f t="shared" si="4"/>
        <v>3411.3735999999999</v>
      </c>
      <c r="I81" s="2">
        <f t="shared" si="5"/>
        <v>219.20848654685</v>
      </c>
      <c r="K81">
        <v>88.75</v>
      </c>
      <c r="L81">
        <v>2573.7199999999998</v>
      </c>
      <c r="M81">
        <v>3578.9340000000002</v>
      </c>
      <c r="N81">
        <v>3351.1840000000002</v>
      </c>
      <c r="O81">
        <v>3356.288</v>
      </c>
      <c r="P81">
        <v>3560.7550000000001</v>
      </c>
      <c r="R81" s="3">
        <f t="shared" si="6"/>
        <v>3284.1762000000003</v>
      </c>
      <c r="S81" s="3">
        <f t="shared" si="7"/>
        <v>184.0945629763128</v>
      </c>
    </row>
    <row r="82" spans="1:19" x14ac:dyDescent="0.25">
      <c r="A82">
        <v>90</v>
      </c>
      <c r="B82">
        <v>2598.2460000000001</v>
      </c>
      <c r="C82">
        <v>3565.0430000000001</v>
      </c>
      <c r="D82">
        <v>3626.0410000000002</v>
      </c>
      <c r="E82">
        <v>3761.4659999999999</v>
      </c>
      <c r="F82">
        <v>2813.114</v>
      </c>
      <c r="H82" s="2">
        <f t="shared" si="4"/>
        <v>3272.7820000000002</v>
      </c>
      <c r="I82" s="2">
        <f t="shared" si="5"/>
        <v>236.14761808855803</v>
      </c>
      <c r="K82">
        <v>90</v>
      </c>
      <c r="L82">
        <v>2434.9299999999998</v>
      </c>
      <c r="M82">
        <v>3479.91</v>
      </c>
      <c r="N82">
        <v>3176.5709999999999</v>
      </c>
      <c r="O82">
        <v>3183.4250000000002</v>
      </c>
      <c r="P82">
        <v>3437.53</v>
      </c>
      <c r="R82" s="3">
        <f t="shared" si="6"/>
        <v>3142.4731999999999</v>
      </c>
      <c r="S82" s="3">
        <f t="shared" si="7"/>
        <v>187.66715202384287</v>
      </c>
    </row>
    <row r="83" spans="1:19" x14ac:dyDescent="0.25">
      <c r="A83">
        <v>91.25</v>
      </c>
      <c r="B83">
        <v>2612.971</v>
      </c>
      <c r="C83">
        <v>3526.89</v>
      </c>
      <c r="D83">
        <v>3686.3440000000001</v>
      </c>
      <c r="E83">
        <v>3848.8530000000001</v>
      </c>
      <c r="F83">
        <v>2803.3440000000001</v>
      </c>
      <c r="H83" s="2">
        <f t="shared" si="4"/>
        <v>3295.6804000000002</v>
      </c>
      <c r="I83" s="2">
        <f t="shared" si="5"/>
        <v>247.03877312085933</v>
      </c>
      <c r="K83">
        <v>91.25</v>
      </c>
      <c r="L83">
        <v>2454.0529999999999</v>
      </c>
      <c r="M83">
        <v>3491.8330000000001</v>
      </c>
      <c r="N83">
        <v>3143.6489999999999</v>
      </c>
      <c r="O83">
        <v>3173.4589999999998</v>
      </c>
      <c r="P83">
        <v>3447.8980000000001</v>
      </c>
      <c r="R83" s="3">
        <f t="shared" si="6"/>
        <v>3142.1783999999998</v>
      </c>
      <c r="S83" s="3">
        <f t="shared" si="7"/>
        <v>185.77136725706529</v>
      </c>
    </row>
    <row r="84" spans="1:19" x14ac:dyDescent="0.25">
      <c r="A84">
        <v>92.5</v>
      </c>
      <c r="B84">
        <v>2802.0590000000002</v>
      </c>
      <c r="C84">
        <v>3591.9380000000001</v>
      </c>
      <c r="D84">
        <v>3730.0619999999999</v>
      </c>
      <c r="E84">
        <v>3877.6370000000002</v>
      </c>
      <c r="F84">
        <v>2949.3510000000001</v>
      </c>
      <c r="H84" s="2">
        <f t="shared" si="4"/>
        <v>3390.2094000000006</v>
      </c>
      <c r="I84" s="2">
        <f t="shared" si="5"/>
        <v>216.10841086098236</v>
      </c>
      <c r="K84">
        <v>92.5</v>
      </c>
      <c r="L84">
        <v>2618.1320000000001</v>
      </c>
      <c r="M84">
        <v>3564.0369999999998</v>
      </c>
      <c r="N84">
        <v>3200.0729999999999</v>
      </c>
      <c r="O84">
        <v>3327.15</v>
      </c>
      <c r="P84">
        <v>3505.1509999999998</v>
      </c>
      <c r="R84" s="3">
        <f t="shared" si="6"/>
        <v>3242.9085999999998</v>
      </c>
      <c r="S84" s="3">
        <f t="shared" si="7"/>
        <v>168.99287376294996</v>
      </c>
    </row>
    <row r="85" spans="1:19" x14ac:dyDescent="0.25">
      <c r="A85">
        <v>93.75</v>
      </c>
      <c r="B85">
        <v>3080.127</v>
      </c>
      <c r="C85">
        <v>3745.3560000000002</v>
      </c>
      <c r="D85">
        <v>3786.6460000000002</v>
      </c>
      <c r="E85">
        <v>3879.9879999999998</v>
      </c>
      <c r="F85">
        <v>3169.4119999999998</v>
      </c>
      <c r="H85" s="2">
        <f t="shared" si="4"/>
        <v>3532.3057999999996</v>
      </c>
      <c r="I85" s="2">
        <f t="shared" si="5"/>
        <v>168.39237133860908</v>
      </c>
      <c r="K85">
        <v>93.75</v>
      </c>
      <c r="L85">
        <v>2850.0160000000001</v>
      </c>
      <c r="M85">
        <v>3698.5889999999999</v>
      </c>
      <c r="N85">
        <v>3318.018</v>
      </c>
      <c r="O85">
        <v>3577.6669999999999</v>
      </c>
      <c r="P85">
        <v>3631.0949999999998</v>
      </c>
      <c r="R85" s="3">
        <f t="shared" si="6"/>
        <v>3415.0769999999998</v>
      </c>
      <c r="S85" s="3">
        <f t="shared" si="7"/>
        <v>155.27277961220372</v>
      </c>
    </row>
    <row r="86" spans="1:19" x14ac:dyDescent="0.25">
      <c r="A86">
        <v>95</v>
      </c>
      <c r="B86">
        <v>3359.7829999999999</v>
      </c>
      <c r="C86">
        <v>3944.8009999999999</v>
      </c>
      <c r="D86">
        <v>3852.0569999999998</v>
      </c>
      <c r="E86">
        <v>3884.9659999999999</v>
      </c>
      <c r="F86">
        <v>3419.5030000000002</v>
      </c>
      <c r="H86" s="2">
        <f t="shared" si="4"/>
        <v>3692.2220000000002</v>
      </c>
      <c r="I86" s="2">
        <f t="shared" si="5"/>
        <v>124.77679465429455</v>
      </c>
      <c r="K86">
        <v>95</v>
      </c>
      <c r="L86">
        <v>3072.8719999999998</v>
      </c>
      <c r="M86">
        <v>3822.0149999999999</v>
      </c>
      <c r="N86">
        <v>3439.183</v>
      </c>
      <c r="O86">
        <v>3831.8409999999999</v>
      </c>
      <c r="P86">
        <v>3793.8380000000002</v>
      </c>
      <c r="R86" s="3">
        <f t="shared" si="6"/>
        <v>3591.9497999999999</v>
      </c>
      <c r="S86" s="3">
        <f t="shared" si="7"/>
        <v>148.99934345875491</v>
      </c>
    </row>
    <row r="87" spans="1:19" x14ac:dyDescent="0.25">
      <c r="A87">
        <v>96.25</v>
      </c>
      <c r="B87">
        <v>3663.8330000000001</v>
      </c>
      <c r="C87">
        <v>4211.4160000000002</v>
      </c>
      <c r="D87">
        <v>3946.7080000000001</v>
      </c>
      <c r="E87">
        <v>3977.1129999999998</v>
      </c>
      <c r="F87">
        <v>3730.732</v>
      </c>
      <c r="H87" s="2">
        <f t="shared" si="4"/>
        <v>3905.9603999999999</v>
      </c>
      <c r="I87" s="2">
        <f t="shared" si="5"/>
        <v>97.302839876644924</v>
      </c>
      <c r="K87">
        <v>96.25</v>
      </c>
      <c r="L87">
        <v>3361.982</v>
      </c>
      <c r="M87">
        <v>3999.4</v>
      </c>
      <c r="N87">
        <v>3598.5340000000001</v>
      </c>
      <c r="O87">
        <v>4103.7380000000003</v>
      </c>
      <c r="P87">
        <v>4012.3359999999998</v>
      </c>
      <c r="R87" s="3">
        <f t="shared" si="6"/>
        <v>3815.1979999999994</v>
      </c>
      <c r="S87" s="3">
        <f t="shared" si="7"/>
        <v>142.89806349282696</v>
      </c>
    </row>
    <row r="88" spans="1:19" x14ac:dyDescent="0.25">
      <c r="A88">
        <v>97.5</v>
      </c>
      <c r="B88">
        <v>4017.819</v>
      </c>
      <c r="C88">
        <v>4530.9179999999997</v>
      </c>
      <c r="D88">
        <v>4218.0320000000002</v>
      </c>
      <c r="E88">
        <v>4229.817</v>
      </c>
      <c r="F88">
        <v>4096.3469999999998</v>
      </c>
      <c r="H88" s="2">
        <f t="shared" si="4"/>
        <v>4218.5865999999996</v>
      </c>
      <c r="I88" s="2">
        <f t="shared" si="5"/>
        <v>87.443548049355783</v>
      </c>
      <c r="K88">
        <v>97.5</v>
      </c>
      <c r="L88">
        <v>3682.5859999999998</v>
      </c>
      <c r="M88">
        <v>4295.2209999999995</v>
      </c>
      <c r="N88">
        <v>3905.9369999999999</v>
      </c>
      <c r="O88">
        <v>4474.6099999999997</v>
      </c>
      <c r="P88">
        <v>4325.6419999999998</v>
      </c>
      <c r="R88" s="3">
        <f t="shared" si="6"/>
        <v>4136.7991999999995</v>
      </c>
      <c r="S88" s="3">
        <f t="shared" si="7"/>
        <v>147.39100937078894</v>
      </c>
    </row>
    <row r="89" spans="1:19" x14ac:dyDescent="0.25">
      <c r="A89">
        <v>98.75</v>
      </c>
      <c r="B89">
        <v>4283.6679999999997</v>
      </c>
      <c r="C89">
        <v>4788.4549999999999</v>
      </c>
      <c r="D89">
        <v>4496.2120000000004</v>
      </c>
      <c r="E89">
        <v>4480.2179999999998</v>
      </c>
      <c r="F89">
        <v>4362.7910000000002</v>
      </c>
      <c r="H89" s="2">
        <f t="shared" si="4"/>
        <v>4482.2687999999998</v>
      </c>
      <c r="I89" s="2">
        <f t="shared" si="5"/>
        <v>85.926081643119289</v>
      </c>
      <c r="K89">
        <v>98.75</v>
      </c>
      <c r="L89">
        <v>3899.46</v>
      </c>
      <c r="M89">
        <v>4536.45</v>
      </c>
      <c r="N89">
        <v>4204.6189999999997</v>
      </c>
      <c r="O89">
        <v>4761.7619999999997</v>
      </c>
      <c r="P89">
        <v>4590.6220000000003</v>
      </c>
      <c r="R89" s="3">
        <f t="shared" si="6"/>
        <v>4398.5825999999997</v>
      </c>
      <c r="S89" s="3">
        <f t="shared" si="7"/>
        <v>154.03426172043672</v>
      </c>
    </row>
    <row r="90" spans="1:19" x14ac:dyDescent="0.25">
      <c r="A90">
        <v>100</v>
      </c>
      <c r="B90">
        <v>4328.5039999999999</v>
      </c>
      <c r="C90">
        <v>4820.5720000000001</v>
      </c>
      <c r="D90">
        <v>4625.6170000000002</v>
      </c>
      <c r="E90">
        <v>4528.1210000000001</v>
      </c>
      <c r="F90">
        <v>4382.9880000000003</v>
      </c>
      <c r="H90" s="2">
        <f t="shared" si="4"/>
        <v>4537.1604000000007</v>
      </c>
      <c r="I90" s="2">
        <f t="shared" si="5"/>
        <v>88.185894006127768</v>
      </c>
      <c r="K90">
        <v>100</v>
      </c>
      <c r="L90">
        <v>3904.3829999999998</v>
      </c>
      <c r="M90">
        <v>4566.9639999999999</v>
      </c>
      <c r="N90">
        <v>4287.942</v>
      </c>
      <c r="O90">
        <v>4828.6909999999998</v>
      </c>
      <c r="P90">
        <v>4643.7910000000002</v>
      </c>
      <c r="R90" s="3">
        <f t="shared" si="6"/>
        <v>4446.3541999999998</v>
      </c>
      <c r="S90" s="3">
        <f t="shared" si="7"/>
        <v>161.01811221455804</v>
      </c>
    </row>
    <row r="91" spans="1:19" x14ac:dyDescent="0.25">
      <c r="A91">
        <v>101.25</v>
      </c>
      <c r="B91">
        <v>4142.1660000000002</v>
      </c>
      <c r="C91">
        <v>4617.6620000000003</v>
      </c>
      <c r="D91">
        <v>4541.7190000000001</v>
      </c>
      <c r="E91">
        <v>4380.1049999999996</v>
      </c>
      <c r="F91">
        <v>4199.5659999999998</v>
      </c>
      <c r="H91" s="2">
        <f t="shared" si="4"/>
        <v>4376.2435999999998</v>
      </c>
      <c r="I91" s="2">
        <f t="shared" si="5"/>
        <v>92.651810407892214</v>
      </c>
      <c r="K91">
        <v>101.25</v>
      </c>
      <c r="L91">
        <v>3719.9720000000002</v>
      </c>
      <c r="M91">
        <v>4382.107</v>
      </c>
      <c r="N91">
        <v>4161.4279999999999</v>
      </c>
      <c r="O91">
        <v>4665.058</v>
      </c>
      <c r="P91">
        <v>4484.1090000000004</v>
      </c>
      <c r="R91" s="3">
        <f t="shared" si="6"/>
        <v>4282.5347999999994</v>
      </c>
      <c r="S91" s="3">
        <f t="shared" si="7"/>
        <v>162.48300535852968</v>
      </c>
    </row>
    <row r="92" spans="1:19" x14ac:dyDescent="0.25">
      <c r="A92">
        <v>102.5</v>
      </c>
      <c r="B92">
        <v>3760.45</v>
      </c>
      <c r="C92">
        <v>4229.55</v>
      </c>
      <c r="D92">
        <v>4227.04</v>
      </c>
      <c r="E92">
        <v>4020.6529999999998</v>
      </c>
      <c r="F92">
        <v>3846.7829999999999</v>
      </c>
      <c r="H92" s="2">
        <f t="shared" si="4"/>
        <v>4016.8952000000004</v>
      </c>
      <c r="I92" s="2">
        <f t="shared" si="5"/>
        <v>95.942514867706123</v>
      </c>
      <c r="K92">
        <v>102.5</v>
      </c>
      <c r="L92">
        <v>3398.2739999999999</v>
      </c>
      <c r="M92">
        <v>4054.2910000000002</v>
      </c>
      <c r="N92">
        <v>3848.2249999999999</v>
      </c>
      <c r="O92">
        <v>4309.0600000000004</v>
      </c>
      <c r="P92">
        <v>4120.0640000000003</v>
      </c>
      <c r="R92" s="3">
        <f t="shared" si="6"/>
        <v>3945.9828000000007</v>
      </c>
      <c r="S92" s="3">
        <f t="shared" si="7"/>
        <v>155.46727961194932</v>
      </c>
    </row>
    <row r="93" spans="1:19" x14ac:dyDescent="0.25">
      <c r="A93">
        <v>103.75</v>
      </c>
      <c r="B93">
        <v>3280.201</v>
      </c>
      <c r="C93">
        <v>3733.3139999999999</v>
      </c>
      <c r="D93">
        <v>3757.7449999999999</v>
      </c>
      <c r="E93">
        <v>3517.5189999999998</v>
      </c>
      <c r="F93">
        <v>3379.7930000000001</v>
      </c>
      <c r="H93" s="2">
        <f t="shared" si="4"/>
        <v>3533.7143999999998</v>
      </c>
      <c r="I93" s="2">
        <f t="shared" si="5"/>
        <v>94.406790644317482</v>
      </c>
      <c r="K93">
        <v>103.75</v>
      </c>
      <c r="L93">
        <v>3016.1660000000002</v>
      </c>
      <c r="M93">
        <v>3610.3339999999998</v>
      </c>
      <c r="N93">
        <v>3418.654</v>
      </c>
      <c r="O93">
        <v>3852.4989999999998</v>
      </c>
      <c r="P93">
        <v>3652.067</v>
      </c>
      <c r="R93" s="3">
        <f t="shared" si="6"/>
        <v>3509.9440000000004</v>
      </c>
      <c r="S93" s="3">
        <f t="shared" si="7"/>
        <v>141.38097549493702</v>
      </c>
    </row>
    <row r="94" spans="1:19" x14ac:dyDescent="0.25">
      <c r="A94">
        <v>105</v>
      </c>
      <c r="B94">
        <v>2880.1840000000002</v>
      </c>
      <c r="C94">
        <v>3268.2689999999998</v>
      </c>
      <c r="D94">
        <v>3297.0749999999998</v>
      </c>
      <c r="E94">
        <v>3052.8589999999999</v>
      </c>
      <c r="F94">
        <v>2971.45</v>
      </c>
      <c r="H94" s="2">
        <f t="shared" si="4"/>
        <v>3093.9674</v>
      </c>
      <c r="I94" s="2">
        <f t="shared" si="5"/>
        <v>81.864980580587627</v>
      </c>
      <c r="K94">
        <v>105</v>
      </c>
      <c r="L94">
        <v>2692.1370000000002</v>
      </c>
      <c r="M94">
        <v>3190.4479999999999</v>
      </c>
      <c r="N94">
        <v>3008.6909999999998</v>
      </c>
      <c r="O94">
        <v>3447.1460000000002</v>
      </c>
      <c r="P94">
        <v>3249.5329999999999</v>
      </c>
      <c r="R94" s="3">
        <f t="shared" si="6"/>
        <v>3117.5909999999999</v>
      </c>
      <c r="S94" s="3">
        <f t="shared" si="7"/>
        <v>127.31725098233939</v>
      </c>
    </row>
    <row r="95" spans="1:19" x14ac:dyDescent="0.25">
      <c r="A95">
        <v>106.25</v>
      </c>
      <c r="B95">
        <v>2637.431</v>
      </c>
      <c r="C95">
        <v>2976.636</v>
      </c>
      <c r="D95">
        <v>2971.4740000000002</v>
      </c>
      <c r="E95">
        <v>2764.6010000000001</v>
      </c>
      <c r="F95">
        <v>2706.087</v>
      </c>
      <c r="H95" s="2">
        <f t="shared" si="4"/>
        <v>2811.2458000000001</v>
      </c>
      <c r="I95" s="2">
        <f t="shared" si="5"/>
        <v>69.45239002899757</v>
      </c>
      <c r="K95">
        <v>106.25</v>
      </c>
      <c r="L95">
        <v>2453.3220000000001</v>
      </c>
      <c r="M95">
        <v>2907.645</v>
      </c>
      <c r="N95">
        <v>2711.7730000000001</v>
      </c>
      <c r="O95">
        <v>3166.3609999999999</v>
      </c>
      <c r="P95">
        <v>2979.08</v>
      </c>
      <c r="R95" s="3">
        <f t="shared" si="6"/>
        <v>2843.6361999999999</v>
      </c>
      <c r="S95" s="3">
        <f t="shared" si="7"/>
        <v>121.72233242236194</v>
      </c>
    </row>
    <row r="96" spans="1:19" x14ac:dyDescent="0.25">
      <c r="A96">
        <v>107.5</v>
      </c>
      <c r="B96">
        <v>2466.0239999999999</v>
      </c>
      <c r="C96">
        <v>2792.1869999999999</v>
      </c>
      <c r="D96">
        <v>2749.9369999999999</v>
      </c>
      <c r="E96">
        <v>2573.1640000000002</v>
      </c>
      <c r="F96">
        <v>2520.5439999999999</v>
      </c>
      <c r="H96" s="2">
        <f t="shared" si="4"/>
        <v>2620.3712</v>
      </c>
      <c r="I96" s="2">
        <f t="shared" si="5"/>
        <v>64.158013294833239</v>
      </c>
      <c r="K96">
        <v>107.5</v>
      </c>
      <c r="L96">
        <v>2294.1469999999999</v>
      </c>
      <c r="M96">
        <v>2704.471</v>
      </c>
      <c r="N96">
        <v>2515.2240000000002</v>
      </c>
      <c r="O96">
        <v>2958.2240000000002</v>
      </c>
      <c r="P96">
        <v>2788.6909999999998</v>
      </c>
      <c r="R96" s="3">
        <f t="shared" si="6"/>
        <v>2652.1514000000002</v>
      </c>
      <c r="S96" s="3">
        <f t="shared" si="7"/>
        <v>114.45022994149029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BRIGHT!OCT_RAW___\AD06\_dark_profiles_AD06_DARK</vt:lpstr>
      <vt:lpstr>BRIGHT!OCT_RAW___\AD06\_light_profiles_AD06_LIGHT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2019-11-17T01:39:56Z</dcterms:modified>
</cp:coreProperties>
</file>