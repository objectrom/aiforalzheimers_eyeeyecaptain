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439\"/>
    </mc:Choice>
  </mc:AlternateContent>
  <xr:revisionPtr revIDLastSave="0" documentId="13_ncr:1_{E4E6AB85-1217-4F9B-A5BF-F674C7DB9B81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03\_dark_profiles_AD03_DARK" localSheetId="0">BRIGHT!$A$2:$F$96</definedName>
    <definedName name="OCT_RAW___\CO03\_fovea_dark_profiles_CO03_DARK" localSheetId="0">BRIGHT!#REF!</definedName>
    <definedName name="OCT_RAW___\CO03\_fovea_light_profiles_CO03_LIGHT" localSheetId="0">BRIGHT!#REF!</definedName>
    <definedName name="OCT_RAW___\CO03\_light_profiles_CO03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BCCD6F-AAA6-47DF-A606-DE927A334029}" name="[[[OCT RAW]]]\AD03\_dark_profiles_AD03_DARK" type="6" refreshedVersion="6" background="1" saveData="1">
    <textPr codePage="437" sourceFile="E:\[Documents]\[[[OCT RAW]]]\AD03\_dark_profiles_AD03_DARK.txt" space="1" consecutive="1">
      <textFields count="6">
        <textField/>
        <textField/>
        <textField/>
        <textField/>
        <textField/>
        <textField/>
      </textFields>
    </textPr>
  </connection>
  <connection id="2" xr16:uid="{E7640474-68AF-4691-BE8E-1FE2E6760E3B}" name="[[[OCT RAW]]]\CO03\_light_profiles_CO03_LIGHT" type="6" refreshedVersion="6" background="1" saveData="1">
    <textPr codePage="437" sourceFile="E:\[Documents]\[[[OCT RAW]]]\CO03\_light_profiles_CO03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<sst xmlns="http://schemas.openxmlformats.org/spreadsheetml/2006/main" count="12" uniqueCount="8">
  <si>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</si>
  <si>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</si>
  <si>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</si>
  <si>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</si>
  <si>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</si>
  <si>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</si>
  <si>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AD439_DARK</t>
  </si>
  <si>
    <t>AD439_LIGHT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</si>
</sst>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747.18459999999993</c:v>
                </c:pt>
                <c:pt idx="1">
                  <c:v>998.66219999999998</c:v>
                </c:pt>
                <c:pt idx="2">
                  <c:v>1538.5140000000001</c:v>
                </c:pt>
                <c:pt idx="3">
                  <c:v>2208.8671999999997</c:v>
                </c:pt>
                <c:pt idx="4">
                  <c:v>2879.5214000000001</c:v>
                </c:pt>
                <c:pt idx="5">
                  <c:v>3278.1932000000002</c:v>
                </c:pt>
                <c:pt idx="6">
                  <c:v>3474.9247999999998</c:v>
                </c:pt>
                <c:pt idx="7">
                  <c:v>3573.2697999999996</c:v>
                </c:pt>
                <c:pt idx="8">
                  <c:v>3613.8907999999997</c:v>
                </c:pt>
                <c:pt idx="9">
                  <c:v>3557.8784000000001</c:v>
                </c:pt>
                <c:pt idx="10">
                  <c:v>3343.5581999999995</c:v>
                </c:pt>
                <c:pt idx="11">
                  <c:v>2984.8036000000002</c:v>
                </c:pt>
                <c:pt idx="12">
                  <c:v>2689.2608</c:v>
                </c:pt>
                <c:pt idx="13">
                  <c:v>2570.1898000000001</c:v>
                </c:pt>
                <c:pt idx="14">
                  <c:v>2544.5393999999997</c:v>
                </c:pt>
                <c:pt idx="15">
                  <c:v>2550.9808000000003</c:v>
                </c:pt>
                <c:pt idx="16">
                  <c:v>2567.0216</c:v>
                </c:pt>
                <c:pt idx="17">
                  <c:v>2566.3849999999998</c:v>
                </c:pt>
                <c:pt idx="18">
                  <c:v>2540.1970000000001</c:v>
                </c:pt>
                <c:pt idx="19">
                  <c:v>2512.5742</c:v>
                </c:pt>
                <c:pt idx="20">
                  <c:v>2496.4476000000004</c:v>
                </c:pt>
                <c:pt idx="21">
                  <c:v>2497.123</c:v>
                </c:pt>
                <c:pt idx="22">
                  <c:v>2521.835</c:v>
                </c:pt>
                <c:pt idx="23">
                  <c:v>2567.0766000000003</c:v>
                </c:pt>
                <c:pt idx="24">
                  <c:v>2599.5216</c:v>
                </c:pt>
                <c:pt idx="25">
                  <c:v>2606.3774000000003</c:v>
                </c:pt>
                <c:pt idx="26">
                  <c:v>2614.5315999999998</c:v>
                </c:pt>
                <c:pt idx="27">
                  <c:v>2635.6347999999998</c:v>
                </c:pt>
                <c:pt idx="28">
                  <c:v>2639.0010000000002</c:v>
                </c:pt>
                <c:pt idx="29">
                  <c:v>2636.4064000000003</c:v>
                </c:pt>
                <c:pt idx="30">
                  <c:v>2645.95</c:v>
                </c:pt>
                <c:pt idx="31">
                  <c:v>2621.3281999999999</c:v>
                </c:pt>
                <c:pt idx="32">
                  <c:v>2492.0016000000005</c:v>
                </c:pt>
                <c:pt idx="33">
                  <c:v>2312.3948</c:v>
                </c:pt>
                <c:pt idx="34">
                  <c:v>2168.3679999999999</c:v>
                </c:pt>
                <c:pt idx="35">
                  <c:v>2083.5234</c:v>
                </c:pt>
                <c:pt idx="36">
                  <c:v>2037.1259999999997</c:v>
                </c:pt>
                <c:pt idx="37">
                  <c:v>2017.3763999999999</c:v>
                </c:pt>
                <c:pt idx="38">
                  <c:v>2024.4803999999999</c:v>
                </c:pt>
                <c:pt idx="39">
                  <c:v>2051.2143999999998</c:v>
                </c:pt>
                <c:pt idx="40">
                  <c:v>2102.1367999999998</c:v>
                </c:pt>
                <c:pt idx="41">
                  <c:v>2179.9924000000001</c:v>
                </c:pt>
                <c:pt idx="42">
                  <c:v>2240.7694000000001</c:v>
                </c:pt>
                <c:pt idx="43">
                  <c:v>2286.0185999999999</c:v>
                </c:pt>
                <c:pt idx="44">
                  <c:v>2342.9409999999998</c:v>
                </c:pt>
                <c:pt idx="45">
                  <c:v>2418.9317999999998</c:v>
                </c:pt>
                <c:pt idx="46">
                  <c:v>2469.4226000000003</c:v>
                </c:pt>
                <c:pt idx="47">
                  <c:v>2447.0574000000001</c:v>
                </c:pt>
                <c:pt idx="48">
                  <c:v>2343.3885999999998</c:v>
                </c:pt>
                <c:pt idx="49">
                  <c:v>2194.9598000000001</c:v>
                </c:pt>
                <c:pt idx="50">
                  <c:v>2052.3319999999999</c:v>
                </c:pt>
                <c:pt idx="51">
                  <c:v>1945.7747999999999</c:v>
                </c:pt>
                <c:pt idx="52">
                  <c:v>1869.6817999999998</c:v>
                </c:pt>
                <c:pt idx="53">
                  <c:v>1810.0826000000002</c:v>
                </c:pt>
                <c:pt idx="54">
                  <c:v>1753.5696</c:v>
                </c:pt>
                <c:pt idx="55">
                  <c:v>1706.2225999999998</c:v>
                </c:pt>
                <c:pt idx="56">
                  <c:v>1667.2122000000004</c:v>
                </c:pt>
                <c:pt idx="57">
                  <c:v>1633.7246</c:v>
                </c:pt>
                <c:pt idx="58">
                  <c:v>1608.3718000000001</c:v>
                </c:pt>
                <c:pt idx="59">
                  <c:v>1596.8755999999998</c:v>
                </c:pt>
                <c:pt idx="60">
                  <c:v>1583.8183999999997</c:v>
                </c:pt>
                <c:pt idx="61">
                  <c:v>1562.7366</c:v>
                </c:pt>
                <c:pt idx="62">
                  <c:v>1547.8110000000001</c:v>
                </c:pt>
                <c:pt idx="63">
                  <c:v>1596.8561999999999</c:v>
                </c:pt>
                <c:pt idx="64">
                  <c:v>1746.9880000000001</c:v>
                </c:pt>
                <c:pt idx="65">
                  <c:v>1833.6496</c:v>
                </c:pt>
                <c:pt idx="66">
                  <c:v>1782.0954000000002</c:v>
                </c:pt>
                <c:pt idx="67">
                  <c:v>1715.3892000000001</c:v>
                </c:pt>
                <c:pt idx="68">
                  <c:v>1833.7380000000001</c:v>
                </c:pt>
                <c:pt idx="69">
                  <c:v>2334.6305999999995</c:v>
                </c:pt>
                <c:pt idx="70">
                  <c:v>3097.8413999999998</c:v>
                </c:pt>
                <c:pt idx="71">
                  <c:v>3749.1097999999997</c:v>
                </c:pt>
                <c:pt idx="72">
                  <c:v>3936.3211999999999</c:v>
                </c:pt>
                <c:pt idx="73">
                  <c:v>3598.1754000000001</c:v>
                </c:pt>
                <c:pt idx="74">
                  <c:v>3060.1541999999999</c:v>
                </c:pt>
                <c:pt idx="75">
                  <c:v>2815.3011999999999</c:v>
                </c:pt>
                <c:pt idx="76">
                  <c:v>2981.7393999999999</c:v>
                </c:pt>
                <c:pt idx="77">
                  <c:v>3289.8510000000001</c:v>
                </c:pt>
                <c:pt idx="78">
                  <c:v>3584.7421999999997</c:v>
                </c:pt>
                <c:pt idx="79">
                  <c:v>3797.9993999999997</c:v>
                </c:pt>
                <c:pt idx="80">
                  <c:v>3955.8381999999997</c:v>
                </c:pt>
                <c:pt idx="81">
                  <c:v>4162.4705999999996</c:v>
                </c:pt>
                <c:pt idx="82">
                  <c:v>4383.1940000000004</c:v>
                </c:pt>
                <c:pt idx="83">
                  <c:v>4408.2434000000003</c:v>
                </c:pt>
                <c:pt idx="84">
                  <c:v>4173.5029999999997</c:v>
                </c:pt>
                <c:pt idx="85">
                  <c:v>3802.0838000000003</c:v>
                </c:pt>
                <c:pt idx="86">
                  <c:v>3366.2352000000001</c:v>
                </c:pt>
                <c:pt idx="87">
                  <c:v>2973.9080000000004</c:v>
                </c:pt>
                <c:pt idx="88">
                  <c:v>2728.1138000000001</c:v>
                </c:pt>
                <c:pt idx="89">
                  <c:v>2573.5792000000001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666.02420000000006</c:v>
                </c:pt>
                <c:pt idx="1">
                  <c:v>847.90699999999993</c:v>
                </c:pt>
                <c:pt idx="2">
                  <c:v>1411.4186000000002</c:v>
                </c:pt>
                <c:pt idx="3">
                  <c:v>2104.1361999999999</c:v>
                </c:pt>
                <c:pt idx="4">
                  <c:v>2808.1451999999999</c:v>
                </c:pt>
                <c:pt idx="5">
                  <c:v>3182.8172</c:v>
                </c:pt>
                <c:pt idx="6">
                  <c:v>3336.2403999999997</c:v>
                </c:pt>
                <c:pt idx="7">
                  <c:v>3406.3134</c:v>
                </c:pt>
                <c:pt idx="8">
                  <c:v>3439.7158000000004</c:v>
                </c:pt>
                <c:pt idx="9">
                  <c:v>3374.7876000000006</c:v>
                </c:pt>
                <c:pt idx="10">
                  <c:v>3167.9907999999996</c:v>
                </c:pt>
                <c:pt idx="11">
                  <c:v>2777.7483999999999</c:v>
                </c:pt>
                <c:pt idx="12">
                  <c:v>2470.5796</c:v>
                </c:pt>
                <c:pt idx="13">
                  <c:v>2347.4970000000003</c:v>
                </c:pt>
                <c:pt idx="14">
                  <c:v>2318.9120000000003</c:v>
                </c:pt>
                <c:pt idx="15">
                  <c:v>2324.7592</c:v>
                </c:pt>
                <c:pt idx="16">
                  <c:v>2333.9908</c:v>
                </c:pt>
                <c:pt idx="17">
                  <c:v>2330.8362000000002</c:v>
                </c:pt>
                <c:pt idx="18">
                  <c:v>2308.4523999999997</c:v>
                </c:pt>
                <c:pt idx="19">
                  <c:v>2286.6995999999999</c:v>
                </c:pt>
                <c:pt idx="20">
                  <c:v>2272.0634</c:v>
                </c:pt>
                <c:pt idx="21">
                  <c:v>2273.2876000000001</c:v>
                </c:pt>
                <c:pt idx="22">
                  <c:v>2302.9892</c:v>
                </c:pt>
                <c:pt idx="23">
                  <c:v>2345.2362000000003</c:v>
                </c:pt>
                <c:pt idx="24">
                  <c:v>2378.0914000000002</c:v>
                </c:pt>
                <c:pt idx="25">
                  <c:v>2379.3748000000001</c:v>
                </c:pt>
                <c:pt idx="26">
                  <c:v>2382.5401999999999</c:v>
                </c:pt>
                <c:pt idx="27">
                  <c:v>2412.7796000000003</c:v>
                </c:pt>
                <c:pt idx="28">
                  <c:v>2418.8964000000001</c:v>
                </c:pt>
                <c:pt idx="29">
                  <c:v>2403.2349999999997</c:v>
                </c:pt>
                <c:pt idx="30">
                  <c:v>2425.3200000000002</c:v>
                </c:pt>
                <c:pt idx="31">
                  <c:v>2418.6625999999997</c:v>
                </c:pt>
                <c:pt idx="32">
                  <c:v>2303.2885999999999</c:v>
                </c:pt>
                <c:pt idx="33">
                  <c:v>2129.6970000000001</c:v>
                </c:pt>
                <c:pt idx="34">
                  <c:v>1994.0298000000003</c:v>
                </c:pt>
                <c:pt idx="35">
                  <c:v>1918.9953999999998</c:v>
                </c:pt>
                <c:pt idx="36">
                  <c:v>1881.1095999999998</c:v>
                </c:pt>
                <c:pt idx="37">
                  <c:v>1867.8128000000002</c:v>
                </c:pt>
                <c:pt idx="38">
                  <c:v>1869.0293999999999</c:v>
                </c:pt>
                <c:pt idx="39">
                  <c:v>1893.5381999999997</c:v>
                </c:pt>
                <c:pt idx="40">
                  <c:v>1939.7121999999999</c:v>
                </c:pt>
                <c:pt idx="41">
                  <c:v>2012.3510000000001</c:v>
                </c:pt>
                <c:pt idx="42">
                  <c:v>2075.8838000000001</c:v>
                </c:pt>
                <c:pt idx="43">
                  <c:v>2114.7350000000001</c:v>
                </c:pt>
                <c:pt idx="44">
                  <c:v>2150.3108000000002</c:v>
                </c:pt>
                <c:pt idx="45">
                  <c:v>2196.0093999999999</c:v>
                </c:pt>
                <c:pt idx="46">
                  <c:v>2227.3074000000001</c:v>
                </c:pt>
                <c:pt idx="47">
                  <c:v>2204.6129999999998</c:v>
                </c:pt>
                <c:pt idx="48">
                  <c:v>2093.7719999999999</c:v>
                </c:pt>
                <c:pt idx="49">
                  <c:v>1925.1858</c:v>
                </c:pt>
                <c:pt idx="50">
                  <c:v>1771.8577999999998</c:v>
                </c:pt>
                <c:pt idx="51">
                  <c:v>1673.9266</c:v>
                </c:pt>
                <c:pt idx="52">
                  <c:v>1609.2738000000002</c:v>
                </c:pt>
                <c:pt idx="53">
                  <c:v>1565.0906</c:v>
                </c:pt>
                <c:pt idx="54">
                  <c:v>1536.8380000000002</c:v>
                </c:pt>
                <c:pt idx="55">
                  <c:v>1505.2614000000001</c:v>
                </c:pt>
                <c:pt idx="56">
                  <c:v>1489.6412</c:v>
                </c:pt>
                <c:pt idx="57">
                  <c:v>1491.9068000000002</c:v>
                </c:pt>
                <c:pt idx="58">
                  <c:v>1499.2117999999998</c:v>
                </c:pt>
                <c:pt idx="59">
                  <c:v>1492.2008000000001</c:v>
                </c:pt>
                <c:pt idx="60">
                  <c:v>1483.1914000000002</c:v>
                </c:pt>
                <c:pt idx="61">
                  <c:v>1468.8824</c:v>
                </c:pt>
                <c:pt idx="62">
                  <c:v>1447.932</c:v>
                </c:pt>
                <c:pt idx="63">
                  <c:v>1503.2989999999998</c:v>
                </c:pt>
                <c:pt idx="64">
                  <c:v>1687.4169999999999</c:v>
                </c:pt>
                <c:pt idx="65">
                  <c:v>1791.44</c:v>
                </c:pt>
                <c:pt idx="66">
                  <c:v>1728.7574</c:v>
                </c:pt>
                <c:pt idx="67">
                  <c:v>1638.9777999999999</c:v>
                </c:pt>
                <c:pt idx="68">
                  <c:v>1782.7518</c:v>
                </c:pt>
                <c:pt idx="69">
                  <c:v>2433.9514000000004</c:v>
                </c:pt>
                <c:pt idx="70">
                  <c:v>3401.9812000000006</c:v>
                </c:pt>
                <c:pt idx="71">
                  <c:v>4204.8769999999995</c:v>
                </c:pt>
                <c:pt idx="72">
                  <c:v>4468.5762000000004</c:v>
                </c:pt>
                <c:pt idx="73">
                  <c:v>4093.5937999999996</c:v>
                </c:pt>
                <c:pt idx="74">
                  <c:v>3397.1122000000005</c:v>
                </c:pt>
                <c:pt idx="75">
                  <c:v>3064.0706</c:v>
                </c:pt>
                <c:pt idx="76">
                  <c:v>3284.8811999999998</c:v>
                </c:pt>
                <c:pt idx="77">
                  <c:v>3680.3008</c:v>
                </c:pt>
                <c:pt idx="78">
                  <c:v>3984.19</c:v>
                </c:pt>
                <c:pt idx="79">
                  <c:v>4027.6133999999997</c:v>
                </c:pt>
                <c:pt idx="80">
                  <c:v>3926.8129999999996</c:v>
                </c:pt>
                <c:pt idx="81">
                  <c:v>3948.2078000000001</c:v>
                </c:pt>
                <c:pt idx="82">
                  <c:v>4141.2125999999998</c:v>
                </c:pt>
                <c:pt idx="83">
                  <c:v>4239.6095999999998</c:v>
                </c:pt>
                <c:pt idx="84">
                  <c:v>4090.1601999999998</c:v>
                </c:pt>
                <c:pt idx="85">
                  <c:v>3763.5747999999999</c:v>
                </c:pt>
                <c:pt idx="86">
                  <c:v>3320.1057999999998</c:v>
                </c:pt>
                <c:pt idx="87">
                  <c:v>2864.4813999999997</c:v>
                </c:pt>
                <c:pt idx="88">
                  <c:v>2571.0834000000004</c:v>
                </c:pt>
                <c:pt idx="89">
                  <c:v>2408.6311999999998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03\_dark_profiles_AD03_DARK" connectionId="1" xr16:uid="{BF21E1BD-5421-4F60-BFC2-ED85F8D51BF1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03\_light_profiles_CO03_LIGHT" connectionId="2" xr16:uid="{8661EE4D-9C6D-45C7-B8D5-348A059A292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V9" sqref="V9:V10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  <col min="22" max="22" width="11.5703125" bestFit="1" customWidth="1"/>
    <col min="23" max="27" width="9" bestFit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3.8159999999999998</v>
      </c>
      <c r="C3">
        <v>-4.6529999999999996</v>
      </c>
      <c r="D3">
        <v>-4.1059999999999999</v>
      </c>
      <c r="E3">
        <v>-4.79</v>
      </c>
      <c r="F3">
        <v>-2.1890000000000001</v>
      </c>
      <c r="K3" t="s">
        <v>0</v>
      </c>
      <c r="L3">
        <v>1.3160000000000001</v>
      </c>
      <c r="M3">
        <v>-0.13</v>
      </c>
      <c r="N3">
        <v>-1.863</v>
      </c>
      <c r="O3">
        <v>-0.96299999999999997</v>
      </c>
      <c r="P3">
        <v>-1.224</v>
      </c>
    </row>
    <row r="4" spans="1:19" x14ac:dyDescent="0.25">
      <c r="A4" t="s">
        <v>1</v>
      </c>
      <c r="B4">
        <v>347.15100000000001</v>
      </c>
      <c r="C4">
        <v>349.08699999999999</v>
      </c>
      <c r="D4">
        <v>348.85599999999999</v>
      </c>
      <c r="E4">
        <v>348.262</v>
      </c>
      <c r="F4">
        <v>349.36900000000003</v>
      </c>
      <c r="H4" s="2">
        <f>AVERAGE(B4:F4)</f>
        <v>348.54499999999996</v>
      </c>
      <c r="I4" s="2">
        <f>STDEV(B4:F4)/SQRT(COUNT(B4:F4))</f>
        <v>0.39324203742733316</v>
      </c>
      <c r="K4" t="s">
        <v>1</v>
      </c>
      <c r="L4">
        <v>347.84</v>
      </c>
      <c r="M4">
        <v>348.149</v>
      </c>
      <c r="N4">
        <v>348.44200000000001</v>
      </c>
      <c r="O4">
        <v>348.60199999999998</v>
      </c>
      <c r="P4">
        <v>349.01299999999998</v>
      </c>
      <c r="R4" s="3">
        <f>AVERAGE(L4:P4)</f>
        <v>348.40919999999994</v>
      </c>
      <c r="S4" s="3">
        <f>STDEV(L4:P4)/SQRT(COUNT(L4:P4))</f>
        <v>0.19931317066365573</v>
      </c>
    </row>
    <row r="5" spans="1:19" x14ac:dyDescent="0.25">
      <c r="A5" t="s">
        <v>2</v>
      </c>
      <c r="B5">
        <v>67.98</v>
      </c>
      <c r="C5">
        <v>69.938999999999993</v>
      </c>
      <c r="D5">
        <v>69.98</v>
      </c>
      <c r="E5">
        <v>69.347999999999999</v>
      </c>
      <c r="F5">
        <v>69.278000000000006</v>
      </c>
      <c r="H5" s="2">
        <f t="shared" ref="H5:H68" si="0">AVERAGE(B5:F5)</f>
        <v>69.305000000000007</v>
      </c>
      <c r="I5" s="2">
        <f t="shared" ref="I5:I68" si="1">STDEV(B5:F5)/SQRT(COUNT(B5:F5))</f>
        <v>0.36164789505816186</v>
      </c>
      <c r="K5" t="s">
        <v>2</v>
      </c>
      <c r="L5">
        <v>68.905000000000001</v>
      </c>
      <c r="M5">
        <v>68.403999999999996</v>
      </c>
      <c r="N5">
        <v>68.894999999999996</v>
      </c>
      <c r="O5">
        <v>68.983000000000004</v>
      </c>
      <c r="P5">
        <v>68.665999999999997</v>
      </c>
      <c r="R5" s="3">
        <f t="shared" ref="R5:R68" si="2">AVERAGE(L5:P5)</f>
        <v>68.770600000000002</v>
      </c>
      <c r="S5" s="3">
        <f t="shared" ref="S5:S68" si="3">STDEV(L5:P5)/SQRT(COUNT(L5:P5))</f>
        <v>0.1058275011516393</v>
      </c>
    </row>
    <row r="6" spans="1:19" x14ac:dyDescent="0.25">
      <c r="A6" t="s">
        <v>3</v>
      </c>
      <c r="B6">
        <v>36.915999999999997</v>
      </c>
      <c r="C6">
        <v>36.22</v>
      </c>
      <c r="D6">
        <v>34.72</v>
      </c>
      <c r="E6">
        <v>35.646999999999998</v>
      </c>
      <c r="F6">
        <v>37.061999999999998</v>
      </c>
      <c r="H6" s="2">
        <f t="shared" si="0"/>
        <v>36.113</v>
      </c>
      <c r="I6" s="2">
        <f t="shared" si="1"/>
        <v>0.43095614626084605</v>
      </c>
      <c r="K6" t="s">
        <v>3</v>
      </c>
      <c r="L6">
        <v>37.747</v>
      </c>
      <c r="M6">
        <v>37.292999999999999</v>
      </c>
      <c r="N6">
        <v>37.649000000000001</v>
      </c>
      <c r="O6">
        <v>37.667000000000002</v>
      </c>
      <c r="P6">
        <v>37.325000000000003</v>
      </c>
      <c r="R6" s="3">
        <f t="shared" si="2"/>
        <v>37.536199999999994</v>
      </c>
      <c r="S6" s="3">
        <f t="shared" si="3"/>
        <v>9.4345323148527005E-2</v>
      </c>
    </row>
    <row r="7" spans="1:19" x14ac:dyDescent="0.25">
      <c r="A7">
        <v>-3.75</v>
      </c>
      <c r="B7">
        <v>798.54</v>
      </c>
      <c r="C7">
        <v>657.16</v>
      </c>
      <c r="D7">
        <v>820.18299999999999</v>
      </c>
      <c r="E7">
        <v>670.12599999999998</v>
      </c>
      <c r="F7">
        <v>789.91399999999999</v>
      </c>
      <c r="H7" s="2">
        <f t="shared" si="0"/>
        <v>747.18459999999993</v>
      </c>
      <c r="I7" s="2">
        <f t="shared" si="1"/>
        <v>34.521298914727986</v>
      </c>
      <c r="K7">
        <v>-3.75</v>
      </c>
      <c r="L7">
        <v>607.76599999999996</v>
      </c>
      <c r="M7">
        <v>608.93299999999999</v>
      </c>
      <c r="N7">
        <v>823.08100000000002</v>
      </c>
      <c r="O7">
        <v>745.11199999999997</v>
      </c>
      <c r="P7">
        <v>545.22900000000004</v>
      </c>
      <c r="R7" s="3">
        <f t="shared" si="2"/>
        <v>666.02420000000006</v>
      </c>
      <c r="S7" s="3">
        <f t="shared" si="3"/>
        <v>51.071822888359577</v>
      </c>
    </row>
    <row r="8" spans="1:19" x14ac:dyDescent="0.25">
      <c r="A8">
        <v>-2.5</v>
      </c>
      <c r="B8">
        <v>1008.687</v>
      </c>
      <c r="C8">
        <v>838.55399999999997</v>
      </c>
      <c r="D8">
        <v>1150.434</v>
      </c>
      <c r="E8">
        <v>938.16099999999994</v>
      </c>
      <c r="F8">
        <v>1057.4749999999999</v>
      </c>
      <c r="H8" s="2">
        <f t="shared" si="0"/>
        <v>998.66219999999998</v>
      </c>
      <c r="I8" s="2">
        <f t="shared" si="1"/>
        <v>52.862629637013491</v>
      </c>
      <c r="K8">
        <v>-2.5</v>
      </c>
      <c r="L8">
        <v>829.44899999999996</v>
      </c>
      <c r="M8">
        <v>728.26199999999994</v>
      </c>
      <c r="N8">
        <v>1013.06</v>
      </c>
      <c r="O8">
        <v>893.97299999999996</v>
      </c>
      <c r="P8">
        <v>774.79100000000005</v>
      </c>
      <c r="R8" s="3">
        <f t="shared" si="2"/>
        <v>847.90699999999993</v>
      </c>
      <c r="S8" s="3">
        <f t="shared" si="3"/>
        <v>49.69867352857608</v>
      </c>
    </row>
    <row r="9" spans="1:19" x14ac:dyDescent="0.25">
      <c r="A9">
        <v>-1.25</v>
      </c>
      <c r="B9">
        <v>1513.2850000000001</v>
      </c>
      <c r="C9">
        <v>1403.434</v>
      </c>
      <c r="D9">
        <v>1722.509</v>
      </c>
      <c r="E9">
        <v>1421.3050000000001</v>
      </c>
      <c r="F9">
        <v>1632.037</v>
      </c>
      <c r="H9" s="2">
        <f t="shared" si="0"/>
        <v>1538.5140000000001</v>
      </c>
      <c r="I9" s="2">
        <f t="shared" si="1"/>
        <v>61.327713994571816</v>
      </c>
      <c r="K9">
        <v>-1.25</v>
      </c>
      <c r="L9">
        <v>1392.527</v>
      </c>
      <c r="M9">
        <v>1252.21</v>
      </c>
      <c r="N9">
        <v>1647.1030000000001</v>
      </c>
      <c r="O9">
        <v>1506.2639999999999</v>
      </c>
      <c r="P9">
        <v>1258.989</v>
      </c>
      <c r="R9" s="3">
        <f t="shared" si="2"/>
        <v>1411.4186000000002</v>
      </c>
      <c r="S9" s="3">
        <f t="shared" si="3"/>
        <v>75.326569059395482</v>
      </c>
    </row>
    <row r="10" spans="1:19" x14ac:dyDescent="0.25">
      <c r="A10">
        <v>0</v>
      </c>
      <c r="B10">
        <v>2190.9119999999998</v>
      </c>
      <c r="C10">
        <v>1976.819</v>
      </c>
      <c r="D10">
        <v>2454.4209999999998</v>
      </c>
      <c r="E10">
        <v>2015.626</v>
      </c>
      <c r="F10">
        <v>2406.558</v>
      </c>
      <c r="H10" s="2">
        <f t="shared" si="0"/>
        <v>2208.8671999999997</v>
      </c>
      <c r="I10" s="2">
        <f t="shared" si="1"/>
        <v>97.695762141149174</v>
      </c>
      <c r="K10">
        <v>0</v>
      </c>
      <c r="L10">
        <v>2063.6640000000002</v>
      </c>
      <c r="M10">
        <v>1992.1320000000001</v>
      </c>
      <c r="N10">
        <v>2400.875</v>
      </c>
      <c r="O10">
        <v>2262.9569999999999</v>
      </c>
      <c r="P10">
        <v>1801.0530000000001</v>
      </c>
      <c r="R10" s="3">
        <f t="shared" si="2"/>
        <v>2104.1361999999999</v>
      </c>
      <c r="S10" s="3">
        <f t="shared" si="3"/>
        <v>104.71874900198145</v>
      </c>
    </row>
    <row r="11" spans="1:19" x14ac:dyDescent="0.25">
      <c r="A11">
        <v>1.25</v>
      </c>
      <c r="B11">
        <v>2903.4960000000001</v>
      </c>
      <c r="C11">
        <v>2540.4740000000002</v>
      </c>
      <c r="D11">
        <v>3145.9839999999999</v>
      </c>
      <c r="E11">
        <v>2600.9540000000002</v>
      </c>
      <c r="F11">
        <v>3206.6990000000001</v>
      </c>
      <c r="H11" s="2">
        <f t="shared" si="0"/>
        <v>2879.5214000000001</v>
      </c>
      <c r="I11" s="2">
        <f t="shared" si="1"/>
        <v>136.23054289974766</v>
      </c>
      <c r="K11">
        <v>1.25</v>
      </c>
      <c r="L11">
        <v>2786.6779999999999</v>
      </c>
      <c r="M11">
        <v>2658.0239999999999</v>
      </c>
      <c r="N11">
        <v>3162.9369999999999</v>
      </c>
      <c r="O11">
        <v>3064.4380000000001</v>
      </c>
      <c r="P11">
        <v>2368.6489999999999</v>
      </c>
      <c r="R11" s="3">
        <f t="shared" si="2"/>
        <v>2808.1451999999999</v>
      </c>
      <c r="S11" s="3">
        <f t="shared" si="3"/>
        <v>142.77908562860534</v>
      </c>
    </row>
    <row r="12" spans="1:19" x14ac:dyDescent="0.25">
      <c r="A12">
        <v>2.5</v>
      </c>
      <c r="B12">
        <v>3262.502</v>
      </c>
      <c r="C12">
        <v>2935.2469999999998</v>
      </c>
      <c r="D12">
        <v>3599.2370000000001</v>
      </c>
      <c r="E12">
        <v>2985.6759999999999</v>
      </c>
      <c r="F12">
        <v>3608.3040000000001</v>
      </c>
      <c r="H12" s="2">
        <f t="shared" si="0"/>
        <v>3278.1932000000002</v>
      </c>
      <c r="I12" s="2">
        <f t="shared" si="1"/>
        <v>144.12960902305957</v>
      </c>
      <c r="K12">
        <v>2.5</v>
      </c>
      <c r="L12">
        <v>3162.9659999999999</v>
      </c>
      <c r="M12">
        <v>2993.442</v>
      </c>
      <c r="N12">
        <v>3570.098</v>
      </c>
      <c r="O12">
        <v>3471.8589999999999</v>
      </c>
      <c r="P12">
        <v>2715.721</v>
      </c>
      <c r="R12" s="3">
        <f t="shared" si="2"/>
        <v>3182.8172</v>
      </c>
      <c r="S12" s="3">
        <f t="shared" si="3"/>
        <v>156.19978821477318</v>
      </c>
    </row>
    <row r="13" spans="1:19" x14ac:dyDescent="0.25">
      <c r="A13">
        <v>3.75</v>
      </c>
      <c r="B13">
        <v>3429.55</v>
      </c>
      <c r="C13">
        <v>3161.692</v>
      </c>
      <c r="D13">
        <v>3841.9630000000002</v>
      </c>
      <c r="E13">
        <v>3197.4780000000001</v>
      </c>
      <c r="F13">
        <v>3743.9409999999998</v>
      </c>
      <c r="H13" s="2">
        <f t="shared" si="0"/>
        <v>3474.9247999999998</v>
      </c>
      <c r="I13" s="2">
        <f t="shared" si="1"/>
        <v>138.60684370239443</v>
      </c>
      <c r="K13">
        <v>3.75</v>
      </c>
      <c r="L13">
        <v>3316.1509999999998</v>
      </c>
      <c r="M13">
        <v>3123.9349999999999</v>
      </c>
      <c r="N13">
        <v>3726.355</v>
      </c>
      <c r="O13">
        <v>3625.75</v>
      </c>
      <c r="P13">
        <v>2889.011</v>
      </c>
      <c r="R13" s="3">
        <f t="shared" si="2"/>
        <v>3336.2403999999997</v>
      </c>
      <c r="S13" s="3">
        <f t="shared" si="3"/>
        <v>155.16064460925651</v>
      </c>
    </row>
    <row r="14" spans="1:19" x14ac:dyDescent="0.25">
      <c r="A14">
        <v>5</v>
      </c>
      <c r="B14">
        <v>3530.99</v>
      </c>
      <c r="C14">
        <v>3273.152</v>
      </c>
      <c r="D14">
        <v>3946.1219999999998</v>
      </c>
      <c r="E14">
        <v>3306.5650000000001</v>
      </c>
      <c r="F14">
        <v>3809.52</v>
      </c>
      <c r="H14" s="2">
        <f t="shared" si="0"/>
        <v>3573.2697999999996</v>
      </c>
      <c r="I14" s="2">
        <f t="shared" si="1"/>
        <v>133.75773730009038</v>
      </c>
      <c r="K14">
        <v>5</v>
      </c>
      <c r="L14">
        <v>3401.7959999999998</v>
      </c>
      <c r="M14">
        <v>3205.56</v>
      </c>
      <c r="N14">
        <v>3782.75</v>
      </c>
      <c r="O14">
        <v>3667.817</v>
      </c>
      <c r="P14">
        <v>2973.6439999999998</v>
      </c>
      <c r="R14" s="3">
        <f t="shared" si="2"/>
        <v>3406.3134</v>
      </c>
      <c r="S14" s="3">
        <f t="shared" si="3"/>
        <v>147.92122749003948</v>
      </c>
    </row>
    <row r="15" spans="1:19" x14ac:dyDescent="0.25">
      <c r="A15">
        <v>6.25</v>
      </c>
      <c r="B15">
        <v>3571.6550000000002</v>
      </c>
      <c r="C15">
        <v>3296.6109999999999</v>
      </c>
      <c r="D15">
        <v>3971.7950000000001</v>
      </c>
      <c r="E15">
        <v>3359.9560000000001</v>
      </c>
      <c r="F15">
        <v>3869.4369999999999</v>
      </c>
      <c r="H15" s="2">
        <f t="shared" si="0"/>
        <v>3613.8907999999997</v>
      </c>
      <c r="I15" s="2">
        <f t="shared" si="1"/>
        <v>134.22602088507278</v>
      </c>
      <c r="K15">
        <v>6.25</v>
      </c>
      <c r="L15">
        <v>3443.3</v>
      </c>
      <c r="M15">
        <v>3234.453</v>
      </c>
      <c r="N15">
        <v>3813.8090000000002</v>
      </c>
      <c r="O15">
        <v>3708.9380000000001</v>
      </c>
      <c r="P15">
        <v>2998.0790000000002</v>
      </c>
      <c r="R15" s="3">
        <f t="shared" si="2"/>
        <v>3439.7158000000004</v>
      </c>
      <c r="S15" s="3">
        <f t="shared" si="3"/>
        <v>149.93582659371307</v>
      </c>
    </row>
    <row r="16" spans="1:19" x14ac:dyDescent="0.25">
      <c r="A16">
        <v>7.5</v>
      </c>
      <c r="B16">
        <v>3532.634</v>
      </c>
      <c r="C16">
        <v>3221.2820000000002</v>
      </c>
      <c r="D16">
        <v>3905.32</v>
      </c>
      <c r="E16">
        <v>3304.39</v>
      </c>
      <c r="F16">
        <v>3825.7660000000001</v>
      </c>
      <c r="H16" s="2">
        <f t="shared" si="0"/>
        <v>3557.8784000000001</v>
      </c>
      <c r="I16" s="2">
        <f t="shared" si="1"/>
        <v>136.13783765052241</v>
      </c>
      <c r="K16">
        <v>7.5</v>
      </c>
      <c r="L16">
        <v>3361.6210000000001</v>
      </c>
      <c r="M16">
        <v>3153.0410000000002</v>
      </c>
      <c r="N16">
        <v>3745.877</v>
      </c>
      <c r="O16">
        <v>3667.5610000000001</v>
      </c>
      <c r="P16">
        <v>2945.8380000000002</v>
      </c>
      <c r="R16" s="3">
        <f t="shared" si="2"/>
        <v>3374.7876000000006</v>
      </c>
      <c r="S16" s="3">
        <f t="shared" si="3"/>
        <v>151.12350575724477</v>
      </c>
    </row>
    <row r="17" spans="1:19" x14ac:dyDescent="0.25">
      <c r="A17">
        <v>8.75</v>
      </c>
      <c r="B17">
        <v>3323.9479999999999</v>
      </c>
      <c r="C17">
        <v>3051.58</v>
      </c>
      <c r="D17">
        <v>3647.9349999999999</v>
      </c>
      <c r="E17">
        <v>3112.5859999999998</v>
      </c>
      <c r="F17">
        <v>3581.7420000000002</v>
      </c>
      <c r="H17" s="2">
        <f t="shared" si="0"/>
        <v>3343.5581999999995</v>
      </c>
      <c r="I17" s="2">
        <f t="shared" si="1"/>
        <v>120.07513176190983</v>
      </c>
      <c r="K17">
        <v>8.75</v>
      </c>
      <c r="L17">
        <v>3117.3110000000001</v>
      </c>
      <c r="M17">
        <v>2959.5810000000001</v>
      </c>
      <c r="N17">
        <v>3533.462</v>
      </c>
      <c r="O17">
        <v>3458.7979999999998</v>
      </c>
      <c r="P17">
        <v>2770.8020000000001</v>
      </c>
      <c r="R17" s="3">
        <f t="shared" si="2"/>
        <v>3167.9907999999996</v>
      </c>
      <c r="S17" s="3">
        <f t="shared" si="3"/>
        <v>145.24118825436531</v>
      </c>
    </row>
    <row r="18" spans="1:19" x14ac:dyDescent="0.25">
      <c r="A18">
        <v>10</v>
      </c>
      <c r="B18">
        <v>2917.8139999999999</v>
      </c>
      <c r="C18">
        <v>2785.4229999999998</v>
      </c>
      <c r="D18">
        <v>3272.134</v>
      </c>
      <c r="E18">
        <v>2811.201</v>
      </c>
      <c r="F18">
        <v>3137.4459999999999</v>
      </c>
      <c r="H18" s="2">
        <f t="shared" si="0"/>
        <v>2984.8036000000002</v>
      </c>
      <c r="I18" s="2">
        <f t="shared" si="1"/>
        <v>94.930646772578157</v>
      </c>
      <c r="K18">
        <v>10</v>
      </c>
      <c r="L18">
        <v>2758.357</v>
      </c>
      <c r="M18">
        <v>2582.0639999999999</v>
      </c>
      <c r="N18">
        <v>3069.3580000000002</v>
      </c>
      <c r="O18">
        <v>3022.623</v>
      </c>
      <c r="P18">
        <v>2456.34</v>
      </c>
      <c r="R18" s="3">
        <f t="shared" si="2"/>
        <v>2777.7483999999999</v>
      </c>
      <c r="S18" s="3">
        <f t="shared" si="3"/>
        <v>119.78553730004303</v>
      </c>
    </row>
    <row r="19" spans="1:19" x14ac:dyDescent="0.25">
      <c r="A19">
        <v>11.25</v>
      </c>
      <c r="B19">
        <v>2592.777</v>
      </c>
      <c r="C19">
        <v>2551.59</v>
      </c>
      <c r="D19">
        <v>2951.0459999999998</v>
      </c>
      <c r="E19">
        <v>2561.799</v>
      </c>
      <c r="F19">
        <v>2789.0920000000001</v>
      </c>
      <c r="H19" s="2">
        <f t="shared" si="0"/>
        <v>2689.2608</v>
      </c>
      <c r="I19" s="2">
        <f t="shared" si="1"/>
        <v>78.424053302159749</v>
      </c>
      <c r="K19">
        <v>11.25</v>
      </c>
      <c r="L19">
        <v>2468.1489999999999</v>
      </c>
      <c r="M19">
        <v>2283.1509999999998</v>
      </c>
      <c r="N19">
        <v>2731.7489999999998</v>
      </c>
      <c r="O19">
        <v>2665.2950000000001</v>
      </c>
      <c r="P19">
        <v>2204.5540000000001</v>
      </c>
      <c r="R19" s="3">
        <f t="shared" si="2"/>
        <v>2470.5796</v>
      </c>
      <c r="S19" s="3">
        <f t="shared" si="3"/>
        <v>102.96323379323319</v>
      </c>
    </row>
    <row r="20" spans="1:19" x14ac:dyDescent="0.25">
      <c r="A20">
        <v>12.5</v>
      </c>
      <c r="B20">
        <v>2447.8780000000002</v>
      </c>
      <c r="C20">
        <v>2454.4009999999998</v>
      </c>
      <c r="D20">
        <v>2831.1080000000002</v>
      </c>
      <c r="E20">
        <v>2468.7669999999998</v>
      </c>
      <c r="F20">
        <v>2648.7950000000001</v>
      </c>
      <c r="H20" s="2">
        <f t="shared" si="0"/>
        <v>2570.1898000000001</v>
      </c>
      <c r="I20" s="2">
        <f t="shared" si="1"/>
        <v>75.136839014826847</v>
      </c>
      <c r="K20">
        <v>12.5</v>
      </c>
      <c r="L20">
        <v>2335.2370000000001</v>
      </c>
      <c r="M20">
        <v>2175.8919999999998</v>
      </c>
      <c r="N20">
        <v>2610.096</v>
      </c>
      <c r="O20">
        <v>2524.375</v>
      </c>
      <c r="P20">
        <v>2091.8850000000002</v>
      </c>
      <c r="R20" s="3">
        <f t="shared" si="2"/>
        <v>2347.4970000000003</v>
      </c>
      <c r="S20" s="3">
        <f t="shared" si="3"/>
        <v>98.78768644269384</v>
      </c>
    </row>
    <row r="21" spans="1:19" x14ac:dyDescent="0.25">
      <c r="A21">
        <v>13.75</v>
      </c>
      <c r="B21">
        <v>2409.7779999999998</v>
      </c>
      <c r="C21">
        <v>2439.7399999999998</v>
      </c>
      <c r="D21">
        <v>2805.5340000000001</v>
      </c>
      <c r="E21">
        <v>2447.835</v>
      </c>
      <c r="F21">
        <v>2619.81</v>
      </c>
      <c r="H21" s="2">
        <f t="shared" si="0"/>
        <v>2544.5393999999997</v>
      </c>
      <c r="I21" s="2">
        <f t="shared" si="1"/>
        <v>74.926342031090826</v>
      </c>
      <c r="K21">
        <v>13.75</v>
      </c>
      <c r="L21">
        <v>2302.4479999999999</v>
      </c>
      <c r="M21">
        <v>2158.105</v>
      </c>
      <c r="N21">
        <v>2580.2669999999998</v>
      </c>
      <c r="O21">
        <v>2489.79</v>
      </c>
      <c r="P21">
        <v>2063.9499999999998</v>
      </c>
      <c r="R21" s="3">
        <f t="shared" si="2"/>
        <v>2318.9120000000003</v>
      </c>
      <c r="S21" s="3">
        <f t="shared" si="3"/>
        <v>97.118819725632989</v>
      </c>
    </row>
    <row r="22" spans="1:19" x14ac:dyDescent="0.25">
      <c r="A22">
        <v>15</v>
      </c>
      <c r="B22">
        <v>2417.3000000000002</v>
      </c>
      <c r="C22">
        <v>2449.0419999999999</v>
      </c>
      <c r="D22">
        <v>2809.6039999999998</v>
      </c>
      <c r="E22">
        <v>2463.598</v>
      </c>
      <c r="F22">
        <v>2615.36</v>
      </c>
      <c r="H22" s="2">
        <f t="shared" si="0"/>
        <v>2550.9808000000003</v>
      </c>
      <c r="I22" s="2">
        <f t="shared" si="1"/>
        <v>73.119241633375779</v>
      </c>
      <c r="K22">
        <v>15</v>
      </c>
      <c r="L22">
        <v>2317.5250000000001</v>
      </c>
      <c r="M22">
        <v>2150.6770000000001</v>
      </c>
      <c r="N22">
        <v>2586.89</v>
      </c>
      <c r="O22">
        <v>2504.0160000000001</v>
      </c>
      <c r="P22">
        <v>2064.6880000000001</v>
      </c>
      <c r="R22" s="3">
        <f t="shared" si="2"/>
        <v>2324.7592</v>
      </c>
      <c r="S22" s="3">
        <f t="shared" si="3"/>
        <v>99.709460867763156</v>
      </c>
    </row>
    <row r="23" spans="1:19" x14ac:dyDescent="0.25">
      <c r="A23">
        <v>16.25</v>
      </c>
      <c r="B23">
        <v>2438.2649999999999</v>
      </c>
      <c r="C23">
        <v>2450.2550000000001</v>
      </c>
      <c r="D23">
        <v>2821.3910000000001</v>
      </c>
      <c r="E23">
        <v>2489.9670000000001</v>
      </c>
      <c r="F23">
        <v>2635.23</v>
      </c>
      <c r="H23" s="2">
        <f t="shared" si="0"/>
        <v>2567.0216</v>
      </c>
      <c r="I23" s="2">
        <f t="shared" si="1"/>
        <v>72.631360233441882</v>
      </c>
      <c r="K23">
        <v>16.25</v>
      </c>
      <c r="L23">
        <v>2333.107</v>
      </c>
      <c r="M23">
        <v>2157.7139999999999</v>
      </c>
      <c r="N23">
        <v>2587.0279999999998</v>
      </c>
      <c r="O23">
        <v>2510.39</v>
      </c>
      <c r="P23">
        <v>2081.7150000000001</v>
      </c>
      <c r="R23" s="3">
        <f t="shared" si="2"/>
        <v>2333.9908</v>
      </c>
      <c r="S23" s="3">
        <f t="shared" si="3"/>
        <v>97.432508160982849</v>
      </c>
    </row>
    <row r="24" spans="1:19" x14ac:dyDescent="0.25">
      <c r="A24">
        <v>17.5</v>
      </c>
      <c r="B24">
        <v>2447.3670000000002</v>
      </c>
      <c r="C24">
        <v>2436.0279999999998</v>
      </c>
      <c r="D24">
        <v>2815.239</v>
      </c>
      <c r="E24">
        <v>2486.8649999999998</v>
      </c>
      <c r="F24">
        <v>2646.4259999999999</v>
      </c>
      <c r="H24" s="2">
        <f t="shared" si="0"/>
        <v>2566.3849999999998</v>
      </c>
      <c r="I24" s="2">
        <f t="shared" si="1"/>
        <v>72.738070214297011</v>
      </c>
      <c r="K24">
        <v>17.5</v>
      </c>
      <c r="L24">
        <v>2325.5680000000002</v>
      </c>
      <c r="M24">
        <v>2152.598</v>
      </c>
      <c r="N24">
        <v>2581.4789999999998</v>
      </c>
      <c r="O24">
        <v>2498.13</v>
      </c>
      <c r="P24">
        <v>2096.4059999999999</v>
      </c>
      <c r="R24" s="3">
        <f t="shared" si="2"/>
        <v>2330.8362000000002</v>
      </c>
      <c r="S24" s="3">
        <f t="shared" si="3"/>
        <v>94.22397711113662</v>
      </c>
    </row>
    <row r="25" spans="1:19" x14ac:dyDescent="0.25">
      <c r="A25">
        <v>18.75</v>
      </c>
      <c r="B25">
        <v>2436.34</v>
      </c>
      <c r="C25">
        <v>2415.0569999999998</v>
      </c>
      <c r="D25">
        <v>2777.4090000000001</v>
      </c>
      <c r="E25">
        <v>2462.6030000000001</v>
      </c>
      <c r="F25">
        <v>2609.576</v>
      </c>
      <c r="H25" s="2">
        <f t="shared" si="0"/>
        <v>2540.1970000000001</v>
      </c>
      <c r="I25" s="2">
        <f t="shared" si="1"/>
        <v>68.392288845307718</v>
      </c>
      <c r="K25">
        <v>18.75</v>
      </c>
      <c r="L25">
        <v>2294.279</v>
      </c>
      <c r="M25">
        <v>2115.9259999999999</v>
      </c>
      <c r="N25">
        <v>2566.2919999999999</v>
      </c>
      <c r="O25">
        <v>2483.5619999999999</v>
      </c>
      <c r="P25">
        <v>2082.203</v>
      </c>
      <c r="R25" s="3">
        <f t="shared" si="2"/>
        <v>2308.4523999999997</v>
      </c>
      <c r="S25" s="3">
        <f t="shared" si="3"/>
        <v>96.332944080724531</v>
      </c>
    </row>
    <row r="26" spans="1:19" x14ac:dyDescent="0.25">
      <c r="A26">
        <v>20</v>
      </c>
      <c r="B26">
        <v>2404.83</v>
      </c>
      <c r="C26">
        <v>2395.846</v>
      </c>
      <c r="D26">
        <v>2741.0770000000002</v>
      </c>
      <c r="E26">
        <v>2434.4389999999999</v>
      </c>
      <c r="F26">
        <v>2586.6790000000001</v>
      </c>
      <c r="H26" s="2">
        <f t="shared" si="0"/>
        <v>2512.5742</v>
      </c>
      <c r="I26" s="2">
        <f t="shared" si="1"/>
        <v>66.724975001419125</v>
      </c>
      <c r="K26">
        <v>20</v>
      </c>
      <c r="L26">
        <v>2258.346</v>
      </c>
      <c r="M26">
        <v>2100.5770000000002</v>
      </c>
      <c r="N26">
        <v>2543.518</v>
      </c>
      <c r="O26">
        <v>2463.7930000000001</v>
      </c>
      <c r="P26">
        <v>2067.2640000000001</v>
      </c>
      <c r="R26" s="3">
        <f t="shared" si="2"/>
        <v>2286.6995999999999</v>
      </c>
      <c r="S26" s="3">
        <f t="shared" si="3"/>
        <v>95.109225186939653</v>
      </c>
    </row>
    <row r="27" spans="1:19" x14ac:dyDescent="0.25">
      <c r="A27">
        <v>21.25</v>
      </c>
      <c r="B27">
        <v>2382.5300000000002</v>
      </c>
      <c r="C27">
        <v>2379.6190000000001</v>
      </c>
      <c r="D27">
        <v>2729.5340000000001</v>
      </c>
      <c r="E27">
        <v>2418.9259999999999</v>
      </c>
      <c r="F27">
        <v>2571.6289999999999</v>
      </c>
      <c r="H27" s="2">
        <f t="shared" si="0"/>
        <v>2496.4476000000004</v>
      </c>
      <c r="I27" s="2">
        <f t="shared" si="1"/>
        <v>68.050441807970628</v>
      </c>
      <c r="K27">
        <v>21.25</v>
      </c>
      <c r="L27">
        <v>2241.9870000000001</v>
      </c>
      <c r="M27">
        <v>2086.3440000000001</v>
      </c>
      <c r="N27">
        <v>2533.2550000000001</v>
      </c>
      <c r="O27">
        <v>2448.4520000000002</v>
      </c>
      <c r="P27">
        <v>2050.279</v>
      </c>
      <c r="R27" s="3">
        <f t="shared" si="2"/>
        <v>2272.0634</v>
      </c>
      <c r="S27" s="3">
        <f t="shared" si="3"/>
        <v>95.89541062459665</v>
      </c>
    </row>
    <row r="28" spans="1:19" x14ac:dyDescent="0.25">
      <c r="A28">
        <v>22.5</v>
      </c>
      <c r="B28">
        <v>2383.7979999999998</v>
      </c>
      <c r="C28">
        <v>2383.268</v>
      </c>
      <c r="D28">
        <v>2734.3519999999999</v>
      </c>
      <c r="E28">
        <v>2417.8470000000002</v>
      </c>
      <c r="F28">
        <v>2566.35</v>
      </c>
      <c r="H28" s="2">
        <f t="shared" si="0"/>
        <v>2497.123</v>
      </c>
      <c r="I28" s="2">
        <f t="shared" si="1"/>
        <v>68.249606883849495</v>
      </c>
      <c r="K28">
        <v>22.5</v>
      </c>
      <c r="L28">
        <v>2252.4430000000002</v>
      </c>
      <c r="M28">
        <v>2077.386</v>
      </c>
      <c r="N28">
        <v>2538.5549999999998</v>
      </c>
      <c r="O28">
        <v>2445.7570000000001</v>
      </c>
      <c r="P28">
        <v>2052.297</v>
      </c>
      <c r="R28" s="3">
        <f t="shared" si="2"/>
        <v>2273.2876000000001</v>
      </c>
      <c r="S28" s="3">
        <f t="shared" si="3"/>
        <v>96.892019010649136</v>
      </c>
    </row>
    <row r="29" spans="1:19" x14ac:dyDescent="0.25">
      <c r="A29">
        <v>23.75</v>
      </c>
      <c r="B29">
        <v>2404.3519999999999</v>
      </c>
      <c r="C29">
        <v>2403.2869999999998</v>
      </c>
      <c r="D29">
        <v>2748.2640000000001</v>
      </c>
      <c r="E29">
        <v>2446.8580000000002</v>
      </c>
      <c r="F29">
        <v>2606.4140000000002</v>
      </c>
      <c r="H29" s="2">
        <f t="shared" si="0"/>
        <v>2521.835</v>
      </c>
      <c r="I29" s="2">
        <f t="shared" si="1"/>
        <v>67.786847324536396</v>
      </c>
      <c r="K29">
        <v>23.75</v>
      </c>
      <c r="L29">
        <v>2288.9960000000001</v>
      </c>
      <c r="M29">
        <v>2122.3440000000001</v>
      </c>
      <c r="N29">
        <v>2551.6529999999998</v>
      </c>
      <c r="O29">
        <v>2483.4110000000001</v>
      </c>
      <c r="P29">
        <v>2068.5419999999999</v>
      </c>
      <c r="R29" s="3">
        <f t="shared" si="2"/>
        <v>2302.9892</v>
      </c>
      <c r="S29" s="3">
        <f t="shared" si="3"/>
        <v>95.441002421076846</v>
      </c>
    </row>
    <row r="30" spans="1:19" x14ac:dyDescent="0.25">
      <c r="A30">
        <v>25</v>
      </c>
      <c r="B30">
        <v>2432.989</v>
      </c>
      <c r="C30">
        <v>2448.59</v>
      </c>
      <c r="D30">
        <v>2787.951</v>
      </c>
      <c r="E30">
        <v>2499.9560000000001</v>
      </c>
      <c r="F30">
        <v>2665.8969999999999</v>
      </c>
      <c r="H30" s="2">
        <f t="shared" si="0"/>
        <v>2567.0766000000003</v>
      </c>
      <c r="I30" s="2">
        <f t="shared" si="1"/>
        <v>68.947337087519173</v>
      </c>
      <c r="K30">
        <v>25</v>
      </c>
      <c r="L30">
        <v>2337.2460000000001</v>
      </c>
      <c r="M30">
        <v>2165.4920000000002</v>
      </c>
      <c r="N30">
        <v>2587.3220000000001</v>
      </c>
      <c r="O30">
        <v>2545.386</v>
      </c>
      <c r="P30">
        <v>2090.7350000000001</v>
      </c>
      <c r="R30" s="3">
        <f t="shared" si="2"/>
        <v>2345.2362000000003</v>
      </c>
      <c r="S30" s="3">
        <f t="shared" si="3"/>
        <v>98.946490218905666</v>
      </c>
    </row>
    <row r="31" spans="1:19" x14ac:dyDescent="0.25">
      <c r="A31">
        <v>26.25</v>
      </c>
      <c r="B31">
        <v>2455.6950000000002</v>
      </c>
      <c r="C31">
        <v>2485.143</v>
      </c>
      <c r="D31">
        <v>2812.6329999999998</v>
      </c>
      <c r="E31">
        <v>2542.4929999999999</v>
      </c>
      <c r="F31">
        <v>2701.6439999999998</v>
      </c>
      <c r="H31" s="2">
        <f t="shared" si="0"/>
        <v>2599.5216</v>
      </c>
      <c r="I31" s="2">
        <f t="shared" si="1"/>
        <v>68.141862909374524</v>
      </c>
      <c r="K31">
        <v>26.25</v>
      </c>
      <c r="L31">
        <v>2355.732</v>
      </c>
      <c r="M31">
        <v>2188.413</v>
      </c>
      <c r="N31">
        <v>2626.7469999999998</v>
      </c>
      <c r="O31">
        <v>2602.2049999999999</v>
      </c>
      <c r="P31">
        <v>2117.36</v>
      </c>
      <c r="R31" s="3">
        <f t="shared" si="2"/>
        <v>2378.0914000000002</v>
      </c>
      <c r="S31" s="3">
        <f t="shared" si="3"/>
        <v>104.04691592190511</v>
      </c>
    </row>
    <row r="32" spans="1:19" x14ac:dyDescent="0.25">
      <c r="A32">
        <v>27.5</v>
      </c>
      <c r="B32">
        <v>2479.777</v>
      </c>
      <c r="C32">
        <v>2493.6529999999998</v>
      </c>
      <c r="D32">
        <v>2796.8290000000002</v>
      </c>
      <c r="E32">
        <v>2555.4659999999999</v>
      </c>
      <c r="F32">
        <v>2706.1619999999998</v>
      </c>
      <c r="H32" s="2">
        <f t="shared" si="0"/>
        <v>2606.3774000000003</v>
      </c>
      <c r="I32" s="2">
        <f t="shared" si="1"/>
        <v>62.27166314833741</v>
      </c>
      <c r="K32">
        <v>27.5</v>
      </c>
      <c r="L32">
        <v>2354.9569999999999</v>
      </c>
      <c r="M32">
        <v>2182.7220000000002</v>
      </c>
      <c r="N32">
        <v>2623.0140000000001</v>
      </c>
      <c r="O32">
        <v>2611.6909999999998</v>
      </c>
      <c r="P32">
        <v>2124.4899999999998</v>
      </c>
      <c r="R32" s="3">
        <f t="shared" si="2"/>
        <v>2379.3748000000001</v>
      </c>
      <c r="S32" s="3">
        <f t="shared" si="3"/>
        <v>104.29901498451459</v>
      </c>
    </row>
    <row r="33" spans="1:19" x14ac:dyDescent="0.25">
      <c r="A33">
        <v>28.75</v>
      </c>
      <c r="B33">
        <v>2496.8420000000001</v>
      </c>
      <c r="C33">
        <v>2509.8319999999999</v>
      </c>
      <c r="D33">
        <v>2796.6370000000002</v>
      </c>
      <c r="E33">
        <v>2559.33</v>
      </c>
      <c r="F33">
        <v>2710.0169999999998</v>
      </c>
      <c r="H33" s="2">
        <f t="shared" si="0"/>
        <v>2614.5315999999998</v>
      </c>
      <c r="I33" s="2">
        <f t="shared" si="1"/>
        <v>59.219888193579031</v>
      </c>
      <c r="K33">
        <v>28.75</v>
      </c>
      <c r="L33">
        <v>2381.9459999999999</v>
      </c>
      <c r="M33">
        <v>2179.605</v>
      </c>
      <c r="N33">
        <v>2622.6660000000002</v>
      </c>
      <c r="O33">
        <v>2593.788</v>
      </c>
      <c r="P33">
        <v>2134.6959999999999</v>
      </c>
      <c r="R33" s="3">
        <f t="shared" si="2"/>
        <v>2382.5401999999999</v>
      </c>
      <c r="S33" s="3">
        <f t="shared" si="3"/>
        <v>101.21655713785174</v>
      </c>
    </row>
    <row r="34" spans="1:19" x14ac:dyDescent="0.25">
      <c r="A34">
        <v>30</v>
      </c>
      <c r="B34">
        <v>2517.0610000000001</v>
      </c>
      <c r="C34">
        <v>2526.8130000000001</v>
      </c>
      <c r="D34">
        <v>2815.5650000000001</v>
      </c>
      <c r="E34">
        <v>2586.7020000000002</v>
      </c>
      <c r="F34">
        <v>2732.0329999999999</v>
      </c>
      <c r="H34" s="2">
        <f t="shared" si="0"/>
        <v>2635.6347999999998</v>
      </c>
      <c r="I34" s="2">
        <f t="shared" si="1"/>
        <v>59.145515025570589</v>
      </c>
      <c r="K34">
        <v>30</v>
      </c>
      <c r="L34">
        <v>2418.6640000000002</v>
      </c>
      <c r="M34">
        <v>2210.3519999999999</v>
      </c>
      <c r="N34">
        <v>2647.55</v>
      </c>
      <c r="O34">
        <v>2614.7579999999998</v>
      </c>
      <c r="P34">
        <v>2172.5740000000001</v>
      </c>
      <c r="R34" s="3">
        <f t="shared" si="2"/>
        <v>2412.7796000000003</v>
      </c>
      <c r="S34" s="3">
        <f t="shared" si="3"/>
        <v>98.646516527244898</v>
      </c>
    </row>
    <row r="35" spans="1:19" x14ac:dyDescent="0.25">
      <c r="A35">
        <v>31.25</v>
      </c>
      <c r="B35">
        <v>2523.123</v>
      </c>
      <c r="C35">
        <v>2517.2159999999999</v>
      </c>
      <c r="D35">
        <v>2816.15</v>
      </c>
      <c r="E35">
        <v>2598.4059999999999</v>
      </c>
      <c r="F35">
        <v>2740.11</v>
      </c>
      <c r="H35" s="2">
        <f t="shared" si="0"/>
        <v>2639.0010000000002</v>
      </c>
      <c r="I35" s="2">
        <f t="shared" si="1"/>
        <v>59.796341533575472</v>
      </c>
      <c r="K35">
        <v>31.25</v>
      </c>
      <c r="L35">
        <v>2414.4389999999999</v>
      </c>
      <c r="M35">
        <v>2202.442</v>
      </c>
      <c r="N35">
        <v>2662.8240000000001</v>
      </c>
      <c r="O35">
        <v>2626.6439999999998</v>
      </c>
      <c r="P35">
        <v>2188.1329999999998</v>
      </c>
      <c r="R35" s="3">
        <f t="shared" si="2"/>
        <v>2418.8964000000001</v>
      </c>
      <c r="S35" s="3">
        <f t="shared" si="3"/>
        <v>100.69356032567326</v>
      </c>
    </row>
    <row r="36" spans="1:19" x14ac:dyDescent="0.25">
      <c r="A36">
        <v>32.5</v>
      </c>
      <c r="B36">
        <v>2525.8789999999999</v>
      </c>
      <c r="C36">
        <v>2510.239</v>
      </c>
      <c r="D36">
        <v>2807.4209999999998</v>
      </c>
      <c r="E36">
        <v>2590.654</v>
      </c>
      <c r="F36">
        <v>2747.8389999999999</v>
      </c>
      <c r="H36" s="2">
        <f t="shared" si="0"/>
        <v>2636.4064000000003</v>
      </c>
      <c r="I36" s="2">
        <f t="shared" si="1"/>
        <v>59.954573985309885</v>
      </c>
      <c r="K36">
        <v>32.5</v>
      </c>
      <c r="L36">
        <v>2388.009</v>
      </c>
      <c r="M36">
        <v>2186.8470000000002</v>
      </c>
      <c r="N36">
        <v>2661.1080000000002</v>
      </c>
      <c r="O36">
        <v>2598.259</v>
      </c>
      <c r="P36">
        <v>2181.9520000000002</v>
      </c>
      <c r="R36" s="3">
        <f t="shared" si="2"/>
        <v>2403.2349999999997</v>
      </c>
      <c r="S36" s="3">
        <f t="shared" si="3"/>
        <v>100.13855611451562</v>
      </c>
    </row>
    <row r="37" spans="1:19" x14ac:dyDescent="0.25">
      <c r="A37">
        <v>33.75</v>
      </c>
      <c r="B37">
        <v>2543.3609999999999</v>
      </c>
      <c r="C37">
        <v>2515.3609999999999</v>
      </c>
      <c r="D37">
        <v>2810.3710000000001</v>
      </c>
      <c r="E37">
        <v>2589.8220000000001</v>
      </c>
      <c r="F37">
        <v>2770.835</v>
      </c>
      <c r="H37" s="2">
        <f t="shared" si="0"/>
        <v>2645.95</v>
      </c>
      <c r="I37" s="2">
        <f t="shared" si="1"/>
        <v>60.563549554166698</v>
      </c>
      <c r="K37">
        <v>33.75</v>
      </c>
      <c r="L37">
        <v>2403.4459999999999</v>
      </c>
      <c r="M37">
        <v>2223.721</v>
      </c>
      <c r="N37">
        <v>2692.6370000000002</v>
      </c>
      <c r="O37">
        <v>2609.7350000000001</v>
      </c>
      <c r="P37">
        <v>2197.0610000000001</v>
      </c>
      <c r="R37" s="3">
        <f t="shared" si="2"/>
        <v>2425.3200000000002</v>
      </c>
      <c r="S37" s="3">
        <f t="shared" si="3"/>
        <v>99.671979631188236</v>
      </c>
    </row>
    <row r="38" spans="1:19" x14ac:dyDescent="0.25">
      <c r="A38">
        <v>35</v>
      </c>
      <c r="B38">
        <v>2518.0369999999998</v>
      </c>
      <c r="C38">
        <v>2488.4839999999999</v>
      </c>
      <c r="D38">
        <v>2786.0320000000002</v>
      </c>
      <c r="E38">
        <v>2562.6709999999998</v>
      </c>
      <c r="F38">
        <v>2751.4169999999999</v>
      </c>
      <c r="H38" s="2">
        <f t="shared" si="0"/>
        <v>2621.3281999999999</v>
      </c>
      <c r="I38" s="2">
        <f t="shared" si="1"/>
        <v>61.56612632072936</v>
      </c>
      <c r="K38">
        <v>35</v>
      </c>
      <c r="L38">
        <v>2404.4319999999998</v>
      </c>
      <c r="M38">
        <v>2207.6779999999999</v>
      </c>
      <c r="N38">
        <v>2690.9920000000002</v>
      </c>
      <c r="O38">
        <v>2602.6610000000001</v>
      </c>
      <c r="P38">
        <v>2187.5500000000002</v>
      </c>
      <c r="R38" s="3">
        <f t="shared" si="2"/>
        <v>2418.6625999999997</v>
      </c>
      <c r="S38" s="3">
        <f t="shared" si="3"/>
        <v>101.52555308866829</v>
      </c>
    </row>
    <row r="39" spans="1:19" x14ac:dyDescent="0.25">
      <c r="A39">
        <v>36.25</v>
      </c>
      <c r="B39">
        <v>2384.549</v>
      </c>
      <c r="C39">
        <v>2366.9609999999998</v>
      </c>
      <c r="D39">
        <v>2642.8249999999998</v>
      </c>
      <c r="E39">
        <v>2445.4270000000001</v>
      </c>
      <c r="F39">
        <v>2620.2460000000001</v>
      </c>
      <c r="H39" s="2">
        <f t="shared" si="0"/>
        <v>2492.0016000000005</v>
      </c>
      <c r="I39" s="2">
        <f t="shared" si="1"/>
        <v>58.542604306265716</v>
      </c>
      <c r="K39">
        <v>36.25</v>
      </c>
      <c r="L39">
        <v>2292.8609999999999</v>
      </c>
      <c r="M39">
        <v>2093.018</v>
      </c>
      <c r="N39">
        <v>2575.2640000000001</v>
      </c>
      <c r="O39">
        <v>2472.7739999999999</v>
      </c>
      <c r="P39">
        <v>2082.5259999999998</v>
      </c>
      <c r="R39" s="3">
        <f t="shared" si="2"/>
        <v>2303.2885999999999</v>
      </c>
      <c r="S39" s="3">
        <f t="shared" si="3"/>
        <v>98.932933000897151</v>
      </c>
    </row>
    <row r="40" spans="1:19" x14ac:dyDescent="0.25">
      <c r="A40">
        <v>37.5</v>
      </c>
      <c r="B40">
        <v>2213.8679999999999</v>
      </c>
      <c r="C40">
        <v>2203.08</v>
      </c>
      <c r="D40">
        <v>2443.616</v>
      </c>
      <c r="E40">
        <v>2283.2399999999998</v>
      </c>
      <c r="F40">
        <v>2418.17</v>
      </c>
      <c r="H40" s="2">
        <f t="shared" si="0"/>
        <v>2312.3948</v>
      </c>
      <c r="I40" s="2">
        <f t="shared" si="1"/>
        <v>50.455254654396526</v>
      </c>
      <c r="K40">
        <v>37.5</v>
      </c>
      <c r="L40">
        <v>2120.5619999999999</v>
      </c>
      <c r="M40">
        <v>1925.6780000000001</v>
      </c>
      <c r="N40">
        <v>2376.86</v>
      </c>
      <c r="O40">
        <v>2283.9580000000001</v>
      </c>
      <c r="P40">
        <v>1941.4269999999999</v>
      </c>
      <c r="R40" s="3">
        <f t="shared" si="2"/>
        <v>2129.6970000000001</v>
      </c>
      <c r="S40" s="3">
        <f t="shared" si="3"/>
        <v>90.010776625912982</v>
      </c>
    </row>
    <row r="41" spans="1:19" x14ac:dyDescent="0.25">
      <c r="A41">
        <v>38.75</v>
      </c>
      <c r="B41">
        <v>2085.4659999999999</v>
      </c>
      <c r="C41">
        <v>2066.748</v>
      </c>
      <c r="D41">
        <v>2277.788</v>
      </c>
      <c r="E41">
        <v>2142.4830000000002</v>
      </c>
      <c r="F41">
        <v>2269.355</v>
      </c>
      <c r="H41" s="2">
        <f t="shared" si="0"/>
        <v>2168.3679999999999</v>
      </c>
      <c r="I41" s="2">
        <f t="shared" si="1"/>
        <v>44.74399948484713</v>
      </c>
      <c r="K41">
        <v>38.75</v>
      </c>
      <c r="L41">
        <v>1989.239</v>
      </c>
      <c r="M41">
        <v>1804.682</v>
      </c>
      <c r="N41">
        <v>2208.0639999999999</v>
      </c>
      <c r="O41">
        <v>2147.86</v>
      </c>
      <c r="P41">
        <v>1820.3040000000001</v>
      </c>
      <c r="R41" s="3">
        <f t="shared" si="2"/>
        <v>1994.0298000000003</v>
      </c>
      <c r="S41" s="3">
        <f t="shared" si="3"/>
        <v>82.319670770964549</v>
      </c>
    </row>
    <row r="42" spans="1:19" x14ac:dyDescent="0.25">
      <c r="A42">
        <v>40</v>
      </c>
      <c r="B42">
        <v>1999.943</v>
      </c>
      <c r="C42">
        <v>1989.335</v>
      </c>
      <c r="D42">
        <v>2188.3609999999999</v>
      </c>
      <c r="E42">
        <v>2058.489</v>
      </c>
      <c r="F42">
        <v>2181.489</v>
      </c>
      <c r="H42" s="2">
        <f t="shared" si="0"/>
        <v>2083.5234</v>
      </c>
      <c r="I42" s="2">
        <f t="shared" si="1"/>
        <v>43.05347854657041</v>
      </c>
      <c r="K42">
        <v>40</v>
      </c>
      <c r="L42">
        <v>1915.3879999999999</v>
      </c>
      <c r="M42">
        <v>1749.664</v>
      </c>
      <c r="N42">
        <v>2115.6959999999999</v>
      </c>
      <c r="O42">
        <v>2070.0529999999999</v>
      </c>
      <c r="P42">
        <v>1744.1759999999999</v>
      </c>
      <c r="R42" s="3">
        <f t="shared" si="2"/>
        <v>1918.9953999999998</v>
      </c>
      <c r="S42" s="3">
        <f t="shared" si="3"/>
        <v>77.703759090278226</v>
      </c>
    </row>
    <row r="43" spans="1:19" x14ac:dyDescent="0.25">
      <c r="A43">
        <v>41.25</v>
      </c>
      <c r="B43">
        <v>1943.8150000000001</v>
      </c>
      <c r="C43">
        <v>1951.008</v>
      </c>
      <c r="D43">
        <v>2138.5160000000001</v>
      </c>
      <c r="E43">
        <v>2019.8430000000001</v>
      </c>
      <c r="F43">
        <v>2132.4479999999999</v>
      </c>
      <c r="H43" s="2">
        <f t="shared" si="0"/>
        <v>2037.1259999999997</v>
      </c>
      <c r="I43" s="2">
        <f t="shared" si="1"/>
        <v>42.301400992165718</v>
      </c>
      <c r="K43">
        <v>41.25</v>
      </c>
      <c r="L43">
        <v>1881.011</v>
      </c>
      <c r="M43">
        <v>1709.192</v>
      </c>
      <c r="N43">
        <v>2082.3240000000001</v>
      </c>
      <c r="O43">
        <v>2022.816</v>
      </c>
      <c r="P43">
        <v>1710.2049999999999</v>
      </c>
      <c r="R43" s="3">
        <f t="shared" si="2"/>
        <v>1881.1095999999998</v>
      </c>
      <c r="S43" s="3">
        <f t="shared" si="3"/>
        <v>77.243767315298669</v>
      </c>
    </row>
    <row r="44" spans="1:19" x14ac:dyDescent="0.25">
      <c r="A44">
        <v>42.5</v>
      </c>
      <c r="B44">
        <v>1916.8720000000001</v>
      </c>
      <c r="C44">
        <v>1935.0229999999999</v>
      </c>
      <c r="D44">
        <v>2109.2489999999998</v>
      </c>
      <c r="E44">
        <v>2011.9939999999999</v>
      </c>
      <c r="F44">
        <v>2113.7440000000001</v>
      </c>
      <c r="H44" s="2">
        <f t="shared" si="0"/>
        <v>2017.3763999999999</v>
      </c>
      <c r="I44" s="2">
        <f t="shared" si="1"/>
        <v>41.616989380059678</v>
      </c>
      <c r="K44">
        <v>42.5</v>
      </c>
      <c r="L44">
        <v>1874.627</v>
      </c>
      <c r="M44">
        <v>1687.4359999999999</v>
      </c>
      <c r="N44">
        <v>2070.5740000000001</v>
      </c>
      <c r="O44">
        <v>2007.836</v>
      </c>
      <c r="P44">
        <v>1698.5909999999999</v>
      </c>
      <c r="R44" s="3">
        <f t="shared" si="2"/>
        <v>1867.8128000000002</v>
      </c>
      <c r="S44" s="3">
        <f t="shared" si="3"/>
        <v>78.082277649540956</v>
      </c>
    </row>
    <row r="45" spans="1:19" x14ac:dyDescent="0.25">
      <c r="A45">
        <v>43.75</v>
      </c>
      <c r="B45">
        <v>1917.2349999999999</v>
      </c>
      <c r="C45">
        <v>1952.4649999999999</v>
      </c>
      <c r="D45">
        <v>2117.5830000000001</v>
      </c>
      <c r="E45">
        <v>2021.922</v>
      </c>
      <c r="F45">
        <v>2113.1970000000001</v>
      </c>
      <c r="H45" s="2">
        <f t="shared" si="0"/>
        <v>2024.4803999999999</v>
      </c>
      <c r="I45" s="2">
        <f t="shared" si="1"/>
        <v>40.763383269301919</v>
      </c>
      <c r="K45">
        <v>43.75</v>
      </c>
      <c r="L45">
        <v>1866.6120000000001</v>
      </c>
      <c r="M45">
        <v>1677.9</v>
      </c>
      <c r="N45">
        <v>2079.8069999999998</v>
      </c>
      <c r="O45">
        <v>2017.4590000000001</v>
      </c>
      <c r="P45">
        <v>1703.3689999999999</v>
      </c>
      <c r="R45" s="3">
        <f t="shared" si="2"/>
        <v>1869.0293999999999</v>
      </c>
      <c r="S45" s="3">
        <f t="shared" si="3"/>
        <v>80.758343938320053</v>
      </c>
    </row>
    <row r="46" spans="1:19" x14ac:dyDescent="0.25">
      <c r="A46">
        <v>45</v>
      </c>
      <c r="B46">
        <v>1927.355</v>
      </c>
      <c r="C46">
        <v>1988.3969999999999</v>
      </c>
      <c r="D46">
        <v>2146.9279999999999</v>
      </c>
      <c r="E46">
        <v>2053.6170000000002</v>
      </c>
      <c r="F46">
        <v>2139.7750000000001</v>
      </c>
      <c r="H46" s="2">
        <f t="shared" si="0"/>
        <v>2051.2143999999998</v>
      </c>
      <c r="I46" s="2">
        <f t="shared" si="1"/>
        <v>42.601069408642779</v>
      </c>
      <c r="K46">
        <v>45</v>
      </c>
      <c r="L46">
        <v>1880.2329999999999</v>
      </c>
      <c r="M46">
        <v>1700.172</v>
      </c>
      <c r="N46">
        <v>2110.7339999999999</v>
      </c>
      <c r="O46">
        <v>2046.4390000000001</v>
      </c>
      <c r="P46">
        <v>1730.1130000000001</v>
      </c>
      <c r="R46" s="3">
        <f t="shared" si="2"/>
        <v>1893.5381999999997</v>
      </c>
      <c r="S46" s="3">
        <f t="shared" si="3"/>
        <v>82.106023476600043</v>
      </c>
    </row>
    <row r="47" spans="1:19" x14ac:dyDescent="0.25">
      <c r="A47">
        <v>46.25</v>
      </c>
      <c r="B47">
        <v>1946.26</v>
      </c>
      <c r="C47">
        <v>2052.0189999999998</v>
      </c>
      <c r="D47">
        <v>2212.998</v>
      </c>
      <c r="E47">
        <v>2106.748</v>
      </c>
      <c r="F47">
        <v>2192.6590000000001</v>
      </c>
      <c r="H47" s="2">
        <f t="shared" si="0"/>
        <v>2102.1367999999998</v>
      </c>
      <c r="I47" s="2">
        <f t="shared" si="1"/>
        <v>48.639031743446566</v>
      </c>
      <c r="K47">
        <v>46.25</v>
      </c>
      <c r="L47">
        <v>1929.4469999999999</v>
      </c>
      <c r="M47">
        <v>1739.8889999999999</v>
      </c>
      <c r="N47">
        <v>2164.7330000000002</v>
      </c>
      <c r="O47">
        <v>2097.1280000000002</v>
      </c>
      <c r="P47">
        <v>1767.364</v>
      </c>
      <c r="R47" s="3">
        <f t="shared" si="2"/>
        <v>1939.7121999999999</v>
      </c>
      <c r="S47" s="3">
        <f t="shared" si="3"/>
        <v>85.191749059049187</v>
      </c>
    </row>
    <row r="48" spans="1:19" x14ac:dyDescent="0.25">
      <c r="A48">
        <v>47.5</v>
      </c>
      <c r="B48">
        <v>2001.19</v>
      </c>
      <c r="C48">
        <v>2129.413</v>
      </c>
      <c r="D48">
        <v>2297.0459999999998</v>
      </c>
      <c r="E48">
        <v>2192.8029999999999</v>
      </c>
      <c r="F48">
        <v>2279.5100000000002</v>
      </c>
      <c r="H48" s="2">
        <f t="shared" si="0"/>
        <v>2179.9924000000001</v>
      </c>
      <c r="I48" s="2">
        <f t="shared" si="1"/>
        <v>53.989806169868757</v>
      </c>
      <c r="K48">
        <v>47.5</v>
      </c>
      <c r="L48">
        <v>2008.2280000000001</v>
      </c>
      <c r="M48">
        <v>1798.922</v>
      </c>
      <c r="N48">
        <v>2245.7629999999999</v>
      </c>
      <c r="O48">
        <v>2179.6999999999998</v>
      </c>
      <c r="P48">
        <v>1829.1420000000001</v>
      </c>
      <c r="R48" s="3">
        <f t="shared" si="2"/>
        <v>2012.3510000000001</v>
      </c>
      <c r="S48" s="3">
        <f t="shared" si="3"/>
        <v>89.894750791133475</v>
      </c>
    </row>
    <row r="49" spans="1:19" x14ac:dyDescent="0.25">
      <c r="A49">
        <v>48.75</v>
      </c>
      <c r="B49">
        <v>2084.96</v>
      </c>
      <c r="C49">
        <v>2175.8319999999999</v>
      </c>
      <c r="D49">
        <v>2344.105</v>
      </c>
      <c r="E49">
        <v>2253.9409999999998</v>
      </c>
      <c r="F49">
        <v>2345.009</v>
      </c>
      <c r="H49" s="2">
        <f t="shared" si="0"/>
        <v>2240.7694000000001</v>
      </c>
      <c r="I49" s="2">
        <f t="shared" si="1"/>
        <v>50.10542212635275</v>
      </c>
      <c r="K49">
        <v>48.75</v>
      </c>
      <c r="L49">
        <v>2076.5790000000002</v>
      </c>
      <c r="M49">
        <v>1859.8589999999999</v>
      </c>
      <c r="N49">
        <v>2314.5810000000001</v>
      </c>
      <c r="O49">
        <v>2241.1909999999998</v>
      </c>
      <c r="P49">
        <v>1887.2090000000001</v>
      </c>
      <c r="R49" s="3">
        <f t="shared" si="2"/>
        <v>2075.8838000000001</v>
      </c>
      <c r="S49" s="3">
        <f t="shared" si="3"/>
        <v>91.260123091304237</v>
      </c>
    </row>
    <row r="50" spans="1:19" x14ac:dyDescent="0.25">
      <c r="A50">
        <v>50</v>
      </c>
      <c r="B50">
        <v>2160.4569999999999</v>
      </c>
      <c r="C50">
        <v>2218.2249999999999</v>
      </c>
      <c r="D50">
        <v>2376.6529999999998</v>
      </c>
      <c r="E50">
        <v>2291.5700000000002</v>
      </c>
      <c r="F50">
        <v>2383.1880000000001</v>
      </c>
      <c r="H50" s="2">
        <f t="shared" si="0"/>
        <v>2286.0185999999999</v>
      </c>
      <c r="I50" s="2">
        <f t="shared" si="1"/>
        <v>43.617079451288355</v>
      </c>
      <c r="K50">
        <v>50</v>
      </c>
      <c r="L50">
        <v>2108.2449999999999</v>
      </c>
      <c r="M50">
        <v>1902.6679999999999</v>
      </c>
      <c r="N50">
        <v>2353.489</v>
      </c>
      <c r="O50">
        <v>2286.7800000000002</v>
      </c>
      <c r="P50">
        <v>1922.4929999999999</v>
      </c>
      <c r="R50" s="3">
        <f t="shared" si="2"/>
        <v>2114.7350000000001</v>
      </c>
      <c r="S50" s="3">
        <f t="shared" si="3"/>
        <v>91.8080807156974</v>
      </c>
    </row>
    <row r="51" spans="1:19" x14ac:dyDescent="0.25">
      <c r="A51">
        <v>51.25</v>
      </c>
      <c r="B51">
        <v>2214.7710000000002</v>
      </c>
      <c r="C51">
        <v>2272.549</v>
      </c>
      <c r="D51">
        <v>2430.5630000000001</v>
      </c>
      <c r="E51">
        <v>2357.645</v>
      </c>
      <c r="F51">
        <v>2439.1770000000001</v>
      </c>
      <c r="H51" s="2">
        <f t="shared" si="0"/>
        <v>2342.9409999999998</v>
      </c>
      <c r="I51" s="2">
        <f t="shared" si="1"/>
        <v>43.896339687951205</v>
      </c>
      <c r="K51">
        <v>51.25</v>
      </c>
      <c r="L51">
        <v>2145.904</v>
      </c>
      <c r="M51">
        <v>1932.845</v>
      </c>
      <c r="N51">
        <v>2388.8049999999998</v>
      </c>
      <c r="O51">
        <v>2317.0329999999999</v>
      </c>
      <c r="P51">
        <v>1966.9670000000001</v>
      </c>
      <c r="R51" s="3">
        <f t="shared" si="2"/>
        <v>2150.3108000000002</v>
      </c>
      <c r="S51" s="3">
        <f t="shared" si="3"/>
        <v>90.9949225124127</v>
      </c>
    </row>
    <row r="52" spans="1:19" x14ac:dyDescent="0.25">
      <c r="A52">
        <v>52.5</v>
      </c>
      <c r="B52">
        <v>2253.7539999999999</v>
      </c>
      <c r="C52">
        <v>2354.645</v>
      </c>
      <c r="D52">
        <v>2523.0129999999999</v>
      </c>
      <c r="E52">
        <v>2449.4090000000001</v>
      </c>
      <c r="F52">
        <v>2513.8380000000002</v>
      </c>
      <c r="H52" s="2">
        <f t="shared" si="0"/>
        <v>2418.9317999999998</v>
      </c>
      <c r="I52" s="2">
        <f t="shared" si="1"/>
        <v>51.081034141254456</v>
      </c>
      <c r="K52">
        <v>52.5</v>
      </c>
      <c r="L52">
        <v>2188.3359999999998</v>
      </c>
      <c r="M52">
        <v>1974.537</v>
      </c>
      <c r="N52">
        <v>2438.7179999999998</v>
      </c>
      <c r="O52">
        <v>2363.4389999999999</v>
      </c>
      <c r="P52">
        <v>2015.0170000000001</v>
      </c>
      <c r="R52" s="3">
        <f t="shared" si="2"/>
        <v>2196.0093999999999</v>
      </c>
      <c r="S52" s="3">
        <f t="shared" si="3"/>
        <v>91.871456219328493</v>
      </c>
    </row>
    <row r="53" spans="1:19" x14ac:dyDescent="0.25">
      <c r="A53">
        <v>53.75</v>
      </c>
      <c r="B53">
        <v>2260.7040000000002</v>
      </c>
      <c r="C53">
        <v>2426.0070000000001</v>
      </c>
      <c r="D53">
        <v>2598.9810000000002</v>
      </c>
      <c r="E53">
        <v>2511.855</v>
      </c>
      <c r="F53">
        <v>2549.5659999999998</v>
      </c>
      <c r="H53" s="2">
        <f t="shared" si="0"/>
        <v>2469.4226000000003</v>
      </c>
      <c r="I53" s="2">
        <f t="shared" si="1"/>
        <v>59.353694262952132</v>
      </c>
      <c r="K53">
        <v>53.75</v>
      </c>
      <c r="L53">
        <v>2213.9169999999999</v>
      </c>
      <c r="M53">
        <v>1997.3530000000001</v>
      </c>
      <c r="N53">
        <v>2471.212</v>
      </c>
      <c r="O53">
        <v>2410.346</v>
      </c>
      <c r="P53">
        <v>2043.7090000000001</v>
      </c>
      <c r="R53" s="3">
        <f t="shared" si="2"/>
        <v>2227.3074000000001</v>
      </c>
      <c r="S53" s="3">
        <f t="shared" si="3"/>
        <v>94.80487444356433</v>
      </c>
    </row>
    <row r="54" spans="1:19" x14ac:dyDescent="0.25">
      <c r="A54">
        <v>55</v>
      </c>
      <c r="B54">
        <v>2203.8290000000002</v>
      </c>
      <c r="C54">
        <v>2432.5219999999999</v>
      </c>
      <c r="D54">
        <v>2569.7179999999998</v>
      </c>
      <c r="E54">
        <v>2509.3339999999998</v>
      </c>
      <c r="F54">
        <v>2519.884</v>
      </c>
      <c r="H54" s="2">
        <f t="shared" si="0"/>
        <v>2447.0574000000001</v>
      </c>
      <c r="I54" s="2">
        <f t="shared" si="1"/>
        <v>64.652549751421191</v>
      </c>
      <c r="K54">
        <v>55</v>
      </c>
      <c r="L54">
        <v>2204.2950000000001</v>
      </c>
      <c r="M54">
        <v>1974.6790000000001</v>
      </c>
      <c r="N54">
        <v>2437.1129999999998</v>
      </c>
      <c r="O54">
        <v>2386.9409999999998</v>
      </c>
      <c r="P54">
        <v>2020.037</v>
      </c>
      <c r="R54" s="3">
        <f t="shared" si="2"/>
        <v>2204.6129999999998</v>
      </c>
      <c r="S54" s="3">
        <f t="shared" si="3"/>
        <v>93.337504477032113</v>
      </c>
    </row>
    <row r="55" spans="1:19" x14ac:dyDescent="0.25">
      <c r="A55">
        <v>56.25</v>
      </c>
      <c r="B55">
        <v>2067.2629999999999</v>
      </c>
      <c r="C55">
        <v>2373.8870000000002</v>
      </c>
      <c r="D55">
        <v>2463.277</v>
      </c>
      <c r="E55">
        <v>2436.1689999999999</v>
      </c>
      <c r="F55">
        <v>2376.3470000000002</v>
      </c>
      <c r="H55" s="2">
        <f t="shared" si="0"/>
        <v>2343.3885999999998</v>
      </c>
      <c r="I55" s="2">
        <f t="shared" si="1"/>
        <v>71.148853324280651</v>
      </c>
      <c r="K55">
        <v>56.25</v>
      </c>
      <c r="L55">
        <v>2103.5050000000001</v>
      </c>
      <c r="M55">
        <v>1879.59</v>
      </c>
      <c r="N55">
        <v>2312.0039999999999</v>
      </c>
      <c r="O55">
        <v>2257.5160000000001</v>
      </c>
      <c r="P55">
        <v>1916.2449999999999</v>
      </c>
      <c r="R55" s="3">
        <f t="shared" si="2"/>
        <v>2093.7719999999999</v>
      </c>
      <c r="S55" s="3">
        <f t="shared" si="3"/>
        <v>87.155550454919407</v>
      </c>
    </row>
    <row r="56" spans="1:19" x14ac:dyDescent="0.25">
      <c r="A56">
        <v>57.5</v>
      </c>
      <c r="B56">
        <v>1856.4590000000001</v>
      </c>
      <c r="C56">
        <v>2273.337</v>
      </c>
      <c r="D56">
        <v>2337.4059999999999</v>
      </c>
      <c r="E56">
        <v>2313.7020000000002</v>
      </c>
      <c r="F56">
        <v>2193.895</v>
      </c>
      <c r="H56" s="2">
        <f t="shared" si="0"/>
        <v>2194.9598000000001</v>
      </c>
      <c r="I56" s="2">
        <f t="shared" si="1"/>
        <v>88.067457336634845</v>
      </c>
      <c r="K56">
        <v>57.5</v>
      </c>
      <c r="L56">
        <v>1913.951</v>
      </c>
      <c r="M56">
        <v>1735.3409999999999</v>
      </c>
      <c r="N56">
        <v>2139.6370000000002</v>
      </c>
      <c r="O56">
        <v>2069.1729999999998</v>
      </c>
      <c r="P56">
        <v>1767.827</v>
      </c>
      <c r="R56" s="3">
        <f t="shared" si="2"/>
        <v>1925.1858</v>
      </c>
      <c r="S56" s="3">
        <f t="shared" si="3"/>
        <v>79.890766581877301</v>
      </c>
    </row>
    <row r="57" spans="1:19" x14ac:dyDescent="0.25">
      <c r="A57">
        <v>58.75</v>
      </c>
      <c r="B57">
        <v>1648.027</v>
      </c>
      <c r="C57">
        <v>2181.0569999999998</v>
      </c>
      <c r="D57">
        <v>2229.1210000000001</v>
      </c>
      <c r="E57">
        <v>2177.8119999999999</v>
      </c>
      <c r="F57">
        <v>2025.643</v>
      </c>
      <c r="H57" s="2">
        <f t="shared" si="0"/>
        <v>2052.3319999999999</v>
      </c>
      <c r="I57" s="2">
        <f t="shared" si="1"/>
        <v>106.71095124025523</v>
      </c>
      <c r="K57">
        <v>58.75</v>
      </c>
      <c r="L57">
        <v>1750.559</v>
      </c>
      <c r="M57">
        <v>1578.164</v>
      </c>
      <c r="N57">
        <v>1980.5039999999999</v>
      </c>
      <c r="O57">
        <v>1912.606</v>
      </c>
      <c r="P57">
        <v>1637.4559999999999</v>
      </c>
      <c r="R57" s="3">
        <f t="shared" si="2"/>
        <v>1771.8577999999998</v>
      </c>
      <c r="S57" s="3">
        <f t="shared" si="3"/>
        <v>77.258677008087574</v>
      </c>
    </row>
    <row r="58" spans="1:19" x14ac:dyDescent="0.25">
      <c r="A58">
        <v>60</v>
      </c>
      <c r="B58">
        <v>1537.605</v>
      </c>
      <c r="C58">
        <v>2089.2979999999998</v>
      </c>
      <c r="D58">
        <v>2109.384</v>
      </c>
      <c r="E58">
        <v>2067.779</v>
      </c>
      <c r="F58">
        <v>1924.808</v>
      </c>
      <c r="H58" s="2">
        <f t="shared" si="0"/>
        <v>1945.7747999999999</v>
      </c>
      <c r="I58" s="2">
        <f t="shared" si="1"/>
        <v>107.07336186344406</v>
      </c>
      <c r="K58">
        <v>60</v>
      </c>
      <c r="L58">
        <v>1668.5909999999999</v>
      </c>
      <c r="M58">
        <v>1492.2190000000001</v>
      </c>
      <c r="N58">
        <v>1861.1030000000001</v>
      </c>
      <c r="O58">
        <v>1791.558</v>
      </c>
      <c r="P58">
        <v>1556.162</v>
      </c>
      <c r="R58" s="3">
        <f t="shared" si="2"/>
        <v>1673.9266</v>
      </c>
      <c r="S58" s="3">
        <f t="shared" si="3"/>
        <v>69.205047692057846</v>
      </c>
    </row>
    <row r="59" spans="1:19" x14ac:dyDescent="0.25">
      <c r="A59">
        <v>61.25</v>
      </c>
      <c r="B59">
        <v>1479.2090000000001</v>
      </c>
      <c r="C59">
        <v>1996.68</v>
      </c>
      <c r="D59">
        <v>2015.7919999999999</v>
      </c>
      <c r="E59">
        <v>2001.585</v>
      </c>
      <c r="F59">
        <v>1855.143</v>
      </c>
      <c r="H59" s="2">
        <f t="shared" si="0"/>
        <v>1869.6817999999998</v>
      </c>
      <c r="I59" s="2">
        <f t="shared" si="1"/>
        <v>101.87138257695435</v>
      </c>
      <c r="K59">
        <v>61.25</v>
      </c>
      <c r="L59">
        <v>1610.0329999999999</v>
      </c>
      <c r="M59">
        <v>1423.992</v>
      </c>
      <c r="N59">
        <v>1784.1010000000001</v>
      </c>
      <c r="O59">
        <v>1735.5889999999999</v>
      </c>
      <c r="P59">
        <v>1492.654</v>
      </c>
      <c r="R59" s="3">
        <f t="shared" si="2"/>
        <v>1609.2738000000002</v>
      </c>
      <c r="S59" s="3">
        <f t="shared" si="3"/>
        <v>68.720513370754162</v>
      </c>
    </row>
    <row r="60" spans="1:19" x14ac:dyDescent="0.25">
      <c r="A60">
        <v>62.5</v>
      </c>
      <c r="B60">
        <v>1457.7049999999999</v>
      </c>
      <c r="C60">
        <v>1924.453</v>
      </c>
      <c r="D60">
        <v>1927.981</v>
      </c>
      <c r="E60">
        <v>1934.337</v>
      </c>
      <c r="F60">
        <v>1805.9369999999999</v>
      </c>
      <c r="H60" s="2">
        <f t="shared" si="0"/>
        <v>1810.0826000000002</v>
      </c>
      <c r="I60" s="2">
        <f t="shared" si="1"/>
        <v>91.270733540164784</v>
      </c>
      <c r="K60">
        <v>62.5</v>
      </c>
      <c r="L60">
        <v>1569.6089999999999</v>
      </c>
      <c r="M60">
        <v>1371.6759999999999</v>
      </c>
      <c r="N60">
        <v>1739.874</v>
      </c>
      <c r="O60">
        <v>1695.886</v>
      </c>
      <c r="P60">
        <v>1448.4079999999999</v>
      </c>
      <c r="R60" s="3">
        <f t="shared" si="2"/>
        <v>1565.0906</v>
      </c>
      <c r="S60" s="3">
        <f t="shared" si="3"/>
        <v>70.24995592568014</v>
      </c>
    </row>
    <row r="61" spans="1:19" x14ac:dyDescent="0.25">
      <c r="A61">
        <v>63.75</v>
      </c>
      <c r="B61">
        <v>1446.712</v>
      </c>
      <c r="C61">
        <v>1845.6389999999999</v>
      </c>
      <c r="D61">
        <v>1853.471</v>
      </c>
      <c r="E61">
        <v>1856.3389999999999</v>
      </c>
      <c r="F61">
        <v>1765.6869999999999</v>
      </c>
      <c r="H61" s="2">
        <f t="shared" si="0"/>
        <v>1753.5696</v>
      </c>
      <c r="I61" s="2">
        <f t="shared" si="1"/>
        <v>78.526120423461634</v>
      </c>
      <c r="K61">
        <v>63.75</v>
      </c>
      <c r="L61">
        <v>1539.63</v>
      </c>
      <c r="M61">
        <v>1349.376</v>
      </c>
      <c r="N61">
        <v>1716.576</v>
      </c>
      <c r="O61">
        <v>1659.502</v>
      </c>
      <c r="P61">
        <v>1419.106</v>
      </c>
      <c r="R61" s="3">
        <f t="shared" si="2"/>
        <v>1536.8380000000002</v>
      </c>
      <c r="S61" s="3">
        <f t="shared" si="3"/>
        <v>69.412832413034408</v>
      </c>
    </row>
    <row r="62" spans="1:19" x14ac:dyDescent="0.25">
      <c r="A62">
        <v>65</v>
      </c>
      <c r="B62">
        <v>1449.923</v>
      </c>
      <c r="C62">
        <v>1769.5219999999999</v>
      </c>
      <c r="D62">
        <v>1789.585</v>
      </c>
      <c r="E62">
        <v>1780.8969999999999</v>
      </c>
      <c r="F62">
        <v>1741.1859999999999</v>
      </c>
      <c r="H62" s="2">
        <f t="shared" si="0"/>
        <v>1706.2225999999998</v>
      </c>
      <c r="I62" s="2">
        <f t="shared" si="1"/>
        <v>64.592683056674446</v>
      </c>
      <c r="K62">
        <v>65</v>
      </c>
      <c r="L62">
        <v>1516.828</v>
      </c>
      <c r="M62">
        <v>1302.0920000000001</v>
      </c>
      <c r="N62">
        <v>1671.181</v>
      </c>
      <c r="O62">
        <v>1633.4760000000001</v>
      </c>
      <c r="P62">
        <v>1402.73</v>
      </c>
      <c r="R62" s="3">
        <f t="shared" si="2"/>
        <v>1505.2614000000001</v>
      </c>
      <c r="S62" s="3">
        <f t="shared" si="3"/>
        <v>69.24325838491427</v>
      </c>
    </row>
    <row r="63" spans="1:19" x14ac:dyDescent="0.25">
      <c r="A63">
        <v>66.25</v>
      </c>
      <c r="B63">
        <v>1468.1110000000001</v>
      </c>
      <c r="C63">
        <v>1698.511</v>
      </c>
      <c r="D63">
        <v>1726.5709999999999</v>
      </c>
      <c r="E63">
        <v>1724.3009999999999</v>
      </c>
      <c r="F63">
        <v>1718.567</v>
      </c>
      <c r="H63" s="2">
        <f t="shared" si="0"/>
        <v>1667.2122000000004</v>
      </c>
      <c r="I63" s="2">
        <f t="shared" si="1"/>
        <v>50.020404051146933</v>
      </c>
      <c r="K63">
        <v>66.25</v>
      </c>
      <c r="L63">
        <v>1500.491</v>
      </c>
      <c r="M63">
        <v>1281.0350000000001</v>
      </c>
      <c r="N63">
        <v>1650.079</v>
      </c>
      <c r="O63">
        <v>1625.0920000000001</v>
      </c>
      <c r="P63">
        <v>1391.509</v>
      </c>
      <c r="R63" s="3">
        <f t="shared" si="2"/>
        <v>1489.6412</v>
      </c>
      <c r="S63" s="3">
        <f t="shared" si="3"/>
        <v>69.767972739932745</v>
      </c>
    </row>
    <row r="64" spans="1:19" x14ac:dyDescent="0.25">
      <c r="A64">
        <v>67.5</v>
      </c>
      <c r="B64">
        <v>1484.758</v>
      </c>
      <c r="C64">
        <v>1628.0450000000001</v>
      </c>
      <c r="D64">
        <v>1675.5260000000001</v>
      </c>
      <c r="E64">
        <v>1672.0409999999999</v>
      </c>
      <c r="F64">
        <v>1708.2529999999999</v>
      </c>
      <c r="H64" s="2">
        <f t="shared" si="0"/>
        <v>1633.7246</v>
      </c>
      <c r="I64" s="2">
        <f t="shared" si="1"/>
        <v>39.365779383367965</v>
      </c>
      <c r="K64">
        <v>67.5</v>
      </c>
      <c r="L64">
        <v>1495.6669999999999</v>
      </c>
      <c r="M64">
        <v>1294.604</v>
      </c>
      <c r="N64">
        <v>1649.6410000000001</v>
      </c>
      <c r="O64">
        <v>1632.037</v>
      </c>
      <c r="P64">
        <v>1387.585</v>
      </c>
      <c r="R64" s="3">
        <f t="shared" si="2"/>
        <v>1491.9068000000002</v>
      </c>
      <c r="S64" s="3">
        <f t="shared" si="3"/>
        <v>68.681192021105744</v>
      </c>
    </row>
    <row r="65" spans="1:19" x14ac:dyDescent="0.25">
      <c r="A65">
        <v>68.75</v>
      </c>
      <c r="B65">
        <v>1504.703</v>
      </c>
      <c r="C65">
        <v>1572.8019999999999</v>
      </c>
      <c r="D65">
        <v>1630.18</v>
      </c>
      <c r="E65">
        <v>1625.3</v>
      </c>
      <c r="F65">
        <v>1708.874</v>
      </c>
      <c r="H65" s="2">
        <f t="shared" si="0"/>
        <v>1608.3718000000001</v>
      </c>
      <c r="I65" s="2">
        <f t="shared" si="1"/>
        <v>33.819583463431378</v>
      </c>
      <c r="K65">
        <v>68.75</v>
      </c>
      <c r="L65">
        <v>1499.4949999999999</v>
      </c>
      <c r="M65">
        <v>1308.2349999999999</v>
      </c>
      <c r="N65">
        <v>1651.116</v>
      </c>
      <c r="O65">
        <v>1642.8969999999999</v>
      </c>
      <c r="P65">
        <v>1394.316</v>
      </c>
      <c r="R65" s="3">
        <f t="shared" si="2"/>
        <v>1499.2117999999998</v>
      </c>
      <c r="S65" s="3">
        <f t="shared" si="3"/>
        <v>67.526168955005872</v>
      </c>
    </row>
    <row r="66" spans="1:19" x14ac:dyDescent="0.25">
      <c r="A66">
        <v>70</v>
      </c>
      <c r="B66">
        <v>1521.87</v>
      </c>
      <c r="C66">
        <v>1553.509</v>
      </c>
      <c r="D66">
        <v>1603.7270000000001</v>
      </c>
      <c r="E66">
        <v>1603.0530000000001</v>
      </c>
      <c r="F66">
        <v>1702.2190000000001</v>
      </c>
      <c r="H66" s="2">
        <f t="shared" si="0"/>
        <v>1596.8755999999998</v>
      </c>
      <c r="I66" s="2">
        <f t="shared" si="1"/>
        <v>30.568640714954945</v>
      </c>
      <c r="K66">
        <v>70</v>
      </c>
      <c r="L66">
        <v>1497.9590000000001</v>
      </c>
      <c r="M66">
        <v>1283.104</v>
      </c>
      <c r="N66">
        <v>1641.0809999999999</v>
      </c>
      <c r="O66">
        <v>1636.8119999999999</v>
      </c>
      <c r="P66">
        <v>1402.048</v>
      </c>
      <c r="R66" s="3">
        <f t="shared" si="2"/>
        <v>1492.2008000000001</v>
      </c>
      <c r="S66" s="3">
        <f t="shared" si="3"/>
        <v>68.905685216388335</v>
      </c>
    </row>
    <row r="67" spans="1:19" x14ac:dyDescent="0.25">
      <c r="A67">
        <v>71.25</v>
      </c>
      <c r="B67">
        <v>1517.181</v>
      </c>
      <c r="C67">
        <v>1536.921</v>
      </c>
      <c r="D67">
        <v>1586.288</v>
      </c>
      <c r="E67">
        <v>1589.5239999999999</v>
      </c>
      <c r="F67">
        <v>1689.1780000000001</v>
      </c>
      <c r="H67" s="2">
        <f t="shared" si="0"/>
        <v>1583.8183999999997</v>
      </c>
      <c r="I67" s="2">
        <f t="shared" si="1"/>
        <v>29.81543837779348</v>
      </c>
      <c r="K67">
        <v>71.25</v>
      </c>
      <c r="L67">
        <v>1489.6289999999999</v>
      </c>
      <c r="M67">
        <v>1284.047</v>
      </c>
      <c r="N67">
        <v>1625.192</v>
      </c>
      <c r="O67">
        <v>1618.52</v>
      </c>
      <c r="P67">
        <v>1398.569</v>
      </c>
      <c r="R67" s="3">
        <f t="shared" si="2"/>
        <v>1483.1914000000002</v>
      </c>
      <c r="S67" s="3">
        <f t="shared" si="3"/>
        <v>65.321851514328642</v>
      </c>
    </row>
    <row r="68" spans="1:19" x14ac:dyDescent="0.25">
      <c r="A68">
        <v>72.5</v>
      </c>
      <c r="B68">
        <v>1491.7190000000001</v>
      </c>
      <c r="C68">
        <v>1518.1089999999999</v>
      </c>
      <c r="D68">
        <v>1567.28</v>
      </c>
      <c r="E68">
        <v>1564.5070000000001</v>
      </c>
      <c r="F68">
        <v>1672.068</v>
      </c>
      <c r="H68" s="2">
        <f t="shared" si="0"/>
        <v>1562.7366</v>
      </c>
      <c r="I68" s="2">
        <f t="shared" si="1"/>
        <v>30.832007733198303</v>
      </c>
      <c r="K68">
        <v>72.5</v>
      </c>
      <c r="L68">
        <v>1465.6679999999999</v>
      </c>
      <c r="M68">
        <v>1288.7170000000001</v>
      </c>
      <c r="N68">
        <v>1607.7940000000001</v>
      </c>
      <c r="O68">
        <v>1605.31</v>
      </c>
      <c r="P68">
        <v>1376.923</v>
      </c>
      <c r="R68" s="3">
        <f t="shared" si="2"/>
        <v>1468.8824</v>
      </c>
      <c r="S68" s="3">
        <f t="shared" si="3"/>
        <v>62.783500073347291</v>
      </c>
    </row>
    <row r="69" spans="1:19" x14ac:dyDescent="0.25">
      <c r="A69">
        <v>73.75</v>
      </c>
      <c r="B69">
        <v>1475.7190000000001</v>
      </c>
      <c r="C69">
        <v>1507.8810000000001</v>
      </c>
      <c r="D69">
        <v>1553.867</v>
      </c>
      <c r="E69">
        <v>1542.184</v>
      </c>
      <c r="F69">
        <v>1659.404</v>
      </c>
      <c r="H69" s="2">
        <f t="shared" ref="H69:H96" si="4">AVERAGE(B69:F69)</f>
        <v>1547.8110000000001</v>
      </c>
      <c r="I69" s="2">
        <f t="shared" ref="I69:I96" si="5">STDEV(B69:F69)/SQRT(COUNT(B69:F69))</f>
        <v>31.074907303160202</v>
      </c>
      <c r="K69">
        <v>73.75</v>
      </c>
      <c r="L69">
        <v>1452.5809999999999</v>
      </c>
      <c r="M69">
        <v>1251.2719999999999</v>
      </c>
      <c r="N69">
        <v>1594.5550000000001</v>
      </c>
      <c r="O69">
        <v>1577.673</v>
      </c>
      <c r="P69">
        <v>1363.579</v>
      </c>
      <c r="R69" s="3">
        <f t="shared" ref="R69:R96" si="6">AVERAGE(L69:P69)</f>
        <v>1447.932</v>
      </c>
      <c r="S69" s="3">
        <f t="shared" ref="S69:S96" si="7">STDEV(L69:P69)/SQRT(COUNT(L69:P69))</f>
        <v>64.862635091399142</v>
      </c>
    </row>
    <row r="70" spans="1:19" x14ac:dyDescent="0.25">
      <c r="A70">
        <v>75</v>
      </c>
      <c r="B70">
        <v>1515.0360000000001</v>
      </c>
      <c r="C70">
        <v>1560.38</v>
      </c>
      <c r="D70">
        <v>1605.741</v>
      </c>
      <c r="E70">
        <v>1590.365</v>
      </c>
      <c r="F70">
        <v>1712.759</v>
      </c>
      <c r="H70" s="2">
        <f t="shared" si="4"/>
        <v>1596.8561999999999</v>
      </c>
      <c r="I70" s="2">
        <f t="shared" si="5"/>
        <v>32.847825415695318</v>
      </c>
      <c r="K70">
        <v>75</v>
      </c>
      <c r="L70">
        <v>1520.2059999999999</v>
      </c>
      <c r="M70">
        <v>1300.5809999999999</v>
      </c>
      <c r="N70">
        <v>1645.2329999999999</v>
      </c>
      <c r="O70">
        <v>1631.3789999999999</v>
      </c>
      <c r="P70">
        <v>1419.096</v>
      </c>
      <c r="R70" s="3">
        <f t="shared" si="6"/>
        <v>1503.2989999999998</v>
      </c>
      <c r="S70" s="3">
        <f t="shared" si="7"/>
        <v>65.199818304194665</v>
      </c>
    </row>
    <row r="71" spans="1:19" x14ac:dyDescent="0.25">
      <c r="A71">
        <v>76.25</v>
      </c>
      <c r="B71">
        <v>1659.9290000000001</v>
      </c>
      <c r="C71">
        <v>1698.39</v>
      </c>
      <c r="D71">
        <v>1733.4469999999999</v>
      </c>
      <c r="E71">
        <v>1739.365</v>
      </c>
      <c r="F71">
        <v>1903.809</v>
      </c>
      <c r="H71" s="2">
        <f t="shared" si="4"/>
        <v>1746.9880000000001</v>
      </c>
      <c r="I71" s="2">
        <f t="shared" si="5"/>
        <v>41.698519119987914</v>
      </c>
      <c r="K71">
        <v>76.25</v>
      </c>
      <c r="L71">
        <v>1699.644</v>
      </c>
      <c r="M71">
        <v>1491.7529999999999</v>
      </c>
      <c r="N71">
        <v>1835.1679999999999</v>
      </c>
      <c r="O71">
        <v>1826.252</v>
      </c>
      <c r="P71">
        <v>1584.268</v>
      </c>
      <c r="R71" s="3">
        <f t="shared" si="6"/>
        <v>1687.4169999999999</v>
      </c>
      <c r="S71" s="3">
        <f t="shared" si="7"/>
        <v>67.148764639418332</v>
      </c>
    </row>
    <row r="72" spans="1:19" x14ac:dyDescent="0.25">
      <c r="A72">
        <v>77.5</v>
      </c>
      <c r="B72">
        <v>1752.723</v>
      </c>
      <c r="C72">
        <v>1769.211</v>
      </c>
      <c r="D72">
        <v>1796.203</v>
      </c>
      <c r="E72">
        <v>1831.0930000000001</v>
      </c>
      <c r="F72">
        <v>2019.018</v>
      </c>
      <c r="H72" s="2">
        <f t="shared" si="4"/>
        <v>1833.6496</v>
      </c>
      <c r="I72" s="2">
        <f t="shared" si="5"/>
        <v>48.203566014974456</v>
      </c>
      <c r="K72">
        <v>77.5</v>
      </c>
      <c r="L72">
        <v>1801.5350000000001</v>
      </c>
      <c r="M72">
        <v>1591.875</v>
      </c>
      <c r="N72">
        <v>1942.17</v>
      </c>
      <c r="O72">
        <v>1953.6559999999999</v>
      </c>
      <c r="P72">
        <v>1667.9639999999999</v>
      </c>
      <c r="R72" s="3">
        <f t="shared" si="6"/>
        <v>1791.44</v>
      </c>
      <c r="S72" s="3">
        <f t="shared" si="7"/>
        <v>72.183095106125791</v>
      </c>
    </row>
    <row r="73" spans="1:19" x14ac:dyDescent="0.25">
      <c r="A73">
        <v>78.75</v>
      </c>
      <c r="B73">
        <v>1708.6579999999999</v>
      </c>
      <c r="C73">
        <v>1724.192</v>
      </c>
      <c r="D73">
        <v>1750.384</v>
      </c>
      <c r="E73">
        <v>1778.2239999999999</v>
      </c>
      <c r="F73">
        <v>1949.019</v>
      </c>
      <c r="H73" s="2">
        <f t="shared" si="4"/>
        <v>1782.0954000000002</v>
      </c>
      <c r="I73" s="2">
        <f t="shared" si="5"/>
        <v>43.376228694528074</v>
      </c>
      <c r="K73">
        <v>78.75</v>
      </c>
      <c r="L73">
        <v>1736.652</v>
      </c>
      <c r="M73">
        <v>1524.5450000000001</v>
      </c>
      <c r="N73">
        <v>1877.893</v>
      </c>
      <c r="O73">
        <v>1890.6769999999999</v>
      </c>
      <c r="P73">
        <v>1614.02</v>
      </c>
      <c r="R73" s="3">
        <f t="shared" si="6"/>
        <v>1728.7574</v>
      </c>
      <c r="S73" s="3">
        <f t="shared" si="7"/>
        <v>71.898916554145629</v>
      </c>
    </row>
    <row r="74" spans="1:19" x14ac:dyDescent="0.25">
      <c r="A74">
        <v>80</v>
      </c>
      <c r="B74">
        <v>1660.338</v>
      </c>
      <c r="C74">
        <v>1668.24</v>
      </c>
      <c r="D74">
        <v>1696.557</v>
      </c>
      <c r="E74">
        <v>1694.1679999999999</v>
      </c>
      <c r="F74">
        <v>1857.643</v>
      </c>
      <c r="H74" s="2">
        <f t="shared" si="4"/>
        <v>1715.3892000000001</v>
      </c>
      <c r="I74" s="2">
        <f t="shared" si="5"/>
        <v>36.259354918972306</v>
      </c>
      <c r="K74">
        <v>80</v>
      </c>
      <c r="L74">
        <v>1636.0239999999999</v>
      </c>
      <c r="M74">
        <v>1439.597</v>
      </c>
      <c r="N74">
        <v>1784.056</v>
      </c>
      <c r="O74">
        <v>1791.731</v>
      </c>
      <c r="P74">
        <v>1543.481</v>
      </c>
      <c r="R74" s="3">
        <f t="shared" si="6"/>
        <v>1638.9777999999999</v>
      </c>
      <c r="S74" s="3">
        <f t="shared" si="7"/>
        <v>68.287001463968238</v>
      </c>
    </row>
    <row r="75" spans="1:19" x14ac:dyDescent="0.25">
      <c r="A75">
        <v>81.25</v>
      </c>
      <c r="B75">
        <v>1893.577</v>
      </c>
      <c r="C75">
        <v>1755.4179999999999</v>
      </c>
      <c r="D75">
        <v>1788.171</v>
      </c>
      <c r="E75">
        <v>1733.614</v>
      </c>
      <c r="F75">
        <v>1997.91</v>
      </c>
      <c r="H75" s="2">
        <f t="shared" si="4"/>
        <v>1833.7380000000001</v>
      </c>
      <c r="I75" s="2">
        <f t="shared" si="5"/>
        <v>49.380330481883185</v>
      </c>
      <c r="K75">
        <v>81.25</v>
      </c>
      <c r="L75">
        <v>1757.336</v>
      </c>
      <c r="M75">
        <v>1610.3230000000001</v>
      </c>
      <c r="N75">
        <v>1915.3389999999999</v>
      </c>
      <c r="O75">
        <v>1948.4680000000001</v>
      </c>
      <c r="P75">
        <v>1682.2929999999999</v>
      </c>
      <c r="R75" s="3">
        <f t="shared" si="6"/>
        <v>1782.7518</v>
      </c>
      <c r="S75" s="3">
        <f t="shared" si="7"/>
        <v>65.387632241426203</v>
      </c>
    </row>
    <row r="76" spans="1:19" x14ac:dyDescent="0.25">
      <c r="A76">
        <v>82.5</v>
      </c>
      <c r="B76">
        <v>2669.5259999999998</v>
      </c>
      <c r="C76">
        <v>2104.2330000000002</v>
      </c>
      <c r="D76">
        <v>2158.2469999999998</v>
      </c>
      <c r="E76">
        <v>2056.221</v>
      </c>
      <c r="F76">
        <v>2684.9259999999999</v>
      </c>
      <c r="H76" s="2">
        <f t="shared" si="4"/>
        <v>2334.6305999999995</v>
      </c>
      <c r="I76" s="2">
        <f t="shared" si="5"/>
        <v>140.8133392135143</v>
      </c>
      <c r="K76">
        <v>82.5</v>
      </c>
      <c r="L76">
        <v>2335.424</v>
      </c>
      <c r="M76">
        <v>2301.3009999999999</v>
      </c>
      <c r="N76">
        <v>2622.0079999999998</v>
      </c>
      <c r="O76">
        <v>2647.5569999999998</v>
      </c>
      <c r="P76">
        <v>2263.4670000000001</v>
      </c>
      <c r="R76" s="3">
        <f t="shared" si="6"/>
        <v>2433.9514000000004</v>
      </c>
      <c r="S76" s="3">
        <f t="shared" si="7"/>
        <v>82.873803149487415</v>
      </c>
    </row>
    <row r="77" spans="1:19" x14ac:dyDescent="0.25">
      <c r="A77">
        <v>83.75</v>
      </c>
      <c r="B77">
        <v>3692.1970000000001</v>
      </c>
      <c r="C77">
        <v>2647.6060000000002</v>
      </c>
      <c r="D77">
        <v>2746.5430000000001</v>
      </c>
      <c r="E77">
        <v>2667.8249999999998</v>
      </c>
      <c r="F77">
        <v>3735.0360000000001</v>
      </c>
      <c r="H77" s="2">
        <f t="shared" si="4"/>
        <v>3097.8413999999998</v>
      </c>
      <c r="I77" s="2">
        <f t="shared" si="5"/>
        <v>252.02302702781083</v>
      </c>
      <c r="K77">
        <v>83.75</v>
      </c>
      <c r="L77">
        <v>3273.7660000000001</v>
      </c>
      <c r="M77">
        <v>3219.0320000000002</v>
      </c>
      <c r="N77">
        <v>3686.5889999999999</v>
      </c>
      <c r="O77">
        <v>3726.3159999999998</v>
      </c>
      <c r="P77">
        <v>3104.203</v>
      </c>
      <c r="R77" s="3">
        <f t="shared" si="6"/>
        <v>3401.9812000000006</v>
      </c>
      <c r="S77" s="3">
        <f t="shared" si="7"/>
        <v>127.4315632013513</v>
      </c>
    </row>
    <row r="78" spans="1:19" x14ac:dyDescent="0.25">
      <c r="A78">
        <v>85</v>
      </c>
      <c r="B78">
        <v>4552.7920000000004</v>
      </c>
      <c r="C78">
        <v>3080.8710000000001</v>
      </c>
      <c r="D78">
        <v>3229.578</v>
      </c>
      <c r="E78">
        <v>3228.375</v>
      </c>
      <c r="F78">
        <v>4653.933</v>
      </c>
      <c r="H78" s="2">
        <f t="shared" si="4"/>
        <v>3749.1097999999997</v>
      </c>
      <c r="I78" s="2">
        <f t="shared" si="5"/>
        <v>350.15933650431356</v>
      </c>
      <c r="K78">
        <v>85</v>
      </c>
      <c r="L78">
        <v>4086.27</v>
      </c>
      <c r="M78">
        <v>3964.415</v>
      </c>
      <c r="N78">
        <v>4547.2780000000002</v>
      </c>
      <c r="O78">
        <v>4616.7659999999996</v>
      </c>
      <c r="P78">
        <v>3809.6559999999999</v>
      </c>
      <c r="R78" s="3">
        <f t="shared" si="6"/>
        <v>4204.8769999999995</v>
      </c>
      <c r="S78" s="3">
        <f t="shared" si="7"/>
        <v>160.46498463153884</v>
      </c>
    </row>
    <row r="79" spans="1:19" x14ac:dyDescent="0.25">
      <c r="A79">
        <v>86.25</v>
      </c>
      <c r="B79">
        <v>4827.1610000000001</v>
      </c>
      <c r="C79">
        <v>3150.1329999999998</v>
      </c>
      <c r="D79">
        <v>3320.3409999999999</v>
      </c>
      <c r="E79">
        <v>3406.9409999999998</v>
      </c>
      <c r="F79">
        <v>4977.03</v>
      </c>
      <c r="H79" s="2">
        <f t="shared" si="4"/>
        <v>3936.3211999999999</v>
      </c>
      <c r="I79" s="2">
        <f t="shared" si="5"/>
        <v>397.1421184176267</v>
      </c>
      <c r="K79">
        <v>86.25</v>
      </c>
      <c r="L79">
        <v>4404.47</v>
      </c>
      <c r="M79">
        <v>4132.4080000000004</v>
      </c>
      <c r="N79">
        <v>4824.415</v>
      </c>
      <c r="O79">
        <v>4970.3850000000002</v>
      </c>
      <c r="P79">
        <v>4011.203</v>
      </c>
      <c r="R79" s="3">
        <f t="shared" si="6"/>
        <v>4468.5762000000004</v>
      </c>
      <c r="S79" s="3">
        <f t="shared" si="7"/>
        <v>187.71550695011851</v>
      </c>
    </row>
    <row r="80" spans="1:19" x14ac:dyDescent="0.25">
      <c r="A80">
        <v>87.5</v>
      </c>
      <c r="B80">
        <v>4439.7969999999996</v>
      </c>
      <c r="C80">
        <v>2841.1080000000002</v>
      </c>
      <c r="D80">
        <v>3021.2109999999998</v>
      </c>
      <c r="E80">
        <v>3134.2280000000001</v>
      </c>
      <c r="F80">
        <v>4554.5330000000004</v>
      </c>
      <c r="H80" s="2">
        <f t="shared" si="4"/>
        <v>3598.1754000000001</v>
      </c>
      <c r="I80" s="2">
        <f t="shared" si="5"/>
        <v>370.42090475843844</v>
      </c>
      <c r="K80">
        <v>87.5</v>
      </c>
      <c r="L80">
        <v>4076.3780000000002</v>
      </c>
      <c r="M80">
        <v>3717.5120000000002</v>
      </c>
      <c r="N80">
        <v>4404.232</v>
      </c>
      <c r="O80">
        <v>4615.6949999999997</v>
      </c>
      <c r="P80">
        <v>3654.152</v>
      </c>
      <c r="R80" s="3">
        <f t="shared" si="6"/>
        <v>4093.5937999999996</v>
      </c>
      <c r="S80" s="3">
        <f t="shared" si="7"/>
        <v>187.6071365898429</v>
      </c>
    </row>
    <row r="81" spans="1:19" x14ac:dyDescent="0.25">
      <c r="A81">
        <v>88.75</v>
      </c>
      <c r="B81">
        <v>3733.8119999999999</v>
      </c>
      <c r="C81">
        <v>2456.41</v>
      </c>
      <c r="D81">
        <v>2622.5659999999998</v>
      </c>
      <c r="E81">
        <v>2689.098</v>
      </c>
      <c r="F81">
        <v>3798.8850000000002</v>
      </c>
      <c r="H81" s="2">
        <f t="shared" si="4"/>
        <v>3060.1541999999999</v>
      </c>
      <c r="I81" s="2">
        <f t="shared" si="5"/>
        <v>290.96487947351972</v>
      </c>
      <c r="K81">
        <v>88.75</v>
      </c>
      <c r="L81">
        <v>3373.2260000000001</v>
      </c>
      <c r="M81">
        <v>3065.011</v>
      </c>
      <c r="N81">
        <v>3663.1080000000002</v>
      </c>
      <c r="O81">
        <v>3835.1959999999999</v>
      </c>
      <c r="P81">
        <v>3049.02</v>
      </c>
      <c r="R81" s="3">
        <f t="shared" si="6"/>
        <v>3397.1122000000005</v>
      </c>
      <c r="S81" s="3">
        <f t="shared" si="7"/>
        <v>157.27382470277755</v>
      </c>
    </row>
    <row r="82" spans="1:19" x14ac:dyDescent="0.25">
      <c r="A82">
        <v>90</v>
      </c>
      <c r="B82">
        <v>3351.39</v>
      </c>
      <c r="C82">
        <v>2337.3820000000001</v>
      </c>
      <c r="D82">
        <v>2484.1979999999999</v>
      </c>
      <c r="E82">
        <v>2474.6149999999998</v>
      </c>
      <c r="F82">
        <v>3428.9209999999998</v>
      </c>
      <c r="H82" s="2">
        <f t="shared" si="4"/>
        <v>2815.3011999999999</v>
      </c>
      <c r="I82" s="2">
        <f t="shared" si="5"/>
        <v>236.43430779888982</v>
      </c>
      <c r="K82">
        <v>90</v>
      </c>
      <c r="L82">
        <v>3024.8119999999999</v>
      </c>
      <c r="M82">
        <v>2807.1419999999998</v>
      </c>
      <c r="N82">
        <v>3327.8139999999999</v>
      </c>
      <c r="O82">
        <v>3419.2429999999999</v>
      </c>
      <c r="P82">
        <v>2741.3420000000001</v>
      </c>
      <c r="R82" s="3">
        <f t="shared" si="6"/>
        <v>3064.0706</v>
      </c>
      <c r="S82" s="3">
        <f t="shared" si="7"/>
        <v>135.5387965114048</v>
      </c>
    </row>
    <row r="83" spans="1:19" x14ac:dyDescent="0.25">
      <c r="A83">
        <v>91.25</v>
      </c>
      <c r="B83">
        <v>3652.6849999999999</v>
      </c>
      <c r="C83">
        <v>2448.2489999999998</v>
      </c>
      <c r="D83">
        <v>2571.7849999999999</v>
      </c>
      <c r="E83">
        <v>2543.5920000000001</v>
      </c>
      <c r="F83">
        <v>3692.386</v>
      </c>
      <c r="H83" s="2">
        <f t="shared" si="4"/>
        <v>2981.7393999999999</v>
      </c>
      <c r="I83" s="2">
        <f t="shared" si="5"/>
        <v>282.82807050832139</v>
      </c>
      <c r="K83">
        <v>91.25</v>
      </c>
      <c r="L83">
        <v>3244.3090000000002</v>
      </c>
      <c r="M83">
        <v>3054.069</v>
      </c>
      <c r="N83">
        <v>3521.3130000000001</v>
      </c>
      <c r="O83">
        <v>3702.8029999999999</v>
      </c>
      <c r="P83">
        <v>2901.9119999999998</v>
      </c>
      <c r="R83" s="3">
        <f t="shared" si="6"/>
        <v>3284.8811999999998</v>
      </c>
      <c r="S83" s="3">
        <f t="shared" si="7"/>
        <v>146.99394718776688</v>
      </c>
    </row>
    <row r="84" spans="1:19" x14ac:dyDescent="0.25">
      <c r="A84">
        <v>92.5</v>
      </c>
      <c r="B84">
        <v>4185.0950000000003</v>
      </c>
      <c r="C84">
        <v>2628.674</v>
      </c>
      <c r="D84">
        <v>2748.8020000000001</v>
      </c>
      <c r="E84">
        <v>2717.377</v>
      </c>
      <c r="F84">
        <v>4169.3069999999998</v>
      </c>
      <c r="H84" s="2">
        <f t="shared" si="4"/>
        <v>3289.8510000000001</v>
      </c>
      <c r="I84" s="2">
        <f t="shared" si="5"/>
        <v>362.80299074552767</v>
      </c>
      <c r="K84">
        <v>92.5</v>
      </c>
      <c r="L84">
        <v>3615.1239999999998</v>
      </c>
      <c r="M84">
        <v>3527.8359999999998</v>
      </c>
      <c r="N84">
        <v>3929.5340000000001</v>
      </c>
      <c r="O84">
        <v>4116.7070000000003</v>
      </c>
      <c r="P84">
        <v>3212.3029999999999</v>
      </c>
      <c r="R84" s="3">
        <f t="shared" si="6"/>
        <v>3680.3008</v>
      </c>
      <c r="S84" s="3">
        <f t="shared" si="7"/>
        <v>157.96883089438887</v>
      </c>
    </row>
    <row r="85" spans="1:19" x14ac:dyDescent="0.25">
      <c r="A85">
        <v>93.75</v>
      </c>
      <c r="B85">
        <v>4501.924</v>
      </c>
      <c r="C85">
        <v>2916.5360000000001</v>
      </c>
      <c r="D85">
        <v>3029.9589999999998</v>
      </c>
      <c r="E85">
        <v>2969.37</v>
      </c>
      <c r="F85">
        <v>4505.9219999999996</v>
      </c>
      <c r="H85" s="2">
        <f t="shared" si="4"/>
        <v>3584.7421999999997</v>
      </c>
      <c r="I85" s="2">
        <f t="shared" si="5"/>
        <v>375.68348030175576</v>
      </c>
      <c r="K85">
        <v>93.75</v>
      </c>
      <c r="L85">
        <v>3885.674</v>
      </c>
      <c r="M85">
        <v>3825.248</v>
      </c>
      <c r="N85">
        <v>4249.1769999999997</v>
      </c>
      <c r="O85">
        <v>4468.9229999999998</v>
      </c>
      <c r="P85">
        <v>3491.9279999999999</v>
      </c>
      <c r="R85" s="3">
        <f t="shared" si="6"/>
        <v>3984.19</v>
      </c>
      <c r="S85" s="3">
        <f t="shared" si="7"/>
        <v>170.65667723854227</v>
      </c>
    </row>
    <row r="86" spans="1:19" x14ac:dyDescent="0.25">
      <c r="A86">
        <v>95</v>
      </c>
      <c r="B86">
        <v>4460.4380000000001</v>
      </c>
      <c r="C86">
        <v>3289.6570000000002</v>
      </c>
      <c r="D86">
        <v>3390.2829999999999</v>
      </c>
      <c r="E86">
        <v>3303.4079999999999</v>
      </c>
      <c r="F86">
        <v>4546.2110000000002</v>
      </c>
      <c r="H86" s="2">
        <f t="shared" si="4"/>
        <v>3797.9993999999997</v>
      </c>
      <c r="I86" s="2">
        <f t="shared" si="5"/>
        <v>288.78286034364982</v>
      </c>
      <c r="K86">
        <v>95</v>
      </c>
      <c r="L86">
        <v>3926.4769999999999</v>
      </c>
      <c r="M86">
        <v>3745.3780000000002</v>
      </c>
      <c r="N86">
        <v>4310.5609999999997</v>
      </c>
      <c r="O86">
        <v>4555.4539999999997</v>
      </c>
      <c r="P86">
        <v>3600.1970000000001</v>
      </c>
      <c r="R86" s="3">
        <f t="shared" si="6"/>
        <v>4027.6133999999997</v>
      </c>
      <c r="S86" s="3">
        <f t="shared" si="7"/>
        <v>177.65770666666833</v>
      </c>
    </row>
    <row r="87" spans="1:19" x14ac:dyDescent="0.25">
      <c r="A87">
        <v>96.25</v>
      </c>
      <c r="B87">
        <v>4232.848</v>
      </c>
      <c r="C87">
        <v>3653.5790000000002</v>
      </c>
      <c r="D87">
        <v>3773.386</v>
      </c>
      <c r="E87">
        <v>3636.203</v>
      </c>
      <c r="F87">
        <v>4483.1750000000002</v>
      </c>
      <c r="H87" s="2">
        <f t="shared" si="4"/>
        <v>3955.8381999999997</v>
      </c>
      <c r="I87" s="2">
        <f t="shared" si="5"/>
        <v>170.5336653389588</v>
      </c>
      <c r="K87">
        <v>96.25</v>
      </c>
      <c r="L87">
        <v>3804.97</v>
      </c>
      <c r="M87">
        <v>3551.5540000000001</v>
      </c>
      <c r="N87">
        <v>4229.0969999999998</v>
      </c>
      <c r="O87">
        <v>4424.6890000000003</v>
      </c>
      <c r="P87">
        <v>3623.7550000000001</v>
      </c>
      <c r="R87" s="3">
        <f t="shared" si="6"/>
        <v>3926.8129999999996</v>
      </c>
      <c r="S87" s="3">
        <f t="shared" si="7"/>
        <v>171.28416639111742</v>
      </c>
    </row>
    <row r="88" spans="1:19" x14ac:dyDescent="0.25">
      <c r="A88">
        <v>97.5</v>
      </c>
      <c r="B88">
        <v>4175.7060000000001</v>
      </c>
      <c r="C88">
        <v>3979.2150000000001</v>
      </c>
      <c r="D88">
        <v>4141.1139999999996</v>
      </c>
      <c r="E88">
        <v>3934.9290000000001</v>
      </c>
      <c r="F88">
        <v>4581.3890000000001</v>
      </c>
      <c r="H88" s="2">
        <f t="shared" si="4"/>
        <v>4162.4705999999996</v>
      </c>
      <c r="I88" s="2">
        <f t="shared" si="5"/>
        <v>114.34196532708366</v>
      </c>
      <c r="K88">
        <v>97.5</v>
      </c>
      <c r="L88">
        <v>3825.9670000000001</v>
      </c>
      <c r="M88">
        <v>3536.058</v>
      </c>
      <c r="N88">
        <v>4273.8850000000002</v>
      </c>
      <c r="O88">
        <v>4399.08</v>
      </c>
      <c r="P88">
        <v>3706.049</v>
      </c>
      <c r="R88" s="3">
        <f t="shared" si="6"/>
        <v>3948.2078000000001</v>
      </c>
      <c r="S88" s="3">
        <f t="shared" si="7"/>
        <v>166.25320065713021</v>
      </c>
    </row>
    <row r="89" spans="1:19" x14ac:dyDescent="0.25">
      <c r="A89">
        <v>98.75</v>
      </c>
      <c r="B89">
        <v>4368.9830000000002</v>
      </c>
      <c r="C89">
        <v>4231.8379999999997</v>
      </c>
      <c r="D89">
        <v>4363.7150000000001</v>
      </c>
      <c r="E89">
        <v>4154.8209999999999</v>
      </c>
      <c r="F89">
        <v>4796.6130000000003</v>
      </c>
      <c r="H89" s="2">
        <f t="shared" si="4"/>
        <v>4383.1940000000004</v>
      </c>
      <c r="I89" s="2">
        <f t="shared" si="5"/>
        <v>111.03141883899357</v>
      </c>
      <c r="K89">
        <v>98.75</v>
      </c>
      <c r="L89">
        <v>4005.7759999999998</v>
      </c>
      <c r="M89">
        <v>3707.2489999999998</v>
      </c>
      <c r="N89">
        <v>4496.393</v>
      </c>
      <c r="O89">
        <v>4596.97</v>
      </c>
      <c r="P89">
        <v>3899.6750000000002</v>
      </c>
      <c r="R89" s="3">
        <f t="shared" si="6"/>
        <v>4141.2125999999998</v>
      </c>
      <c r="S89" s="3">
        <f t="shared" si="7"/>
        <v>173.04274257494885</v>
      </c>
    </row>
    <row r="90" spans="1:19" x14ac:dyDescent="0.25">
      <c r="A90">
        <v>100</v>
      </c>
      <c r="B90">
        <v>4481.402</v>
      </c>
      <c r="C90">
        <v>4201.4960000000001</v>
      </c>
      <c r="D90">
        <v>4333.6769999999997</v>
      </c>
      <c r="E90">
        <v>4148.1180000000004</v>
      </c>
      <c r="F90">
        <v>4876.5240000000003</v>
      </c>
      <c r="H90" s="2">
        <f t="shared" si="4"/>
        <v>4408.2434000000003</v>
      </c>
      <c r="I90" s="2">
        <f t="shared" si="5"/>
        <v>130.50072034881649</v>
      </c>
      <c r="K90">
        <v>100</v>
      </c>
      <c r="L90">
        <v>4111.26</v>
      </c>
      <c r="M90">
        <v>3790.9830000000002</v>
      </c>
      <c r="N90">
        <v>4615.8959999999997</v>
      </c>
      <c r="O90">
        <v>4726.3850000000002</v>
      </c>
      <c r="P90">
        <v>3953.5239999999999</v>
      </c>
      <c r="R90" s="3">
        <f t="shared" si="6"/>
        <v>4239.6095999999998</v>
      </c>
      <c r="S90" s="3">
        <f t="shared" si="7"/>
        <v>184.13665597121067</v>
      </c>
    </row>
    <row r="91" spans="1:19" x14ac:dyDescent="0.25">
      <c r="A91">
        <v>101.25</v>
      </c>
      <c r="B91">
        <v>4330.5280000000002</v>
      </c>
      <c r="C91">
        <v>3933.3</v>
      </c>
      <c r="D91">
        <v>4065.5889999999999</v>
      </c>
      <c r="E91">
        <v>3871.0909999999999</v>
      </c>
      <c r="F91">
        <v>4667.0069999999996</v>
      </c>
      <c r="H91" s="2">
        <f t="shared" si="4"/>
        <v>4173.5029999999997</v>
      </c>
      <c r="I91" s="2">
        <f t="shared" si="5"/>
        <v>146.45801087513095</v>
      </c>
      <c r="K91">
        <v>101.25</v>
      </c>
      <c r="L91">
        <v>3998.0920000000001</v>
      </c>
      <c r="M91">
        <v>3645.64</v>
      </c>
      <c r="N91">
        <v>4455.3040000000001</v>
      </c>
      <c r="O91">
        <v>4573.7020000000002</v>
      </c>
      <c r="P91">
        <v>3778.0630000000001</v>
      </c>
      <c r="R91" s="3">
        <f t="shared" si="6"/>
        <v>4090.1601999999998</v>
      </c>
      <c r="S91" s="3">
        <f t="shared" si="7"/>
        <v>183.11500360877045</v>
      </c>
    </row>
    <row r="92" spans="1:19" x14ac:dyDescent="0.25">
      <c r="A92">
        <v>102.5</v>
      </c>
      <c r="B92">
        <v>4022.0709999999999</v>
      </c>
      <c r="C92">
        <v>3576.1460000000002</v>
      </c>
      <c r="D92">
        <v>3667.6170000000002</v>
      </c>
      <c r="E92">
        <v>3449.4349999999999</v>
      </c>
      <c r="F92">
        <v>4295.1499999999996</v>
      </c>
      <c r="H92" s="2">
        <f t="shared" si="4"/>
        <v>3802.0838000000003</v>
      </c>
      <c r="I92" s="2">
        <f t="shared" si="5"/>
        <v>155.72395956608597</v>
      </c>
      <c r="K92">
        <v>102.5</v>
      </c>
      <c r="L92">
        <v>3694.5920000000001</v>
      </c>
      <c r="M92">
        <v>3369.8620000000001</v>
      </c>
      <c r="N92">
        <v>4069.9690000000001</v>
      </c>
      <c r="O92">
        <v>4194.8540000000003</v>
      </c>
      <c r="P92">
        <v>3488.5970000000002</v>
      </c>
      <c r="R92" s="3">
        <f t="shared" si="6"/>
        <v>3763.5747999999999</v>
      </c>
      <c r="S92" s="3">
        <f t="shared" si="7"/>
        <v>160.50861974031176</v>
      </c>
    </row>
    <row r="93" spans="1:19" x14ac:dyDescent="0.25">
      <c r="A93">
        <v>103.75</v>
      </c>
      <c r="B93">
        <v>3633.3939999999998</v>
      </c>
      <c r="C93">
        <v>3182.9119999999998</v>
      </c>
      <c r="D93">
        <v>3233.7579999999998</v>
      </c>
      <c r="E93">
        <v>2961.643</v>
      </c>
      <c r="F93">
        <v>3819.4690000000001</v>
      </c>
      <c r="H93" s="2">
        <f t="shared" si="4"/>
        <v>3366.2352000000001</v>
      </c>
      <c r="I93" s="2">
        <f t="shared" si="5"/>
        <v>156.78761978530065</v>
      </c>
      <c r="K93">
        <v>103.75</v>
      </c>
      <c r="L93">
        <v>3253.002</v>
      </c>
      <c r="M93">
        <v>2989.7860000000001</v>
      </c>
      <c r="N93">
        <v>3556.837</v>
      </c>
      <c r="O93">
        <v>3694.7820000000002</v>
      </c>
      <c r="P93">
        <v>3106.1219999999998</v>
      </c>
      <c r="R93" s="3">
        <f t="shared" si="6"/>
        <v>3320.1057999999998</v>
      </c>
      <c r="S93" s="3">
        <f t="shared" si="7"/>
        <v>133.38423310286717</v>
      </c>
    </row>
    <row r="94" spans="1:19" x14ac:dyDescent="0.25">
      <c r="A94">
        <v>105</v>
      </c>
      <c r="B94">
        <v>3199.4009999999998</v>
      </c>
      <c r="C94">
        <v>2887.163</v>
      </c>
      <c r="D94">
        <v>2898.0709999999999</v>
      </c>
      <c r="E94">
        <v>2552.5279999999998</v>
      </c>
      <c r="F94">
        <v>3332.377</v>
      </c>
      <c r="H94" s="2">
        <f t="shared" si="4"/>
        <v>2973.9080000000004</v>
      </c>
      <c r="I94" s="2">
        <f t="shared" si="5"/>
        <v>136.04855144469565</v>
      </c>
      <c r="K94">
        <v>105</v>
      </c>
      <c r="L94">
        <v>2778.7860000000001</v>
      </c>
      <c r="M94">
        <v>2588.6959999999999</v>
      </c>
      <c r="N94">
        <v>3073.1970000000001</v>
      </c>
      <c r="O94">
        <v>3193.049</v>
      </c>
      <c r="P94">
        <v>2688.6790000000001</v>
      </c>
      <c r="R94" s="3">
        <f t="shared" si="6"/>
        <v>2864.4813999999997</v>
      </c>
      <c r="S94" s="3">
        <f t="shared" si="7"/>
        <v>115.28803965138795</v>
      </c>
    </row>
    <row r="95" spans="1:19" x14ac:dyDescent="0.25">
      <c r="A95">
        <v>106.25</v>
      </c>
      <c r="B95">
        <v>2885.4520000000002</v>
      </c>
      <c r="C95">
        <v>2708.1529999999998</v>
      </c>
      <c r="D95">
        <v>2697.8470000000002</v>
      </c>
      <c r="E95">
        <v>2321.3820000000001</v>
      </c>
      <c r="F95">
        <v>3027.7350000000001</v>
      </c>
      <c r="H95" s="2">
        <f t="shared" si="4"/>
        <v>2728.1138000000001</v>
      </c>
      <c r="I95" s="2">
        <f t="shared" si="5"/>
        <v>118.59035427023566</v>
      </c>
      <c r="K95">
        <v>106.25</v>
      </c>
      <c r="L95">
        <v>2458.0830000000001</v>
      </c>
      <c r="M95">
        <v>2346.4659999999999</v>
      </c>
      <c r="N95">
        <v>2769.2359999999999</v>
      </c>
      <c r="O95">
        <v>2861.451</v>
      </c>
      <c r="P95">
        <v>2420.181</v>
      </c>
      <c r="R95" s="3">
        <f t="shared" si="6"/>
        <v>2571.0834000000004</v>
      </c>
      <c r="S95" s="3">
        <f t="shared" si="7"/>
        <v>102.36488585574644</v>
      </c>
    </row>
    <row r="96" spans="1:19" x14ac:dyDescent="0.25">
      <c r="A96">
        <v>107.5</v>
      </c>
      <c r="B96">
        <v>2718.6089999999999</v>
      </c>
      <c r="C96">
        <v>2576.9470000000001</v>
      </c>
      <c r="D96">
        <v>2554.2069999999999</v>
      </c>
      <c r="E96">
        <v>2166.9540000000002</v>
      </c>
      <c r="F96">
        <v>2851.1790000000001</v>
      </c>
      <c r="H96" s="2">
        <f t="shared" si="4"/>
        <v>2573.5792000000001</v>
      </c>
      <c r="I96" s="2">
        <f t="shared" si="5"/>
        <v>114.85337812463329</v>
      </c>
      <c r="K96">
        <v>107.5</v>
      </c>
      <c r="L96">
        <v>2299.1179999999999</v>
      </c>
      <c r="M96">
        <v>2219.6030000000001</v>
      </c>
      <c r="N96">
        <v>2584.3649999999998</v>
      </c>
      <c r="O96">
        <v>2669.4290000000001</v>
      </c>
      <c r="P96">
        <v>2270.6410000000001</v>
      </c>
      <c r="R96" s="3">
        <f t="shared" si="6"/>
        <v>2408.6311999999998</v>
      </c>
      <c r="S96" s="3">
        <f t="shared" si="7"/>
        <v>91.012075466061077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BRIGHT!OCT_RAW___\AD03\_dark_profiles_AD03_DARK</vt:lpstr>
      <vt:lpstr>BRIGHT!OCT_RAW___\CO03\_light_profiles_CO03_LIGHT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2019-11-17T01:34:50Z</dcterms:modified>
</cp:coreProperties>
</file>