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807\"/>
    </mc:Choice>
  </mc:AlternateContent>
  <xr:revisionPtr revIDLastSave="0" documentId="13_ncr:1_{CBDAD794-1AF3-49A6-AF12-9277F174D687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10\_dark_profiles_AD10_DARK" localSheetId="0">BRIGHT!$A$2:$F$96</definedName>
    <definedName name="OCT_RAW___\AD10\_fovea_dark_profiles_AD10_DARK" localSheetId="0">BRIGHT!#REF!</definedName>
    <definedName name="OCT_RAW___\AD10\_fovea_light_profiles_AD10_LIGHT" localSheetId="0">BRIGHT!#REF!</definedName>
    <definedName name="OCT_RAW___\AD10\_light_profiles_AD10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9351EF-2E0D-431F-B392-A9A4652FADD3}" name="[[[OCT RAW]]]\AD10\_dark_profiles_AD10_DARK" type="6" refreshedVersion="6" background="1" saveData="1">
    <textPr codePage="437" sourceFile="E:\[Documents]\[[[OCT RAW]]]\AD10\_dark_profiles_AD10_DARK.txt" space="1" consecutive="1">
      <textFields count="6">
        <textField/>
        <textField/>
        <textField/>
        <textField/>
        <textField/>
        <textField/>
      </textFields>
    </textPr>
  </connection>
  <connection id="2" xr16:uid="{A9CEA8EA-BC3E-4175-B515-0FE3D6FA446B}" name="[[[OCT RAW]]]\AD10\_light_profiles_AD10_LIGHT" type="6" refreshedVersion="6" background="1" saveData="1">
    <textPr codePage="437" sourceFile="E:\[Documents]\[[[OCT RAW]]]\AD10\_light_profiles_AD10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<sst xmlns="http://schemas.openxmlformats.org/spreadsheetml/2006/main" count="12" uniqueCount="8">
  <si>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</si>
  <si>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</si>
  <si>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</si>
  <si>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</si>
  <si>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</si>
  <si>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</si>
  <si>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AD807_DARK</t>
  </si>
  <si>
    <t>AD807_LIGHT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</si>
</sst>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476.5634</c:v>
                </c:pt>
                <c:pt idx="1">
                  <c:v>592.85540000000003</c:v>
                </c:pt>
                <c:pt idx="2">
                  <c:v>1228.6658</c:v>
                </c:pt>
                <c:pt idx="3">
                  <c:v>2174.3534</c:v>
                </c:pt>
                <c:pt idx="4">
                  <c:v>3067.8321999999998</c:v>
                </c:pt>
                <c:pt idx="5">
                  <c:v>3425.5205999999998</c:v>
                </c:pt>
                <c:pt idx="6">
                  <c:v>3677.6652000000004</c:v>
                </c:pt>
                <c:pt idx="7">
                  <c:v>3789.2968000000001</c:v>
                </c:pt>
                <c:pt idx="8">
                  <c:v>3756.3290000000002</c:v>
                </c:pt>
                <c:pt idx="9">
                  <c:v>3637.6375999999996</c:v>
                </c:pt>
                <c:pt idx="10">
                  <c:v>3355.8294000000001</c:v>
                </c:pt>
                <c:pt idx="11">
                  <c:v>2932.3084000000003</c:v>
                </c:pt>
                <c:pt idx="12">
                  <c:v>2610.5228000000002</c:v>
                </c:pt>
                <c:pt idx="13">
                  <c:v>2556.2321999999999</c:v>
                </c:pt>
                <c:pt idx="14">
                  <c:v>2528.8692000000001</c:v>
                </c:pt>
                <c:pt idx="15">
                  <c:v>2494.8004000000001</c:v>
                </c:pt>
                <c:pt idx="16">
                  <c:v>2459.6619999999994</c:v>
                </c:pt>
                <c:pt idx="17">
                  <c:v>2409.8777999999998</c:v>
                </c:pt>
                <c:pt idx="18">
                  <c:v>2373.8690000000001</c:v>
                </c:pt>
                <c:pt idx="19">
                  <c:v>2341.3203999999996</c:v>
                </c:pt>
                <c:pt idx="20">
                  <c:v>2327.0667999999996</c:v>
                </c:pt>
                <c:pt idx="21">
                  <c:v>2342.5639999999999</c:v>
                </c:pt>
                <c:pt idx="22">
                  <c:v>2364.3363999999997</c:v>
                </c:pt>
                <c:pt idx="23">
                  <c:v>2362.0328</c:v>
                </c:pt>
                <c:pt idx="24">
                  <c:v>2348.8674000000001</c:v>
                </c:pt>
                <c:pt idx="25">
                  <c:v>2348.9225999999999</c:v>
                </c:pt>
                <c:pt idx="26">
                  <c:v>2367.4628000000002</c:v>
                </c:pt>
                <c:pt idx="27">
                  <c:v>2382.7201999999997</c:v>
                </c:pt>
                <c:pt idx="28">
                  <c:v>2379.1528000000003</c:v>
                </c:pt>
                <c:pt idx="29">
                  <c:v>2401.0996</c:v>
                </c:pt>
                <c:pt idx="30">
                  <c:v>2400.2113999999997</c:v>
                </c:pt>
                <c:pt idx="31">
                  <c:v>2360.0152000000003</c:v>
                </c:pt>
                <c:pt idx="32">
                  <c:v>2271.1755999999996</c:v>
                </c:pt>
                <c:pt idx="33">
                  <c:v>2116.451</c:v>
                </c:pt>
                <c:pt idx="34">
                  <c:v>1975.1544000000001</c:v>
                </c:pt>
                <c:pt idx="35">
                  <c:v>1886.9448</c:v>
                </c:pt>
                <c:pt idx="36">
                  <c:v>1849.8779999999999</c:v>
                </c:pt>
                <c:pt idx="37">
                  <c:v>1830.0988000000002</c:v>
                </c:pt>
                <c:pt idx="38">
                  <c:v>1823.2259999999999</c:v>
                </c:pt>
                <c:pt idx="39">
                  <c:v>1834.8952000000002</c:v>
                </c:pt>
                <c:pt idx="40">
                  <c:v>1876.5774000000001</c:v>
                </c:pt>
                <c:pt idx="41">
                  <c:v>1939.8409999999999</c:v>
                </c:pt>
                <c:pt idx="42">
                  <c:v>1996.9875999999999</c:v>
                </c:pt>
                <c:pt idx="43">
                  <c:v>2038.1228000000003</c:v>
                </c:pt>
                <c:pt idx="44">
                  <c:v>2091.8063999999999</c:v>
                </c:pt>
                <c:pt idx="45">
                  <c:v>2141.9425999999999</c:v>
                </c:pt>
                <c:pt idx="46">
                  <c:v>2148.4016000000001</c:v>
                </c:pt>
                <c:pt idx="47">
                  <c:v>2099.3060000000005</c:v>
                </c:pt>
                <c:pt idx="48">
                  <c:v>1986.818</c:v>
                </c:pt>
                <c:pt idx="49">
                  <c:v>1817.6608000000001</c:v>
                </c:pt>
                <c:pt idx="50">
                  <c:v>1652.895</c:v>
                </c:pt>
                <c:pt idx="51">
                  <c:v>1554.4258000000002</c:v>
                </c:pt>
                <c:pt idx="52">
                  <c:v>1493.8858000000002</c:v>
                </c:pt>
                <c:pt idx="53">
                  <c:v>1452.0115999999998</c:v>
                </c:pt>
                <c:pt idx="54">
                  <c:v>1423.2055999999998</c:v>
                </c:pt>
                <c:pt idx="55">
                  <c:v>1404.654</c:v>
                </c:pt>
                <c:pt idx="56">
                  <c:v>1398.0122000000001</c:v>
                </c:pt>
                <c:pt idx="57">
                  <c:v>1397.4832000000001</c:v>
                </c:pt>
                <c:pt idx="58">
                  <c:v>1404.5368000000001</c:v>
                </c:pt>
                <c:pt idx="59">
                  <c:v>1409.6671999999999</c:v>
                </c:pt>
                <c:pt idx="60">
                  <c:v>1401.9168</c:v>
                </c:pt>
                <c:pt idx="61">
                  <c:v>1393.1816000000001</c:v>
                </c:pt>
                <c:pt idx="62">
                  <c:v>1408.5520000000001</c:v>
                </c:pt>
                <c:pt idx="63">
                  <c:v>1544.1286</c:v>
                </c:pt>
                <c:pt idx="64">
                  <c:v>1824.9227999999998</c:v>
                </c:pt>
                <c:pt idx="65">
                  <c:v>1966.0234</c:v>
                </c:pt>
                <c:pt idx="66">
                  <c:v>1889.3745999999999</c:v>
                </c:pt>
                <c:pt idx="67">
                  <c:v>1751.2692</c:v>
                </c:pt>
                <c:pt idx="68">
                  <c:v>1877.5144</c:v>
                </c:pt>
                <c:pt idx="69">
                  <c:v>2492.3478</c:v>
                </c:pt>
                <c:pt idx="70">
                  <c:v>3303.2620000000002</c:v>
                </c:pt>
                <c:pt idx="71">
                  <c:v>3822.6886</c:v>
                </c:pt>
                <c:pt idx="72">
                  <c:v>3825.2620000000002</c:v>
                </c:pt>
                <c:pt idx="73">
                  <c:v>3411.7572</c:v>
                </c:pt>
                <c:pt idx="74">
                  <c:v>2998.4250000000002</c:v>
                </c:pt>
                <c:pt idx="75">
                  <c:v>2968.5147999999999</c:v>
                </c:pt>
                <c:pt idx="76">
                  <c:v>3197.0475999999999</c:v>
                </c:pt>
                <c:pt idx="77">
                  <c:v>3465.1668000000004</c:v>
                </c:pt>
                <c:pt idx="78">
                  <c:v>3626.2303999999995</c:v>
                </c:pt>
                <c:pt idx="79">
                  <c:v>3672.2719999999999</c:v>
                </c:pt>
                <c:pt idx="80">
                  <c:v>3729.0442000000003</c:v>
                </c:pt>
                <c:pt idx="81">
                  <c:v>3943.1423999999997</c:v>
                </c:pt>
                <c:pt idx="82">
                  <c:v>4173.0676000000003</c:v>
                </c:pt>
                <c:pt idx="83">
                  <c:v>4265.6039999999994</c:v>
                </c:pt>
                <c:pt idx="84">
                  <c:v>4099.6782000000003</c:v>
                </c:pt>
                <c:pt idx="85">
                  <c:v>3754.1529999999998</c:v>
                </c:pt>
                <c:pt idx="86">
                  <c:v>3333.4408000000003</c:v>
                </c:pt>
                <c:pt idx="87">
                  <c:v>2939.6198000000004</c:v>
                </c:pt>
                <c:pt idx="88">
                  <c:v>2691.3681999999999</c:v>
                </c:pt>
                <c:pt idx="89">
                  <c:v>2528.4236000000001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490.84520000000003</c:v>
                </c:pt>
                <c:pt idx="1">
                  <c:v>564.90299999999991</c:v>
                </c:pt>
                <c:pt idx="2">
                  <c:v>1048.2760000000001</c:v>
                </c:pt>
                <c:pt idx="3">
                  <c:v>1891.6512000000002</c:v>
                </c:pt>
                <c:pt idx="4">
                  <c:v>2677.3756000000003</c:v>
                </c:pt>
                <c:pt idx="5">
                  <c:v>2952.1812</c:v>
                </c:pt>
                <c:pt idx="6">
                  <c:v>3133.3317999999999</c:v>
                </c:pt>
                <c:pt idx="7">
                  <c:v>3237.7542000000003</c:v>
                </c:pt>
                <c:pt idx="8">
                  <c:v>3218.511</c:v>
                </c:pt>
                <c:pt idx="9">
                  <c:v>3100.71</c:v>
                </c:pt>
                <c:pt idx="10">
                  <c:v>2882.4833999999996</c:v>
                </c:pt>
                <c:pt idx="11">
                  <c:v>2518.7185999999997</c:v>
                </c:pt>
                <c:pt idx="12">
                  <c:v>2243.3740000000003</c:v>
                </c:pt>
                <c:pt idx="13">
                  <c:v>2180.5361999999996</c:v>
                </c:pt>
                <c:pt idx="14">
                  <c:v>2147.3182000000002</c:v>
                </c:pt>
                <c:pt idx="15">
                  <c:v>2109.1096000000002</c:v>
                </c:pt>
                <c:pt idx="16">
                  <c:v>2040.8226</c:v>
                </c:pt>
                <c:pt idx="17">
                  <c:v>2000.8534</c:v>
                </c:pt>
                <c:pt idx="18">
                  <c:v>1974.5937999999999</c:v>
                </c:pt>
                <c:pt idx="19">
                  <c:v>1947.5934000000002</c:v>
                </c:pt>
                <c:pt idx="20">
                  <c:v>1937.4436000000001</c:v>
                </c:pt>
                <c:pt idx="21">
                  <c:v>1953.0835999999999</c:v>
                </c:pt>
                <c:pt idx="22">
                  <c:v>1965.3921999999998</c:v>
                </c:pt>
                <c:pt idx="23">
                  <c:v>1960.3971999999999</c:v>
                </c:pt>
                <c:pt idx="24">
                  <c:v>1959.8157999999999</c:v>
                </c:pt>
                <c:pt idx="25">
                  <c:v>1965.4252000000001</c:v>
                </c:pt>
                <c:pt idx="26">
                  <c:v>1977.5011999999999</c:v>
                </c:pt>
                <c:pt idx="27">
                  <c:v>1987.3078</c:v>
                </c:pt>
                <c:pt idx="28">
                  <c:v>1989.8903999999998</c:v>
                </c:pt>
                <c:pt idx="29">
                  <c:v>2004.6244000000002</c:v>
                </c:pt>
                <c:pt idx="30">
                  <c:v>2010.8760000000002</c:v>
                </c:pt>
                <c:pt idx="31">
                  <c:v>1988.375</c:v>
                </c:pt>
                <c:pt idx="32">
                  <c:v>1909.8671999999999</c:v>
                </c:pt>
                <c:pt idx="33">
                  <c:v>1778.9378000000002</c:v>
                </c:pt>
                <c:pt idx="34">
                  <c:v>1668.002</c:v>
                </c:pt>
                <c:pt idx="35">
                  <c:v>1591.6583999999998</c:v>
                </c:pt>
                <c:pt idx="36">
                  <c:v>1555.5922</c:v>
                </c:pt>
                <c:pt idx="37">
                  <c:v>1544.9639999999999</c:v>
                </c:pt>
                <c:pt idx="38">
                  <c:v>1549.5026000000003</c:v>
                </c:pt>
                <c:pt idx="39">
                  <c:v>1559.1178</c:v>
                </c:pt>
                <c:pt idx="40">
                  <c:v>1588.375</c:v>
                </c:pt>
                <c:pt idx="41">
                  <c:v>1636.1799999999998</c:v>
                </c:pt>
                <c:pt idx="42">
                  <c:v>1683.8558</c:v>
                </c:pt>
                <c:pt idx="43">
                  <c:v>1723.9893999999999</c:v>
                </c:pt>
                <c:pt idx="44">
                  <c:v>1766.9632000000001</c:v>
                </c:pt>
                <c:pt idx="45">
                  <c:v>1804.5365999999999</c:v>
                </c:pt>
                <c:pt idx="46">
                  <c:v>1805.7006000000001</c:v>
                </c:pt>
                <c:pt idx="47">
                  <c:v>1764.2388000000003</c:v>
                </c:pt>
                <c:pt idx="48">
                  <c:v>1665.8799999999999</c:v>
                </c:pt>
                <c:pt idx="49">
                  <c:v>1519.9259999999999</c:v>
                </c:pt>
                <c:pt idx="50">
                  <c:v>1378.4364</c:v>
                </c:pt>
                <c:pt idx="51">
                  <c:v>1290.7025999999998</c:v>
                </c:pt>
                <c:pt idx="52">
                  <c:v>1239.0762</c:v>
                </c:pt>
                <c:pt idx="53">
                  <c:v>1215.82</c:v>
                </c:pt>
                <c:pt idx="54">
                  <c:v>1197.8334</c:v>
                </c:pt>
                <c:pt idx="55">
                  <c:v>1183.0196000000001</c:v>
                </c:pt>
                <c:pt idx="56">
                  <c:v>1181.7624000000001</c:v>
                </c:pt>
                <c:pt idx="57">
                  <c:v>1169.3363999999999</c:v>
                </c:pt>
                <c:pt idx="58">
                  <c:v>1174.8530000000001</c:v>
                </c:pt>
                <c:pt idx="59">
                  <c:v>1185.9656</c:v>
                </c:pt>
                <c:pt idx="60">
                  <c:v>1175.896</c:v>
                </c:pt>
                <c:pt idx="61">
                  <c:v>1165.7194000000002</c:v>
                </c:pt>
                <c:pt idx="62">
                  <c:v>1183.3655999999999</c:v>
                </c:pt>
                <c:pt idx="63">
                  <c:v>1309.0160000000001</c:v>
                </c:pt>
                <c:pt idx="64">
                  <c:v>1547.3382000000001</c:v>
                </c:pt>
                <c:pt idx="65">
                  <c:v>1672.7993999999999</c:v>
                </c:pt>
                <c:pt idx="66">
                  <c:v>1608.4749999999999</c:v>
                </c:pt>
                <c:pt idx="67">
                  <c:v>1495.3571999999999</c:v>
                </c:pt>
                <c:pt idx="68">
                  <c:v>1628.288</c:v>
                </c:pt>
                <c:pt idx="69">
                  <c:v>2206.0846000000001</c:v>
                </c:pt>
                <c:pt idx="70">
                  <c:v>2922.5155999999997</c:v>
                </c:pt>
                <c:pt idx="71">
                  <c:v>3402.5662000000002</c:v>
                </c:pt>
                <c:pt idx="72">
                  <c:v>3399.1012000000001</c:v>
                </c:pt>
                <c:pt idx="73">
                  <c:v>3017.4588000000003</c:v>
                </c:pt>
                <c:pt idx="74">
                  <c:v>2630.9839999999999</c:v>
                </c:pt>
                <c:pt idx="75">
                  <c:v>2580.4847999999997</c:v>
                </c:pt>
                <c:pt idx="76">
                  <c:v>2773.8526000000006</c:v>
                </c:pt>
                <c:pt idx="77">
                  <c:v>3007.4603999999999</c:v>
                </c:pt>
                <c:pt idx="78">
                  <c:v>3137.0491999999999</c:v>
                </c:pt>
                <c:pt idx="79">
                  <c:v>3167.9841999999999</c:v>
                </c:pt>
                <c:pt idx="80">
                  <c:v>3193.4505999999992</c:v>
                </c:pt>
                <c:pt idx="81">
                  <c:v>3384.8249999999998</c:v>
                </c:pt>
                <c:pt idx="82">
                  <c:v>3618.6019999999999</c:v>
                </c:pt>
                <c:pt idx="83">
                  <c:v>3736.8756000000003</c:v>
                </c:pt>
                <c:pt idx="84">
                  <c:v>3620.4979999999996</c:v>
                </c:pt>
                <c:pt idx="85">
                  <c:v>3350.4169999999999</c:v>
                </c:pt>
                <c:pt idx="86">
                  <c:v>2996.6734000000001</c:v>
                </c:pt>
                <c:pt idx="87">
                  <c:v>2668.3016000000002</c:v>
                </c:pt>
                <c:pt idx="88">
                  <c:v>2457.3338000000003</c:v>
                </c:pt>
                <c:pt idx="89">
                  <c:v>2306.4209999999998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0\_light_profiles_AD10_LIGHT" connectionId="2" xr16:uid="{A51B4DA1-E0C2-4263-BA77-199A1B1B0A5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0\_dark_profiles_AD10_DARK" connectionId="1" xr16:uid="{BF3A5DF9-7AB7-45B8-9675-FD5FC3B4848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1.3089999999999999</v>
      </c>
      <c r="C3">
        <v>2.109</v>
      </c>
      <c r="D3">
        <v>4.5679999999999996</v>
      </c>
      <c r="E3">
        <v>3.8679999999999999</v>
      </c>
      <c r="F3">
        <v>3.1059999999999999</v>
      </c>
      <c r="K3" t="s">
        <v>0</v>
      </c>
      <c r="L3">
        <v>4.1760000000000002</v>
      </c>
      <c r="M3">
        <v>3.117</v>
      </c>
      <c r="N3">
        <v>3.028</v>
      </c>
      <c r="O3">
        <v>3.06</v>
      </c>
      <c r="P3">
        <v>2.976</v>
      </c>
    </row>
    <row r="4" spans="1:19" x14ac:dyDescent="0.25">
      <c r="A4" t="s">
        <v>1</v>
      </c>
      <c r="B4">
        <v>350.82299999999998</v>
      </c>
      <c r="C4">
        <v>350.76799999999997</v>
      </c>
      <c r="D4">
        <v>351.38400000000001</v>
      </c>
      <c r="E4">
        <v>350.25200000000001</v>
      </c>
      <c r="F4">
        <v>353.60199999999998</v>
      </c>
      <c r="H4" s="2">
        <f>AVERAGE(B4:F4)</f>
        <v>351.36579999999992</v>
      </c>
      <c r="I4" s="2">
        <f>STDEV(B4:F4)/SQRT(COUNT(B4:F4))</f>
        <v>0.58708895407765604</v>
      </c>
      <c r="K4" t="s">
        <v>1</v>
      </c>
      <c r="L4">
        <v>350.65499999999997</v>
      </c>
      <c r="M4">
        <v>349.28500000000003</v>
      </c>
      <c r="N4">
        <v>351.45600000000002</v>
      </c>
      <c r="O4">
        <v>352.24099999999999</v>
      </c>
      <c r="P4">
        <v>350.88499999999999</v>
      </c>
      <c r="R4" s="3">
        <f>AVERAGE(L4:P4)</f>
        <v>350.90440000000001</v>
      </c>
      <c r="S4" s="3">
        <f>STDEV(L4:P4)/SQRT(COUNT(L4:P4))</f>
        <v>0.48866119141998132</v>
      </c>
    </row>
    <row r="5" spans="1:19" x14ac:dyDescent="0.25">
      <c r="A5" t="s">
        <v>2</v>
      </c>
      <c r="B5">
        <v>66.039000000000001</v>
      </c>
      <c r="C5">
        <v>65.97</v>
      </c>
      <c r="D5">
        <v>65.650000000000006</v>
      </c>
      <c r="E5">
        <v>65.244</v>
      </c>
      <c r="F5">
        <v>66.137</v>
      </c>
      <c r="H5" s="2">
        <f t="shared" ref="H5:H68" si="0">AVERAGE(B5:F5)</f>
        <v>65.808000000000007</v>
      </c>
      <c r="I5" s="2">
        <f t="shared" ref="I5:I68" si="1">STDEV(B5:F5)/SQRT(COUNT(B5:F5))</f>
        <v>0.16292728439398957</v>
      </c>
      <c r="K5" t="s">
        <v>2</v>
      </c>
      <c r="L5">
        <v>65.727999999999994</v>
      </c>
      <c r="M5">
        <v>66.009</v>
      </c>
      <c r="N5">
        <v>65.477999999999994</v>
      </c>
      <c r="O5">
        <v>65.478999999999999</v>
      </c>
      <c r="P5">
        <v>65.144000000000005</v>
      </c>
      <c r="R5" s="3">
        <f t="shared" ref="R5:R68" si="2">AVERAGE(L5:P5)</f>
        <v>65.567599999999999</v>
      </c>
      <c r="S5" s="3">
        <f t="shared" ref="S5:S68" si="3">STDEV(L5:P5)/SQRT(COUNT(L5:P5))</f>
        <v>0.14420076282738503</v>
      </c>
    </row>
    <row r="6" spans="1:19" x14ac:dyDescent="0.25">
      <c r="A6" t="s">
        <v>3</v>
      </c>
      <c r="B6">
        <v>34.414000000000001</v>
      </c>
      <c r="C6">
        <v>35.399000000000001</v>
      </c>
      <c r="D6">
        <v>35.212000000000003</v>
      </c>
      <c r="E6">
        <v>35.783999999999999</v>
      </c>
      <c r="F6">
        <v>36.213000000000001</v>
      </c>
      <c r="H6" s="2">
        <f t="shared" si="0"/>
        <v>35.404399999999995</v>
      </c>
      <c r="I6" s="2">
        <f t="shared" si="1"/>
        <v>0.30131953139482981</v>
      </c>
      <c r="K6" t="s">
        <v>3</v>
      </c>
      <c r="L6">
        <v>34.374000000000002</v>
      </c>
      <c r="M6">
        <v>34.192</v>
      </c>
      <c r="N6">
        <v>35.564999999999998</v>
      </c>
      <c r="O6">
        <v>35.314</v>
      </c>
      <c r="P6">
        <v>33.898000000000003</v>
      </c>
      <c r="R6" s="3">
        <f t="shared" si="2"/>
        <v>34.668599999999998</v>
      </c>
      <c r="S6" s="3">
        <f t="shared" si="3"/>
        <v>0.32617749769105692</v>
      </c>
    </row>
    <row r="7" spans="1:19" x14ac:dyDescent="0.25">
      <c r="A7">
        <v>-3.75</v>
      </c>
      <c r="B7">
        <v>354.92399999999998</v>
      </c>
      <c r="C7">
        <v>527.48</v>
      </c>
      <c r="D7">
        <v>582.11400000000003</v>
      </c>
      <c r="E7">
        <v>494.96</v>
      </c>
      <c r="F7">
        <v>423.339</v>
      </c>
      <c r="H7" s="2">
        <f t="shared" si="0"/>
        <v>476.5634</v>
      </c>
      <c r="I7" s="2">
        <f t="shared" si="1"/>
        <v>39.812588835191555</v>
      </c>
      <c r="K7">
        <v>-3.75</v>
      </c>
      <c r="L7">
        <v>536.28899999999999</v>
      </c>
      <c r="M7">
        <v>488.29300000000001</v>
      </c>
      <c r="N7">
        <v>432.34199999999998</v>
      </c>
      <c r="O7">
        <v>545.02700000000004</v>
      </c>
      <c r="P7">
        <v>452.27499999999998</v>
      </c>
      <c r="R7" s="3">
        <f t="shared" si="2"/>
        <v>490.84520000000003</v>
      </c>
      <c r="S7" s="3">
        <f t="shared" si="3"/>
        <v>22.268368679362222</v>
      </c>
    </row>
    <row r="8" spans="1:19" x14ac:dyDescent="0.25">
      <c r="A8">
        <v>-2.5</v>
      </c>
      <c r="B8">
        <v>536.37300000000005</v>
      </c>
      <c r="C8">
        <v>674.10900000000004</v>
      </c>
      <c r="D8">
        <v>585.101</v>
      </c>
      <c r="E8">
        <v>547.52300000000002</v>
      </c>
      <c r="F8">
        <v>621.17100000000005</v>
      </c>
      <c r="H8" s="2">
        <f t="shared" si="0"/>
        <v>592.85540000000003</v>
      </c>
      <c r="I8" s="2">
        <f t="shared" si="1"/>
        <v>25.208470238394078</v>
      </c>
      <c r="K8">
        <v>-2.5</v>
      </c>
      <c r="L8">
        <v>605.07100000000003</v>
      </c>
      <c r="M8">
        <v>626.03399999999999</v>
      </c>
      <c r="N8">
        <v>502.29399999999998</v>
      </c>
      <c r="O8">
        <v>575.67499999999995</v>
      </c>
      <c r="P8">
        <v>515.44100000000003</v>
      </c>
      <c r="R8" s="3">
        <f t="shared" si="2"/>
        <v>564.90299999999991</v>
      </c>
      <c r="S8" s="3">
        <f t="shared" si="3"/>
        <v>24.32373295158455</v>
      </c>
    </row>
    <row r="9" spans="1:19" x14ac:dyDescent="0.25">
      <c r="A9">
        <v>-1.25</v>
      </c>
      <c r="B9">
        <v>1206.1320000000001</v>
      </c>
      <c r="C9">
        <v>1297.799</v>
      </c>
      <c r="D9">
        <v>1239.1220000000001</v>
      </c>
      <c r="E9">
        <v>1101.5730000000001</v>
      </c>
      <c r="F9">
        <v>1298.703</v>
      </c>
      <c r="H9" s="2">
        <f t="shared" si="0"/>
        <v>1228.6658</v>
      </c>
      <c r="I9" s="2">
        <f t="shared" si="1"/>
        <v>36.369144063890182</v>
      </c>
      <c r="K9">
        <v>-1.25</v>
      </c>
      <c r="L9">
        <v>1169.4670000000001</v>
      </c>
      <c r="M9">
        <v>1063.7070000000001</v>
      </c>
      <c r="N9">
        <v>1058.702</v>
      </c>
      <c r="O9">
        <v>1012.655</v>
      </c>
      <c r="P9">
        <v>936.84900000000005</v>
      </c>
      <c r="R9" s="3">
        <f t="shared" si="2"/>
        <v>1048.2760000000001</v>
      </c>
      <c r="S9" s="3">
        <f t="shared" si="3"/>
        <v>37.89387001086061</v>
      </c>
    </row>
    <row r="10" spans="1:19" x14ac:dyDescent="0.25">
      <c r="A10">
        <v>0</v>
      </c>
      <c r="B10">
        <v>2116.433</v>
      </c>
      <c r="C10">
        <v>2188.2249999999999</v>
      </c>
      <c r="D10">
        <v>2204.777</v>
      </c>
      <c r="E10">
        <v>2098.7159999999999</v>
      </c>
      <c r="F10">
        <v>2263.616</v>
      </c>
      <c r="H10" s="2">
        <f t="shared" si="0"/>
        <v>2174.3534</v>
      </c>
      <c r="I10" s="2">
        <f t="shared" si="1"/>
        <v>30.134380280005768</v>
      </c>
      <c r="K10">
        <v>0</v>
      </c>
      <c r="L10">
        <v>2045.4780000000001</v>
      </c>
      <c r="M10">
        <v>1959.1849999999999</v>
      </c>
      <c r="N10">
        <v>1938.913</v>
      </c>
      <c r="O10">
        <v>1820.854</v>
      </c>
      <c r="P10">
        <v>1693.826</v>
      </c>
      <c r="R10" s="3">
        <f t="shared" si="2"/>
        <v>1891.6512000000002</v>
      </c>
      <c r="S10" s="3">
        <f t="shared" si="3"/>
        <v>61.075457248718159</v>
      </c>
    </row>
    <row r="11" spans="1:19" x14ac:dyDescent="0.25">
      <c r="A11">
        <v>1.25</v>
      </c>
      <c r="B11">
        <v>3011.8429999999998</v>
      </c>
      <c r="C11">
        <v>3011.7930000000001</v>
      </c>
      <c r="D11">
        <v>3130.2159999999999</v>
      </c>
      <c r="E11">
        <v>3000.6060000000002</v>
      </c>
      <c r="F11">
        <v>3184.703</v>
      </c>
      <c r="H11" s="2">
        <f t="shared" si="0"/>
        <v>3067.8321999999998</v>
      </c>
      <c r="I11" s="2">
        <f t="shared" si="1"/>
        <v>37.646425338137981</v>
      </c>
      <c r="K11">
        <v>1.25</v>
      </c>
      <c r="L11">
        <v>2942.5720000000001</v>
      </c>
      <c r="M11">
        <v>2788.9119999999998</v>
      </c>
      <c r="N11">
        <v>2761.3040000000001</v>
      </c>
      <c r="O11">
        <v>2513.3490000000002</v>
      </c>
      <c r="P11">
        <v>2380.741</v>
      </c>
      <c r="R11" s="3">
        <f t="shared" si="2"/>
        <v>2677.3756000000003</v>
      </c>
      <c r="S11" s="3">
        <f t="shared" si="3"/>
        <v>101.17071879975943</v>
      </c>
    </row>
    <row r="12" spans="1:19" x14ac:dyDescent="0.25">
      <c r="A12">
        <v>2.5</v>
      </c>
      <c r="B12">
        <v>3412.09</v>
      </c>
      <c r="C12">
        <v>3368.194</v>
      </c>
      <c r="D12">
        <v>3484.4830000000002</v>
      </c>
      <c r="E12">
        <v>3373.6190000000001</v>
      </c>
      <c r="F12">
        <v>3489.2170000000001</v>
      </c>
      <c r="H12" s="2">
        <f t="shared" si="0"/>
        <v>3425.5205999999998</v>
      </c>
      <c r="I12" s="2">
        <f t="shared" si="1"/>
        <v>26.167051948203888</v>
      </c>
      <c r="K12">
        <v>2.5</v>
      </c>
      <c r="L12">
        <v>3170.7289999999998</v>
      </c>
      <c r="M12">
        <v>3071.3290000000002</v>
      </c>
      <c r="N12">
        <v>3025.3139999999999</v>
      </c>
      <c r="O12">
        <v>2816.6179999999999</v>
      </c>
      <c r="P12">
        <v>2676.9160000000002</v>
      </c>
      <c r="R12" s="3">
        <f t="shared" si="2"/>
        <v>2952.1812</v>
      </c>
      <c r="S12" s="3">
        <f t="shared" si="3"/>
        <v>89.848777701980964</v>
      </c>
    </row>
    <row r="13" spans="1:19" x14ac:dyDescent="0.25">
      <c r="A13">
        <v>3.75</v>
      </c>
      <c r="B13">
        <v>3647.9430000000002</v>
      </c>
      <c r="C13">
        <v>3604.13</v>
      </c>
      <c r="D13">
        <v>3762.4540000000002</v>
      </c>
      <c r="E13">
        <v>3628.6559999999999</v>
      </c>
      <c r="F13">
        <v>3745.143</v>
      </c>
      <c r="H13" s="2">
        <f t="shared" si="0"/>
        <v>3677.6652000000004</v>
      </c>
      <c r="I13" s="2">
        <f t="shared" si="1"/>
        <v>31.964926556149013</v>
      </c>
      <c r="K13">
        <v>3.75</v>
      </c>
      <c r="L13">
        <v>3331.4059999999999</v>
      </c>
      <c r="M13">
        <v>3258.884</v>
      </c>
      <c r="N13">
        <v>3180.56</v>
      </c>
      <c r="O13">
        <v>3010.3090000000002</v>
      </c>
      <c r="P13">
        <v>2885.5</v>
      </c>
      <c r="R13" s="3">
        <f t="shared" si="2"/>
        <v>3133.3317999999999</v>
      </c>
      <c r="S13" s="3">
        <f t="shared" si="3"/>
        <v>81.787057936081766</v>
      </c>
    </row>
    <row r="14" spans="1:19" x14ac:dyDescent="0.25">
      <c r="A14">
        <v>5</v>
      </c>
      <c r="B14">
        <v>3816.346</v>
      </c>
      <c r="C14">
        <v>3765.9290000000001</v>
      </c>
      <c r="D14">
        <v>3824.1080000000002</v>
      </c>
      <c r="E14">
        <v>3695.8270000000002</v>
      </c>
      <c r="F14">
        <v>3844.2739999999999</v>
      </c>
      <c r="H14" s="2">
        <f t="shared" si="0"/>
        <v>3789.2968000000001</v>
      </c>
      <c r="I14" s="2">
        <f t="shared" si="1"/>
        <v>26.691411516440969</v>
      </c>
      <c r="K14">
        <v>5</v>
      </c>
      <c r="L14">
        <v>3453.9270000000001</v>
      </c>
      <c r="M14">
        <v>3331.116</v>
      </c>
      <c r="N14">
        <v>3277.223</v>
      </c>
      <c r="O14">
        <v>3121.2890000000002</v>
      </c>
      <c r="P14">
        <v>3005.2159999999999</v>
      </c>
      <c r="R14" s="3">
        <f t="shared" si="2"/>
        <v>3237.7542000000003</v>
      </c>
      <c r="S14" s="3">
        <f t="shared" si="3"/>
        <v>78.943982862153604</v>
      </c>
    </row>
    <row r="15" spans="1:19" x14ac:dyDescent="0.25">
      <c r="A15">
        <v>6.25</v>
      </c>
      <c r="B15">
        <v>3802.51</v>
      </c>
      <c r="C15">
        <v>3697.4859999999999</v>
      </c>
      <c r="D15">
        <v>3840.3090000000002</v>
      </c>
      <c r="E15">
        <v>3646.0540000000001</v>
      </c>
      <c r="F15">
        <v>3795.2860000000001</v>
      </c>
      <c r="H15" s="2">
        <f t="shared" si="0"/>
        <v>3756.3290000000002</v>
      </c>
      <c r="I15" s="2">
        <f t="shared" si="1"/>
        <v>36.280881524571619</v>
      </c>
      <c r="K15">
        <v>6.25</v>
      </c>
      <c r="L15">
        <v>3436.61</v>
      </c>
      <c r="M15">
        <v>3351.45</v>
      </c>
      <c r="N15">
        <v>3271.63</v>
      </c>
      <c r="O15">
        <v>3068.13</v>
      </c>
      <c r="P15">
        <v>2964.7350000000001</v>
      </c>
      <c r="R15" s="3">
        <f t="shared" si="2"/>
        <v>3218.511</v>
      </c>
      <c r="S15" s="3">
        <f t="shared" si="3"/>
        <v>88.056312385881768</v>
      </c>
    </row>
    <row r="16" spans="1:19" x14ac:dyDescent="0.25">
      <c r="A16">
        <v>7.5</v>
      </c>
      <c r="B16">
        <v>3607.8270000000002</v>
      </c>
      <c r="C16">
        <v>3575.0140000000001</v>
      </c>
      <c r="D16">
        <v>3734.5329999999999</v>
      </c>
      <c r="E16">
        <v>3588.8989999999999</v>
      </c>
      <c r="F16">
        <v>3681.915</v>
      </c>
      <c r="H16" s="2">
        <f t="shared" si="0"/>
        <v>3637.6375999999996</v>
      </c>
      <c r="I16" s="2">
        <f t="shared" si="1"/>
        <v>30.442605810935401</v>
      </c>
      <c r="K16">
        <v>7.5</v>
      </c>
      <c r="L16">
        <v>3323.58</v>
      </c>
      <c r="M16">
        <v>3232.6439999999998</v>
      </c>
      <c r="N16">
        <v>3186.45</v>
      </c>
      <c r="O16">
        <v>2966.7869999999998</v>
      </c>
      <c r="P16">
        <v>2794.0889999999999</v>
      </c>
      <c r="R16" s="3">
        <f t="shared" si="2"/>
        <v>3100.71</v>
      </c>
      <c r="S16" s="3">
        <f t="shared" si="3"/>
        <v>96.535167795472333</v>
      </c>
    </row>
    <row r="17" spans="1:19" x14ac:dyDescent="0.25">
      <c r="A17">
        <v>8.75</v>
      </c>
      <c r="B17">
        <v>3309.26</v>
      </c>
      <c r="C17">
        <v>3239.3879999999999</v>
      </c>
      <c r="D17">
        <v>3479.5140000000001</v>
      </c>
      <c r="E17">
        <v>3338.674</v>
      </c>
      <c r="F17">
        <v>3412.3110000000001</v>
      </c>
      <c r="H17" s="2">
        <f t="shared" si="0"/>
        <v>3355.8294000000001</v>
      </c>
      <c r="I17" s="2">
        <f t="shared" si="1"/>
        <v>41.538938247865723</v>
      </c>
      <c r="K17">
        <v>8.75</v>
      </c>
      <c r="L17">
        <v>3108.607</v>
      </c>
      <c r="M17">
        <v>3034.1129999999998</v>
      </c>
      <c r="N17">
        <v>2977.0439999999999</v>
      </c>
      <c r="O17">
        <v>2710.9879999999998</v>
      </c>
      <c r="P17">
        <v>2581.665</v>
      </c>
      <c r="R17" s="3">
        <f t="shared" si="2"/>
        <v>2882.4833999999996</v>
      </c>
      <c r="S17" s="3">
        <f t="shared" si="3"/>
        <v>100.73914510884039</v>
      </c>
    </row>
    <row r="18" spans="1:19" x14ac:dyDescent="0.25">
      <c r="A18">
        <v>10</v>
      </c>
      <c r="B18">
        <v>2899.93</v>
      </c>
      <c r="C18">
        <v>2874.7869999999998</v>
      </c>
      <c r="D18">
        <v>3033.078</v>
      </c>
      <c r="E18">
        <v>2889.6350000000002</v>
      </c>
      <c r="F18">
        <v>2964.1120000000001</v>
      </c>
      <c r="H18" s="2">
        <f t="shared" si="0"/>
        <v>2932.3084000000003</v>
      </c>
      <c r="I18" s="2">
        <f t="shared" si="1"/>
        <v>29.448321318200815</v>
      </c>
      <c r="K18">
        <v>10</v>
      </c>
      <c r="L18">
        <v>2719.5880000000002</v>
      </c>
      <c r="M18">
        <v>2624.9929999999999</v>
      </c>
      <c r="N18">
        <v>2611.279</v>
      </c>
      <c r="O18">
        <v>2382.8879999999999</v>
      </c>
      <c r="P18">
        <v>2254.8449999999998</v>
      </c>
      <c r="R18" s="3">
        <f t="shared" si="2"/>
        <v>2518.7185999999997</v>
      </c>
      <c r="S18" s="3">
        <f t="shared" si="3"/>
        <v>86.107322648309122</v>
      </c>
    </row>
    <row r="19" spans="1:19" x14ac:dyDescent="0.25">
      <c r="A19">
        <v>11.25</v>
      </c>
      <c r="B19">
        <v>2526.7040000000002</v>
      </c>
      <c r="C19">
        <v>2553.7159999999999</v>
      </c>
      <c r="D19">
        <v>2703.4070000000002</v>
      </c>
      <c r="E19">
        <v>2581.482</v>
      </c>
      <c r="F19">
        <v>2687.3049999999998</v>
      </c>
      <c r="H19" s="2">
        <f t="shared" si="0"/>
        <v>2610.5228000000002</v>
      </c>
      <c r="I19" s="2">
        <f t="shared" si="1"/>
        <v>35.790328771052089</v>
      </c>
      <c r="K19">
        <v>11.25</v>
      </c>
      <c r="L19">
        <v>2398.9340000000002</v>
      </c>
      <c r="M19">
        <v>2347.5340000000001</v>
      </c>
      <c r="N19">
        <v>2339.4929999999999</v>
      </c>
      <c r="O19">
        <v>2123.2959999999998</v>
      </c>
      <c r="P19">
        <v>2007.6130000000001</v>
      </c>
      <c r="R19" s="3">
        <f t="shared" si="2"/>
        <v>2243.3740000000003</v>
      </c>
      <c r="S19" s="3">
        <f t="shared" si="3"/>
        <v>75.593999949070067</v>
      </c>
    </row>
    <row r="20" spans="1:19" x14ac:dyDescent="0.25">
      <c r="A20">
        <v>12.5</v>
      </c>
      <c r="B20">
        <v>2481.549</v>
      </c>
      <c r="C20">
        <v>2479.0529999999999</v>
      </c>
      <c r="D20">
        <v>2650.2330000000002</v>
      </c>
      <c r="E20">
        <v>2547.672</v>
      </c>
      <c r="F20">
        <v>2622.654</v>
      </c>
      <c r="H20" s="2">
        <f t="shared" si="0"/>
        <v>2556.2321999999999</v>
      </c>
      <c r="I20" s="2">
        <f t="shared" si="1"/>
        <v>35.253008534591807</v>
      </c>
      <c r="K20">
        <v>12.5</v>
      </c>
      <c r="L20">
        <v>2334.9470000000001</v>
      </c>
      <c r="M20">
        <v>2307.6469999999999</v>
      </c>
      <c r="N20">
        <v>2268.1460000000002</v>
      </c>
      <c r="O20">
        <v>2051.2109999999998</v>
      </c>
      <c r="P20">
        <v>1940.73</v>
      </c>
      <c r="R20" s="3">
        <f t="shared" si="2"/>
        <v>2180.5361999999996</v>
      </c>
      <c r="S20" s="3">
        <f t="shared" si="3"/>
        <v>78.072834136721369</v>
      </c>
    </row>
    <row r="21" spans="1:19" x14ac:dyDescent="0.25">
      <c r="A21">
        <v>13.75</v>
      </c>
      <c r="B21">
        <v>2448.0239999999999</v>
      </c>
      <c r="C21">
        <v>2450.373</v>
      </c>
      <c r="D21">
        <v>2647.0479999999998</v>
      </c>
      <c r="E21">
        <v>2527.7620000000002</v>
      </c>
      <c r="F21">
        <v>2571.1390000000001</v>
      </c>
      <c r="H21" s="2">
        <f t="shared" si="0"/>
        <v>2528.8692000000001</v>
      </c>
      <c r="I21" s="2">
        <f t="shared" si="1"/>
        <v>37.717231095879747</v>
      </c>
      <c r="K21">
        <v>13.75</v>
      </c>
      <c r="L21">
        <v>2284.6529999999998</v>
      </c>
      <c r="M21">
        <v>2287.1750000000002</v>
      </c>
      <c r="N21">
        <v>2219.7869999999998</v>
      </c>
      <c r="O21">
        <v>2034.2850000000001</v>
      </c>
      <c r="P21">
        <v>1910.691</v>
      </c>
      <c r="R21" s="3">
        <f t="shared" si="2"/>
        <v>2147.3182000000002</v>
      </c>
      <c r="S21" s="3">
        <f t="shared" si="3"/>
        <v>74.980475742955889</v>
      </c>
    </row>
    <row r="22" spans="1:19" x14ac:dyDescent="0.25">
      <c r="A22">
        <v>15</v>
      </c>
      <c r="B22">
        <v>2408.223</v>
      </c>
      <c r="C22">
        <v>2414.6030000000001</v>
      </c>
      <c r="D22">
        <v>2618.598</v>
      </c>
      <c r="E22">
        <v>2489.7179999999998</v>
      </c>
      <c r="F22">
        <v>2542.86</v>
      </c>
      <c r="H22" s="2">
        <f t="shared" si="0"/>
        <v>2494.8004000000001</v>
      </c>
      <c r="I22" s="2">
        <f t="shared" si="1"/>
        <v>39.742087807008829</v>
      </c>
      <c r="K22">
        <v>15</v>
      </c>
      <c r="L22">
        <v>2236.797</v>
      </c>
      <c r="M22">
        <v>2232.279</v>
      </c>
      <c r="N22">
        <v>2161.21</v>
      </c>
      <c r="O22">
        <v>2018.8409999999999</v>
      </c>
      <c r="P22">
        <v>1896.421</v>
      </c>
      <c r="R22" s="3">
        <f t="shared" si="2"/>
        <v>2109.1096000000002</v>
      </c>
      <c r="S22" s="3">
        <f t="shared" si="3"/>
        <v>66.171778580902597</v>
      </c>
    </row>
    <row r="23" spans="1:19" x14ac:dyDescent="0.25">
      <c r="A23">
        <v>16.25</v>
      </c>
      <c r="B23">
        <v>2392.6019999999999</v>
      </c>
      <c r="C23">
        <v>2390.6419999999998</v>
      </c>
      <c r="D23">
        <v>2561.538</v>
      </c>
      <c r="E23">
        <v>2458.39</v>
      </c>
      <c r="F23">
        <v>2495.1379999999999</v>
      </c>
      <c r="H23" s="2">
        <f t="shared" si="0"/>
        <v>2459.6619999999994</v>
      </c>
      <c r="I23" s="2">
        <f t="shared" si="1"/>
        <v>32.326218411685609</v>
      </c>
      <c r="K23">
        <v>16.25</v>
      </c>
      <c r="L23">
        <v>2172.9229999999998</v>
      </c>
      <c r="M23">
        <v>2131.415</v>
      </c>
      <c r="N23">
        <v>2087.087</v>
      </c>
      <c r="O23">
        <v>1987.6189999999999</v>
      </c>
      <c r="P23">
        <v>1825.069</v>
      </c>
      <c r="R23" s="3">
        <f t="shared" si="2"/>
        <v>2040.8226</v>
      </c>
      <c r="S23" s="3">
        <f t="shared" si="3"/>
        <v>62.120098314152699</v>
      </c>
    </row>
    <row r="24" spans="1:19" x14ac:dyDescent="0.25">
      <c r="A24">
        <v>17.5</v>
      </c>
      <c r="B24">
        <v>2346.5859999999998</v>
      </c>
      <c r="C24">
        <v>2361.9639999999999</v>
      </c>
      <c r="D24">
        <v>2500.29</v>
      </c>
      <c r="E24">
        <v>2408.6979999999999</v>
      </c>
      <c r="F24">
        <v>2431.8510000000001</v>
      </c>
      <c r="H24" s="2">
        <f t="shared" si="0"/>
        <v>2409.8777999999998</v>
      </c>
      <c r="I24" s="2">
        <f t="shared" si="1"/>
        <v>27.349738145730054</v>
      </c>
      <c r="K24">
        <v>17.5</v>
      </c>
      <c r="L24">
        <v>2137.5320000000002</v>
      </c>
      <c r="M24">
        <v>2095.7460000000001</v>
      </c>
      <c r="N24">
        <v>2034.7560000000001</v>
      </c>
      <c r="O24">
        <v>1945.8240000000001</v>
      </c>
      <c r="P24">
        <v>1790.4090000000001</v>
      </c>
      <c r="R24" s="3">
        <f t="shared" si="2"/>
        <v>2000.8534</v>
      </c>
      <c r="S24" s="3">
        <f t="shared" si="3"/>
        <v>61.704988402559479</v>
      </c>
    </row>
    <row r="25" spans="1:19" x14ac:dyDescent="0.25">
      <c r="A25">
        <v>18.75</v>
      </c>
      <c r="B25">
        <v>2317.0990000000002</v>
      </c>
      <c r="C25">
        <v>2309.9409999999998</v>
      </c>
      <c r="D25">
        <v>2470.0439999999999</v>
      </c>
      <c r="E25">
        <v>2376.223</v>
      </c>
      <c r="F25">
        <v>2396.038</v>
      </c>
      <c r="H25" s="2">
        <f t="shared" si="0"/>
        <v>2373.8690000000001</v>
      </c>
      <c r="I25" s="2">
        <f t="shared" si="1"/>
        <v>29.202960968025124</v>
      </c>
      <c r="K25">
        <v>18.75</v>
      </c>
      <c r="L25">
        <v>2100.299</v>
      </c>
      <c r="M25">
        <v>2084.549</v>
      </c>
      <c r="N25">
        <v>2009.2270000000001</v>
      </c>
      <c r="O25">
        <v>1919.7139999999999</v>
      </c>
      <c r="P25">
        <v>1759.18</v>
      </c>
      <c r="R25" s="3">
        <f t="shared" si="2"/>
        <v>1974.5937999999999</v>
      </c>
      <c r="S25" s="3">
        <f t="shared" si="3"/>
        <v>62.652334168329261</v>
      </c>
    </row>
    <row r="26" spans="1:19" x14ac:dyDescent="0.25">
      <c r="A26">
        <v>20</v>
      </c>
      <c r="B26">
        <v>2289.404</v>
      </c>
      <c r="C26">
        <v>2270.569</v>
      </c>
      <c r="D26">
        <v>2454.0050000000001</v>
      </c>
      <c r="E26">
        <v>2327.4659999999999</v>
      </c>
      <c r="F26">
        <v>2365.1579999999999</v>
      </c>
      <c r="H26" s="2">
        <f t="shared" si="0"/>
        <v>2341.3203999999996</v>
      </c>
      <c r="I26" s="2">
        <f t="shared" si="1"/>
        <v>32.526195474724702</v>
      </c>
      <c r="K26">
        <v>20</v>
      </c>
      <c r="L26">
        <v>2069.556</v>
      </c>
      <c r="M26">
        <v>2042.57</v>
      </c>
      <c r="N26">
        <v>1995.595</v>
      </c>
      <c r="O26">
        <v>1884.943</v>
      </c>
      <c r="P26">
        <v>1745.3030000000001</v>
      </c>
      <c r="R26" s="3">
        <f t="shared" si="2"/>
        <v>1947.5934000000002</v>
      </c>
      <c r="S26" s="3">
        <f t="shared" si="3"/>
        <v>59.601200701495912</v>
      </c>
    </row>
    <row r="27" spans="1:19" x14ac:dyDescent="0.25">
      <c r="A27">
        <v>21.25</v>
      </c>
      <c r="B27">
        <v>2270.799</v>
      </c>
      <c r="C27">
        <v>2261.5439999999999</v>
      </c>
      <c r="D27">
        <v>2433.6109999999999</v>
      </c>
      <c r="E27">
        <v>2319.223</v>
      </c>
      <c r="F27">
        <v>2350.1570000000002</v>
      </c>
      <c r="H27" s="2">
        <f t="shared" si="0"/>
        <v>2327.0667999999996</v>
      </c>
      <c r="I27" s="2">
        <f t="shared" si="1"/>
        <v>31.149359323106474</v>
      </c>
      <c r="K27">
        <v>21.25</v>
      </c>
      <c r="L27">
        <v>2059.672</v>
      </c>
      <c r="M27">
        <v>2025.67</v>
      </c>
      <c r="N27">
        <v>1984.731</v>
      </c>
      <c r="O27">
        <v>1881.9359999999999</v>
      </c>
      <c r="P27">
        <v>1735.2090000000001</v>
      </c>
      <c r="R27" s="3">
        <f t="shared" si="2"/>
        <v>1937.4436000000001</v>
      </c>
      <c r="S27" s="3">
        <f t="shared" si="3"/>
        <v>58.711031636822725</v>
      </c>
    </row>
    <row r="28" spans="1:19" x14ac:dyDescent="0.25">
      <c r="A28">
        <v>22.5</v>
      </c>
      <c r="B28">
        <v>2283.962</v>
      </c>
      <c r="C28">
        <v>2273.5149999999999</v>
      </c>
      <c r="D28">
        <v>2453.5680000000002</v>
      </c>
      <c r="E28">
        <v>2351.6239999999998</v>
      </c>
      <c r="F28">
        <v>2350.1509999999998</v>
      </c>
      <c r="H28" s="2">
        <f t="shared" si="0"/>
        <v>2342.5639999999999</v>
      </c>
      <c r="I28" s="2">
        <f t="shared" si="1"/>
        <v>32.143034229829688</v>
      </c>
      <c r="K28">
        <v>22.5</v>
      </c>
      <c r="L28">
        <v>2089.681</v>
      </c>
      <c r="M28">
        <v>2031.835</v>
      </c>
      <c r="N28">
        <v>2009.9960000000001</v>
      </c>
      <c r="O28">
        <v>1890.5989999999999</v>
      </c>
      <c r="P28">
        <v>1743.307</v>
      </c>
      <c r="R28" s="3">
        <f t="shared" si="2"/>
        <v>1953.0835999999999</v>
      </c>
      <c r="S28" s="3">
        <f t="shared" si="3"/>
        <v>61.648276986141319</v>
      </c>
    </row>
    <row r="29" spans="1:19" x14ac:dyDescent="0.25">
      <c r="A29">
        <v>23.75</v>
      </c>
      <c r="B29">
        <v>2305.6280000000002</v>
      </c>
      <c r="C29">
        <v>2291.826</v>
      </c>
      <c r="D29">
        <v>2483.5189999999998</v>
      </c>
      <c r="E29">
        <v>2371.7649999999999</v>
      </c>
      <c r="F29">
        <v>2368.944</v>
      </c>
      <c r="H29" s="2">
        <f t="shared" si="0"/>
        <v>2364.3363999999997</v>
      </c>
      <c r="I29" s="2">
        <f t="shared" si="1"/>
        <v>33.900841108444432</v>
      </c>
      <c r="K29">
        <v>23.75</v>
      </c>
      <c r="L29">
        <v>2110.558</v>
      </c>
      <c r="M29">
        <v>2047.6079999999999</v>
      </c>
      <c r="N29">
        <v>2016.8009999999999</v>
      </c>
      <c r="O29">
        <v>1907.2929999999999</v>
      </c>
      <c r="P29">
        <v>1744.701</v>
      </c>
      <c r="R29" s="3">
        <f t="shared" si="2"/>
        <v>1965.3921999999998</v>
      </c>
      <c r="S29" s="3">
        <f t="shared" si="3"/>
        <v>64.24777613847813</v>
      </c>
    </row>
    <row r="30" spans="1:19" x14ac:dyDescent="0.25">
      <c r="A30">
        <v>25</v>
      </c>
      <c r="B30">
        <v>2293.5329999999999</v>
      </c>
      <c r="C30">
        <v>2289.9409999999998</v>
      </c>
      <c r="D30">
        <v>2480.413</v>
      </c>
      <c r="E30">
        <v>2368.9</v>
      </c>
      <c r="F30">
        <v>2377.377</v>
      </c>
      <c r="H30" s="2">
        <f t="shared" si="0"/>
        <v>2362.0328</v>
      </c>
      <c r="I30" s="2">
        <f t="shared" si="1"/>
        <v>34.774937015615166</v>
      </c>
      <c r="K30">
        <v>25</v>
      </c>
      <c r="L30">
        <v>2096.9949999999999</v>
      </c>
      <c r="M30">
        <v>2045.954</v>
      </c>
      <c r="N30">
        <v>2021.713</v>
      </c>
      <c r="O30">
        <v>1911.134</v>
      </c>
      <c r="P30">
        <v>1726.19</v>
      </c>
      <c r="R30" s="3">
        <f t="shared" si="2"/>
        <v>1960.3971999999999</v>
      </c>
      <c r="S30" s="3">
        <f t="shared" si="3"/>
        <v>65.961514433342089</v>
      </c>
    </row>
    <row r="31" spans="1:19" x14ac:dyDescent="0.25">
      <c r="A31">
        <v>26.25</v>
      </c>
      <c r="B31">
        <v>2285.7570000000001</v>
      </c>
      <c r="C31">
        <v>2276.2190000000001</v>
      </c>
      <c r="D31">
        <v>2458.3560000000002</v>
      </c>
      <c r="E31">
        <v>2363.5340000000001</v>
      </c>
      <c r="F31">
        <v>2360.471</v>
      </c>
      <c r="H31" s="2">
        <f t="shared" si="0"/>
        <v>2348.8674000000001</v>
      </c>
      <c r="I31" s="2">
        <f t="shared" si="1"/>
        <v>32.861998439839319</v>
      </c>
      <c r="K31">
        <v>26.25</v>
      </c>
      <c r="L31">
        <v>2093.777</v>
      </c>
      <c r="M31">
        <v>2060.0459999999998</v>
      </c>
      <c r="N31">
        <v>2026.5360000000001</v>
      </c>
      <c r="O31">
        <v>1888.308</v>
      </c>
      <c r="P31">
        <v>1730.412</v>
      </c>
      <c r="R31" s="3">
        <f t="shared" si="2"/>
        <v>1959.8157999999999</v>
      </c>
      <c r="S31" s="3">
        <f t="shared" si="3"/>
        <v>67.150111727680681</v>
      </c>
    </row>
    <row r="32" spans="1:19" x14ac:dyDescent="0.25">
      <c r="A32">
        <v>27.5</v>
      </c>
      <c r="B32">
        <v>2282.7539999999999</v>
      </c>
      <c r="C32">
        <v>2291.384</v>
      </c>
      <c r="D32">
        <v>2464.529</v>
      </c>
      <c r="E32">
        <v>2348.9009999999998</v>
      </c>
      <c r="F32">
        <v>2357.0450000000001</v>
      </c>
      <c r="H32" s="2">
        <f t="shared" si="0"/>
        <v>2348.9225999999999</v>
      </c>
      <c r="I32" s="2">
        <f t="shared" si="1"/>
        <v>32.495990279725284</v>
      </c>
      <c r="K32">
        <v>27.5</v>
      </c>
      <c r="L32">
        <v>2095.9319999999998</v>
      </c>
      <c r="M32">
        <v>2056.7629999999999</v>
      </c>
      <c r="N32">
        <v>2044.8040000000001</v>
      </c>
      <c r="O32">
        <v>1892.8969999999999</v>
      </c>
      <c r="P32">
        <v>1736.73</v>
      </c>
      <c r="R32" s="3">
        <f t="shared" si="2"/>
        <v>1965.4252000000001</v>
      </c>
      <c r="S32" s="3">
        <f t="shared" si="3"/>
        <v>66.797247975796111</v>
      </c>
    </row>
    <row r="33" spans="1:19" x14ac:dyDescent="0.25">
      <c r="A33">
        <v>28.75</v>
      </c>
      <c r="B33">
        <v>2291.02</v>
      </c>
      <c r="C33">
        <v>2313.413</v>
      </c>
      <c r="D33">
        <v>2484.9650000000001</v>
      </c>
      <c r="E33">
        <v>2362.9</v>
      </c>
      <c r="F33">
        <v>2385.0160000000001</v>
      </c>
      <c r="H33" s="2">
        <f t="shared" si="0"/>
        <v>2367.4628000000002</v>
      </c>
      <c r="I33" s="2">
        <f t="shared" si="1"/>
        <v>33.838279751488571</v>
      </c>
      <c r="K33">
        <v>28.75</v>
      </c>
      <c r="L33">
        <v>2107.4589999999998</v>
      </c>
      <c r="M33">
        <v>2063.6959999999999</v>
      </c>
      <c r="N33">
        <v>2056.527</v>
      </c>
      <c r="O33">
        <v>1910.9349999999999</v>
      </c>
      <c r="P33">
        <v>1748.8889999999999</v>
      </c>
      <c r="R33" s="3">
        <f t="shared" si="2"/>
        <v>1977.5011999999999</v>
      </c>
      <c r="S33" s="3">
        <f t="shared" si="3"/>
        <v>66.05234566796247</v>
      </c>
    </row>
    <row r="34" spans="1:19" x14ac:dyDescent="0.25">
      <c r="A34">
        <v>30</v>
      </c>
      <c r="B34">
        <v>2294.5990000000002</v>
      </c>
      <c r="C34">
        <v>2320.1489999999999</v>
      </c>
      <c r="D34">
        <v>2497.1680000000001</v>
      </c>
      <c r="E34">
        <v>2391.0059999999999</v>
      </c>
      <c r="F34">
        <v>2410.6790000000001</v>
      </c>
      <c r="H34" s="2">
        <f t="shared" si="0"/>
        <v>2382.7201999999997</v>
      </c>
      <c r="I34" s="2">
        <f t="shared" si="1"/>
        <v>35.797450232383881</v>
      </c>
      <c r="K34">
        <v>30</v>
      </c>
      <c r="L34">
        <v>2119.9740000000002</v>
      </c>
      <c r="M34">
        <v>2062.9560000000001</v>
      </c>
      <c r="N34">
        <v>2070.2809999999999</v>
      </c>
      <c r="O34">
        <v>1919.2380000000001</v>
      </c>
      <c r="P34">
        <v>1764.09</v>
      </c>
      <c r="R34" s="3">
        <f t="shared" si="2"/>
        <v>1987.3078</v>
      </c>
      <c r="S34" s="3">
        <f t="shared" si="3"/>
        <v>65.064278453234252</v>
      </c>
    </row>
    <row r="35" spans="1:19" x14ac:dyDescent="0.25">
      <c r="A35">
        <v>31.25</v>
      </c>
      <c r="B35">
        <v>2304.2069999999999</v>
      </c>
      <c r="C35">
        <v>2314.02</v>
      </c>
      <c r="D35">
        <v>2483.8090000000002</v>
      </c>
      <c r="E35">
        <v>2400.5650000000001</v>
      </c>
      <c r="F35">
        <v>2393.163</v>
      </c>
      <c r="H35" s="2">
        <f t="shared" si="0"/>
        <v>2379.1528000000003</v>
      </c>
      <c r="I35" s="2">
        <f t="shared" si="1"/>
        <v>32.761900726911477</v>
      </c>
      <c r="K35">
        <v>31.25</v>
      </c>
      <c r="L35">
        <v>2114.5529999999999</v>
      </c>
      <c r="M35">
        <v>2068.2739999999999</v>
      </c>
      <c r="N35">
        <v>2062.7440000000001</v>
      </c>
      <c r="O35">
        <v>1922.933</v>
      </c>
      <c r="P35">
        <v>1780.9480000000001</v>
      </c>
      <c r="R35" s="3">
        <f t="shared" si="2"/>
        <v>1989.8903999999998</v>
      </c>
      <c r="S35" s="3">
        <f t="shared" si="3"/>
        <v>61.291361362430159</v>
      </c>
    </row>
    <row r="36" spans="1:19" x14ac:dyDescent="0.25">
      <c r="A36">
        <v>32.5</v>
      </c>
      <c r="B36">
        <v>2339.7629999999999</v>
      </c>
      <c r="C36">
        <v>2336.0340000000001</v>
      </c>
      <c r="D36">
        <v>2520.3780000000002</v>
      </c>
      <c r="E36">
        <v>2402.855</v>
      </c>
      <c r="F36">
        <v>2406.4679999999998</v>
      </c>
      <c r="H36" s="2">
        <f t="shared" si="0"/>
        <v>2401.0996</v>
      </c>
      <c r="I36" s="2">
        <f t="shared" si="1"/>
        <v>33.357869129487298</v>
      </c>
      <c r="K36">
        <v>32.5</v>
      </c>
      <c r="L36">
        <v>2126.6379999999999</v>
      </c>
      <c r="M36">
        <v>2080.19</v>
      </c>
      <c r="N36">
        <v>2066.2530000000002</v>
      </c>
      <c r="O36">
        <v>1960.039</v>
      </c>
      <c r="P36">
        <v>1790.002</v>
      </c>
      <c r="R36" s="3">
        <f t="shared" si="2"/>
        <v>2004.6244000000002</v>
      </c>
      <c r="S36" s="3">
        <f t="shared" si="3"/>
        <v>60.185627562234501</v>
      </c>
    </row>
    <row r="37" spans="1:19" x14ac:dyDescent="0.25">
      <c r="A37">
        <v>33.75</v>
      </c>
      <c r="B37">
        <v>2348.1080000000002</v>
      </c>
      <c r="C37">
        <v>2343.0509999999999</v>
      </c>
      <c r="D37">
        <v>2518.183</v>
      </c>
      <c r="E37">
        <v>2379.8069999999998</v>
      </c>
      <c r="F37">
        <v>2411.9079999999999</v>
      </c>
      <c r="H37" s="2">
        <f t="shared" si="0"/>
        <v>2400.2113999999997</v>
      </c>
      <c r="I37" s="2">
        <f t="shared" si="1"/>
        <v>31.978527184033968</v>
      </c>
      <c r="K37">
        <v>33.75</v>
      </c>
      <c r="L37">
        <v>2139.0830000000001</v>
      </c>
      <c r="M37">
        <v>2096.502</v>
      </c>
      <c r="N37">
        <v>2083.364</v>
      </c>
      <c r="O37">
        <v>1962.529</v>
      </c>
      <c r="P37">
        <v>1772.902</v>
      </c>
      <c r="R37" s="3">
        <f t="shared" si="2"/>
        <v>2010.8760000000002</v>
      </c>
      <c r="S37" s="3">
        <f t="shared" si="3"/>
        <v>66.329636646826287</v>
      </c>
    </row>
    <row r="38" spans="1:19" x14ac:dyDescent="0.25">
      <c r="A38">
        <v>35</v>
      </c>
      <c r="B38">
        <v>2298.1790000000001</v>
      </c>
      <c r="C38">
        <v>2303.8910000000001</v>
      </c>
      <c r="D38">
        <v>2450.7910000000002</v>
      </c>
      <c r="E38">
        <v>2350.9609999999998</v>
      </c>
      <c r="F38">
        <v>2396.2539999999999</v>
      </c>
      <c r="H38" s="2">
        <f t="shared" si="0"/>
        <v>2360.0152000000003</v>
      </c>
      <c r="I38" s="2">
        <f t="shared" si="1"/>
        <v>28.817630441103244</v>
      </c>
      <c r="K38">
        <v>35</v>
      </c>
      <c r="L38">
        <v>2111.6179999999999</v>
      </c>
      <c r="M38">
        <v>2084.5259999999998</v>
      </c>
      <c r="N38">
        <v>2066.837</v>
      </c>
      <c r="O38">
        <v>1933.586</v>
      </c>
      <c r="P38">
        <v>1745.308</v>
      </c>
      <c r="R38" s="3">
        <f t="shared" si="2"/>
        <v>1988.375</v>
      </c>
      <c r="S38" s="3">
        <f t="shared" si="3"/>
        <v>68.071116600214495</v>
      </c>
    </row>
    <row r="39" spans="1:19" x14ac:dyDescent="0.25">
      <c r="A39">
        <v>36.25</v>
      </c>
      <c r="B39">
        <v>2218.1489999999999</v>
      </c>
      <c r="C39">
        <v>2224.8389999999999</v>
      </c>
      <c r="D39">
        <v>2365.02</v>
      </c>
      <c r="E39">
        <v>2258.9499999999998</v>
      </c>
      <c r="F39">
        <v>2288.92</v>
      </c>
      <c r="H39" s="2">
        <f t="shared" si="0"/>
        <v>2271.1755999999996</v>
      </c>
      <c r="I39" s="2">
        <f t="shared" si="1"/>
        <v>26.6739585037542</v>
      </c>
      <c r="K39">
        <v>36.25</v>
      </c>
      <c r="L39">
        <v>2026.4159999999999</v>
      </c>
      <c r="M39">
        <v>2004.021</v>
      </c>
      <c r="N39">
        <v>1975.73</v>
      </c>
      <c r="O39">
        <v>1855.7719999999999</v>
      </c>
      <c r="P39">
        <v>1687.3969999999999</v>
      </c>
      <c r="R39" s="3">
        <f t="shared" si="2"/>
        <v>1909.8671999999999</v>
      </c>
      <c r="S39" s="3">
        <f t="shared" si="3"/>
        <v>62.930815111040801</v>
      </c>
    </row>
    <row r="40" spans="1:19" x14ac:dyDescent="0.25">
      <c r="A40">
        <v>37.5</v>
      </c>
      <c r="B40">
        <v>2064.3290000000002</v>
      </c>
      <c r="C40">
        <v>2069.4560000000001</v>
      </c>
      <c r="D40">
        <v>2215.951</v>
      </c>
      <c r="E40">
        <v>2110.3989999999999</v>
      </c>
      <c r="F40">
        <v>2122.12</v>
      </c>
      <c r="H40" s="2">
        <f t="shared" si="0"/>
        <v>2116.451</v>
      </c>
      <c r="I40" s="2">
        <f t="shared" si="1"/>
        <v>27.289418438288468</v>
      </c>
      <c r="K40">
        <v>37.5</v>
      </c>
      <c r="L40">
        <v>1895.261</v>
      </c>
      <c r="M40">
        <v>1860.8610000000001</v>
      </c>
      <c r="N40">
        <v>1851.575</v>
      </c>
      <c r="O40">
        <v>1719.7380000000001</v>
      </c>
      <c r="P40">
        <v>1567.2539999999999</v>
      </c>
      <c r="R40" s="3">
        <f t="shared" si="2"/>
        <v>1778.9378000000002</v>
      </c>
      <c r="S40" s="3">
        <f t="shared" si="3"/>
        <v>60.759076639955637</v>
      </c>
    </row>
    <row r="41" spans="1:19" x14ac:dyDescent="0.25">
      <c r="A41">
        <v>38.75</v>
      </c>
      <c r="B41">
        <v>1922.55</v>
      </c>
      <c r="C41">
        <v>1926.192</v>
      </c>
      <c r="D41">
        <v>2069.3319999999999</v>
      </c>
      <c r="E41">
        <v>1963.7460000000001</v>
      </c>
      <c r="F41">
        <v>1993.952</v>
      </c>
      <c r="H41" s="2">
        <f t="shared" si="0"/>
        <v>1975.1544000000001</v>
      </c>
      <c r="I41" s="2">
        <f t="shared" si="1"/>
        <v>26.942031485394693</v>
      </c>
      <c r="K41">
        <v>38.75</v>
      </c>
      <c r="L41">
        <v>1775.4680000000001</v>
      </c>
      <c r="M41">
        <v>1757.664</v>
      </c>
      <c r="N41">
        <v>1740.194</v>
      </c>
      <c r="O41">
        <v>1607.076</v>
      </c>
      <c r="P41">
        <v>1459.6079999999999</v>
      </c>
      <c r="R41" s="3">
        <f t="shared" si="2"/>
        <v>1668.002</v>
      </c>
      <c r="S41" s="3">
        <f t="shared" si="3"/>
        <v>59.974968518541147</v>
      </c>
    </row>
    <row r="42" spans="1:19" x14ac:dyDescent="0.25">
      <c r="A42">
        <v>40</v>
      </c>
      <c r="B42">
        <v>1827.4290000000001</v>
      </c>
      <c r="C42">
        <v>1842.4190000000001</v>
      </c>
      <c r="D42">
        <v>1979.528</v>
      </c>
      <c r="E42">
        <v>1880.0719999999999</v>
      </c>
      <c r="F42">
        <v>1905.2760000000001</v>
      </c>
      <c r="H42" s="2">
        <f t="shared" si="0"/>
        <v>1886.9448</v>
      </c>
      <c r="I42" s="2">
        <f t="shared" si="1"/>
        <v>26.906871344323914</v>
      </c>
      <c r="K42">
        <v>40</v>
      </c>
      <c r="L42">
        <v>1695.2539999999999</v>
      </c>
      <c r="M42">
        <v>1686.06</v>
      </c>
      <c r="N42">
        <v>1661.0239999999999</v>
      </c>
      <c r="O42">
        <v>1530.232</v>
      </c>
      <c r="P42">
        <v>1385.722</v>
      </c>
      <c r="R42" s="3">
        <f t="shared" si="2"/>
        <v>1591.6583999999998</v>
      </c>
      <c r="S42" s="3">
        <f t="shared" si="3"/>
        <v>59.429916854728958</v>
      </c>
    </row>
    <row r="43" spans="1:19" x14ac:dyDescent="0.25">
      <c r="A43">
        <v>41.25</v>
      </c>
      <c r="B43">
        <v>1793.3779999999999</v>
      </c>
      <c r="C43">
        <v>1793.835</v>
      </c>
      <c r="D43">
        <v>1949.328</v>
      </c>
      <c r="E43">
        <v>1846.489</v>
      </c>
      <c r="F43">
        <v>1866.36</v>
      </c>
      <c r="H43" s="2">
        <f t="shared" si="0"/>
        <v>1849.8779999999999</v>
      </c>
      <c r="I43" s="2">
        <f t="shared" si="1"/>
        <v>28.728480636817526</v>
      </c>
      <c r="K43">
        <v>41.25</v>
      </c>
      <c r="L43">
        <v>1656.104</v>
      </c>
      <c r="M43">
        <v>1631.9290000000001</v>
      </c>
      <c r="N43">
        <v>1625.6849999999999</v>
      </c>
      <c r="O43">
        <v>1502.329</v>
      </c>
      <c r="P43">
        <v>1361.914</v>
      </c>
      <c r="R43" s="3">
        <f t="shared" si="2"/>
        <v>1555.5922</v>
      </c>
      <c r="S43" s="3">
        <f t="shared" si="3"/>
        <v>55.313263877120839</v>
      </c>
    </row>
    <row r="44" spans="1:19" x14ac:dyDescent="0.25">
      <c r="A44">
        <v>42.5</v>
      </c>
      <c r="B44">
        <v>1775.229</v>
      </c>
      <c r="C44">
        <v>1777.827</v>
      </c>
      <c r="D44">
        <v>1929.6120000000001</v>
      </c>
      <c r="E44">
        <v>1821.047</v>
      </c>
      <c r="F44">
        <v>1846.779</v>
      </c>
      <c r="H44" s="2">
        <f t="shared" si="0"/>
        <v>1830.0988000000002</v>
      </c>
      <c r="I44" s="2">
        <f t="shared" si="1"/>
        <v>28.289642235984541</v>
      </c>
      <c r="K44">
        <v>42.5</v>
      </c>
      <c r="L44">
        <v>1643.249</v>
      </c>
      <c r="M44">
        <v>1616.518</v>
      </c>
      <c r="N44">
        <v>1615.1769999999999</v>
      </c>
      <c r="O44">
        <v>1491.309</v>
      </c>
      <c r="P44">
        <v>1358.567</v>
      </c>
      <c r="R44" s="3">
        <f t="shared" si="2"/>
        <v>1544.9639999999999</v>
      </c>
      <c r="S44" s="3">
        <f t="shared" si="3"/>
        <v>53.540863900389198</v>
      </c>
    </row>
    <row r="45" spans="1:19" x14ac:dyDescent="0.25">
      <c r="A45">
        <v>43.75</v>
      </c>
      <c r="B45">
        <v>1763.8689999999999</v>
      </c>
      <c r="C45">
        <v>1777.0039999999999</v>
      </c>
      <c r="D45">
        <v>1906.4159999999999</v>
      </c>
      <c r="E45">
        <v>1823.433</v>
      </c>
      <c r="F45">
        <v>1845.4079999999999</v>
      </c>
      <c r="H45" s="2">
        <f t="shared" si="0"/>
        <v>1823.2259999999999</v>
      </c>
      <c r="I45" s="2">
        <f t="shared" si="1"/>
        <v>25.565980135719425</v>
      </c>
      <c r="K45">
        <v>43.75</v>
      </c>
      <c r="L45">
        <v>1643.94</v>
      </c>
      <c r="M45">
        <v>1618.4110000000001</v>
      </c>
      <c r="N45">
        <v>1623.3510000000001</v>
      </c>
      <c r="O45">
        <v>1499.046</v>
      </c>
      <c r="P45">
        <v>1362.7650000000001</v>
      </c>
      <c r="R45" s="3">
        <f t="shared" si="2"/>
        <v>1549.5026000000003</v>
      </c>
      <c r="S45" s="3">
        <f t="shared" si="3"/>
        <v>53.168212321461397</v>
      </c>
    </row>
    <row r="46" spans="1:19" x14ac:dyDescent="0.25">
      <c r="A46">
        <v>45</v>
      </c>
      <c r="B46">
        <v>1777.386</v>
      </c>
      <c r="C46">
        <v>1785.962</v>
      </c>
      <c r="D46">
        <v>1915.598</v>
      </c>
      <c r="E46">
        <v>1834.921</v>
      </c>
      <c r="F46">
        <v>1860.6089999999999</v>
      </c>
      <c r="H46" s="2">
        <f t="shared" si="0"/>
        <v>1834.8952000000002</v>
      </c>
      <c r="I46" s="2">
        <f t="shared" si="1"/>
        <v>25.373123823053394</v>
      </c>
      <c r="K46">
        <v>45</v>
      </c>
      <c r="L46">
        <v>1658.423</v>
      </c>
      <c r="M46">
        <v>1618.635</v>
      </c>
      <c r="N46">
        <v>1627.252</v>
      </c>
      <c r="O46">
        <v>1519.4390000000001</v>
      </c>
      <c r="P46">
        <v>1371.84</v>
      </c>
      <c r="R46" s="3">
        <f t="shared" si="2"/>
        <v>1559.1178</v>
      </c>
      <c r="S46" s="3">
        <f t="shared" si="3"/>
        <v>52.294106070760982</v>
      </c>
    </row>
    <row r="47" spans="1:19" x14ac:dyDescent="0.25">
      <c r="A47">
        <v>46.25</v>
      </c>
      <c r="B47">
        <v>1825.9179999999999</v>
      </c>
      <c r="C47">
        <v>1819.4680000000001</v>
      </c>
      <c r="D47">
        <v>1957.3209999999999</v>
      </c>
      <c r="E47">
        <v>1881.64</v>
      </c>
      <c r="F47">
        <v>1898.54</v>
      </c>
      <c r="H47" s="2">
        <f t="shared" si="0"/>
        <v>1876.5774000000001</v>
      </c>
      <c r="I47" s="2">
        <f t="shared" si="1"/>
        <v>25.352882513828664</v>
      </c>
      <c r="K47">
        <v>46.25</v>
      </c>
      <c r="L47">
        <v>1702.2190000000001</v>
      </c>
      <c r="M47">
        <v>1629.452</v>
      </c>
      <c r="N47">
        <v>1648.5039999999999</v>
      </c>
      <c r="O47">
        <v>1560.74</v>
      </c>
      <c r="P47">
        <v>1400.96</v>
      </c>
      <c r="R47" s="3">
        <f t="shared" si="2"/>
        <v>1588.375</v>
      </c>
      <c r="S47" s="3">
        <f t="shared" si="3"/>
        <v>52.034290787902535</v>
      </c>
    </row>
    <row r="48" spans="1:19" x14ac:dyDescent="0.25">
      <c r="A48">
        <v>47.5</v>
      </c>
      <c r="B48">
        <v>1892.8030000000001</v>
      </c>
      <c r="C48">
        <v>1880.588</v>
      </c>
      <c r="D48">
        <v>2025.7280000000001</v>
      </c>
      <c r="E48">
        <v>1940.5170000000001</v>
      </c>
      <c r="F48">
        <v>1959.569</v>
      </c>
      <c r="H48" s="2">
        <f t="shared" si="0"/>
        <v>1939.8409999999999</v>
      </c>
      <c r="I48" s="2">
        <f t="shared" si="1"/>
        <v>25.970867507651725</v>
      </c>
      <c r="K48">
        <v>47.5</v>
      </c>
      <c r="L48">
        <v>1761.3440000000001</v>
      </c>
      <c r="M48">
        <v>1662.643</v>
      </c>
      <c r="N48">
        <v>1701.539</v>
      </c>
      <c r="O48">
        <v>1602.7</v>
      </c>
      <c r="P48">
        <v>1452.674</v>
      </c>
      <c r="R48" s="3">
        <f t="shared" si="2"/>
        <v>1636.1799999999998</v>
      </c>
      <c r="S48" s="3">
        <f t="shared" si="3"/>
        <v>52.646689630973007</v>
      </c>
    </row>
    <row r="49" spans="1:19" x14ac:dyDescent="0.25">
      <c r="A49">
        <v>48.75</v>
      </c>
      <c r="B49">
        <v>1941.4059999999999</v>
      </c>
      <c r="C49">
        <v>1933.47</v>
      </c>
      <c r="D49">
        <v>2095.6529999999998</v>
      </c>
      <c r="E49">
        <v>1996.6890000000001</v>
      </c>
      <c r="F49">
        <v>2017.72</v>
      </c>
      <c r="H49" s="2">
        <f t="shared" si="0"/>
        <v>1996.9875999999999</v>
      </c>
      <c r="I49" s="2">
        <f t="shared" si="1"/>
        <v>29.401175569354329</v>
      </c>
      <c r="K49">
        <v>48.75</v>
      </c>
      <c r="L49">
        <v>1804.213</v>
      </c>
      <c r="M49">
        <v>1707.114</v>
      </c>
      <c r="N49">
        <v>1753.098</v>
      </c>
      <c r="O49">
        <v>1653.6590000000001</v>
      </c>
      <c r="P49">
        <v>1501.1949999999999</v>
      </c>
      <c r="R49" s="3">
        <f t="shared" si="2"/>
        <v>1683.8558</v>
      </c>
      <c r="S49" s="3">
        <f t="shared" si="3"/>
        <v>52.008699419808607</v>
      </c>
    </row>
    <row r="50" spans="1:19" x14ac:dyDescent="0.25">
      <c r="A50">
        <v>50</v>
      </c>
      <c r="B50">
        <v>1987.3510000000001</v>
      </c>
      <c r="C50">
        <v>1979.318</v>
      </c>
      <c r="D50">
        <v>2128.1190000000001</v>
      </c>
      <c r="E50">
        <v>2031.624</v>
      </c>
      <c r="F50">
        <v>2064.2020000000002</v>
      </c>
      <c r="H50" s="2">
        <f t="shared" si="0"/>
        <v>2038.1228000000003</v>
      </c>
      <c r="I50" s="2">
        <f t="shared" si="1"/>
        <v>27.25569231078164</v>
      </c>
      <c r="K50">
        <v>50</v>
      </c>
      <c r="L50">
        <v>1839.258</v>
      </c>
      <c r="M50">
        <v>1775.5989999999999</v>
      </c>
      <c r="N50">
        <v>1799.7650000000001</v>
      </c>
      <c r="O50">
        <v>1686.3050000000001</v>
      </c>
      <c r="P50">
        <v>1519.02</v>
      </c>
      <c r="R50" s="3">
        <f t="shared" si="2"/>
        <v>1723.9893999999999</v>
      </c>
      <c r="S50" s="3">
        <f t="shared" si="3"/>
        <v>57.063522259496047</v>
      </c>
    </row>
    <row r="51" spans="1:19" x14ac:dyDescent="0.25">
      <c r="A51">
        <v>51.25</v>
      </c>
      <c r="B51">
        <v>2049.1790000000001</v>
      </c>
      <c r="C51">
        <v>2036.1179999999999</v>
      </c>
      <c r="D51">
        <v>2162.0830000000001</v>
      </c>
      <c r="E51">
        <v>2084.2979999999998</v>
      </c>
      <c r="F51">
        <v>2127.3539999999998</v>
      </c>
      <c r="H51" s="2">
        <f t="shared" si="0"/>
        <v>2091.8063999999999</v>
      </c>
      <c r="I51" s="2">
        <f t="shared" si="1"/>
        <v>23.640115872389458</v>
      </c>
      <c r="K51">
        <v>51.25</v>
      </c>
      <c r="L51">
        <v>1882.386</v>
      </c>
      <c r="M51">
        <v>1840.963</v>
      </c>
      <c r="N51">
        <v>1843.566</v>
      </c>
      <c r="O51">
        <v>1718.1120000000001</v>
      </c>
      <c r="P51">
        <v>1549.789</v>
      </c>
      <c r="R51" s="3">
        <f t="shared" si="2"/>
        <v>1766.9632000000001</v>
      </c>
      <c r="S51" s="3">
        <f t="shared" si="3"/>
        <v>60.916933202025191</v>
      </c>
    </row>
    <row r="52" spans="1:19" x14ac:dyDescent="0.25">
      <c r="A52">
        <v>52.5</v>
      </c>
      <c r="B52">
        <v>2087.9119999999998</v>
      </c>
      <c r="C52">
        <v>2070.0430000000001</v>
      </c>
      <c r="D52">
        <v>2215.5920000000001</v>
      </c>
      <c r="E52">
        <v>2145.7399999999998</v>
      </c>
      <c r="F52">
        <v>2190.4259999999999</v>
      </c>
      <c r="H52" s="2">
        <f t="shared" si="0"/>
        <v>2141.9425999999999</v>
      </c>
      <c r="I52" s="2">
        <f t="shared" si="1"/>
        <v>28.176366567746104</v>
      </c>
      <c r="K52">
        <v>52.5</v>
      </c>
      <c r="L52">
        <v>1920.7729999999999</v>
      </c>
      <c r="M52">
        <v>1890.028</v>
      </c>
      <c r="N52">
        <v>1877.0450000000001</v>
      </c>
      <c r="O52">
        <v>1751.89</v>
      </c>
      <c r="P52">
        <v>1582.9469999999999</v>
      </c>
      <c r="R52" s="3">
        <f t="shared" si="2"/>
        <v>1804.5365999999999</v>
      </c>
      <c r="S52" s="3">
        <f t="shared" si="3"/>
        <v>62.430266517611471</v>
      </c>
    </row>
    <row r="53" spans="1:19" x14ac:dyDescent="0.25">
      <c r="A53">
        <v>53.75</v>
      </c>
      <c r="B53">
        <v>2074.6039999999998</v>
      </c>
      <c r="C53">
        <v>2070.2649999999999</v>
      </c>
      <c r="D53">
        <v>2242.962</v>
      </c>
      <c r="E53">
        <v>2159.9029999999998</v>
      </c>
      <c r="F53">
        <v>2194.2739999999999</v>
      </c>
      <c r="H53" s="2">
        <f t="shared" si="0"/>
        <v>2148.4016000000001</v>
      </c>
      <c r="I53" s="2">
        <f t="shared" si="1"/>
        <v>33.711750590261573</v>
      </c>
      <c r="K53">
        <v>53.75</v>
      </c>
      <c r="L53">
        <v>1924.329</v>
      </c>
      <c r="M53">
        <v>1900.1220000000001</v>
      </c>
      <c r="N53">
        <v>1875.2729999999999</v>
      </c>
      <c r="O53">
        <v>1748.8879999999999</v>
      </c>
      <c r="P53">
        <v>1579.8910000000001</v>
      </c>
      <c r="R53" s="3">
        <f t="shared" si="2"/>
        <v>1805.7006000000001</v>
      </c>
      <c r="S53" s="3">
        <f t="shared" si="3"/>
        <v>64.049224771733179</v>
      </c>
    </row>
    <row r="54" spans="1:19" x14ac:dyDescent="0.25">
      <c r="A54">
        <v>55</v>
      </c>
      <c r="B54">
        <v>2030.991</v>
      </c>
      <c r="C54">
        <v>2040.037</v>
      </c>
      <c r="D54">
        <v>2188.4560000000001</v>
      </c>
      <c r="E54">
        <v>2105.2730000000001</v>
      </c>
      <c r="F54">
        <v>2131.7730000000001</v>
      </c>
      <c r="H54" s="2">
        <f t="shared" si="0"/>
        <v>2099.3060000000005</v>
      </c>
      <c r="I54" s="2">
        <f t="shared" si="1"/>
        <v>29.340404959713855</v>
      </c>
      <c r="K54">
        <v>55</v>
      </c>
      <c r="L54">
        <v>1882.7</v>
      </c>
      <c r="M54">
        <v>1854.2570000000001</v>
      </c>
      <c r="N54">
        <v>1826.5219999999999</v>
      </c>
      <c r="O54">
        <v>1699.9880000000001</v>
      </c>
      <c r="P54">
        <v>1557.7270000000001</v>
      </c>
      <c r="R54" s="3">
        <f t="shared" si="2"/>
        <v>1764.2388000000003</v>
      </c>
      <c r="S54" s="3">
        <f t="shared" si="3"/>
        <v>60.328607674468984</v>
      </c>
    </row>
    <row r="55" spans="1:19" x14ac:dyDescent="0.25">
      <c r="A55">
        <v>56.25</v>
      </c>
      <c r="B55">
        <v>1945.9480000000001</v>
      </c>
      <c r="C55">
        <v>1946.8420000000001</v>
      </c>
      <c r="D55">
        <v>2049.0410000000002</v>
      </c>
      <c r="E55">
        <v>1986.8</v>
      </c>
      <c r="F55">
        <v>2005.4590000000001</v>
      </c>
      <c r="H55" s="2">
        <f t="shared" si="0"/>
        <v>1986.818</v>
      </c>
      <c r="I55" s="2">
        <f t="shared" si="1"/>
        <v>19.348935900973995</v>
      </c>
      <c r="K55">
        <v>56.25</v>
      </c>
      <c r="L55">
        <v>1777.308</v>
      </c>
      <c r="M55">
        <v>1736.7260000000001</v>
      </c>
      <c r="N55">
        <v>1727.143</v>
      </c>
      <c r="O55">
        <v>1611.6220000000001</v>
      </c>
      <c r="P55">
        <v>1476.6010000000001</v>
      </c>
      <c r="R55" s="3">
        <f t="shared" si="2"/>
        <v>1665.8799999999999</v>
      </c>
      <c r="S55" s="3">
        <f t="shared" si="3"/>
        <v>54.753529783019452</v>
      </c>
    </row>
    <row r="56" spans="1:19" x14ac:dyDescent="0.25">
      <c r="A56">
        <v>57.5</v>
      </c>
      <c r="B56">
        <v>1800.655</v>
      </c>
      <c r="C56">
        <v>1785.6120000000001</v>
      </c>
      <c r="D56">
        <v>1863.3630000000001</v>
      </c>
      <c r="E56">
        <v>1818.98</v>
      </c>
      <c r="F56">
        <v>1819.694</v>
      </c>
      <c r="H56" s="2">
        <f t="shared" si="0"/>
        <v>1817.6608000000001</v>
      </c>
      <c r="I56" s="2">
        <f t="shared" si="1"/>
        <v>13.059265084222773</v>
      </c>
      <c r="K56">
        <v>57.5</v>
      </c>
      <c r="L56">
        <v>1617.867</v>
      </c>
      <c r="M56">
        <v>1584.0509999999999</v>
      </c>
      <c r="N56">
        <v>1588.0070000000001</v>
      </c>
      <c r="O56">
        <v>1482.365</v>
      </c>
      <c r="P56">
        <v>1327.34</v>
      </c>
      <c r="R56" s="3">
        <f t="shared" si="2"/>
        <v>1519.9259999999999</v>
      </c>
      <c r="S56" s="3">
        <f t="shared" si="3"/>
        <v>53.310258761330367</v>
      </c>
    </row>
    <row r="57" spans="1:19" x14ac:dyDescent="0.25">
      <c r="A57">
        <v>58.75</v>
      </c>
      <c r="B57">
        <v>1656.941</v>
      </c>
      <c r="C57">
        <v>1644.547</v>
      </c>
      <c r="D57">
        <v>1682.203</v>
      </c>
      <c r="E57">
        <v>1639.0170000000001</v>
      </c>
      <c r="F57">
        <v>1641.7670000000001</v>
      </c>
      <c r="H57" s="2">
        <f t="shared" si="0"/>
        <v>1652.895</v>
      </c>
      <c r="I57" s="2">
        <f t="shared" si="1"/>
        <v>7.9418176508907443</v>
      </c>
      <c r="K57">
        <v>58.75</v>
      </c>
      <c r="L57">
        <v>1475.299</v>
      </c>
      <c r="M57">
        <v>1434.116</v>
      </c>
      <c r="N57">
        <v>1434.471</v>
      </c>
      <c r="O57">
        <v>1348.4749999999999</v>
      </c>
      <c r="P57">
        <v>1199.8209999999999</v>
      </c>
      <c r="R57" s="3">
        <f t="shared" si="2"/>
        <v>1378.4364</v>
      </c>
      <c r="S57" s="3">
        <f t="shared" si="3"/>
        <v>49.205489601872692</v>
      </c>
    </row>
    <row r="58" spans="1:19" x14ac:dyDescent="0.25">
      <c r="A58">
        <v>60</v>
      </c>
      <c r="B58">
        <v>1557.96</v>
      </c>
      <c r="C58">
        <v>1543.7639999999999</v>
      </c>
      <c r="D58">
        <v>1590.8969999999999</v>
      </c>
      <c r="E58">
        <v>1537.5070000000001</v>
      </c>
      <c r="F58">
        <v>1542.001</v>
      </c>
      <c r="H58" s="2">
        <f t="shared" si="0"/>
        <v>1554.4258000000002</v>
      </c>
      <c r="I58" s="2">
        <f t="shared" si="1"/>
        <v>9.7389281412278521</v>
      </c>
      <c r="K58">
        <v>60</v>
      </c>
      <c r="L58">
        <v>1388.6389999999999</v>
      </c>
      <c r="M58">
        <v>1335.36</v>
      </c>
      <c r="N58">
        <v>1343.4280000000001</v>
      </c>
      <c r="O58">
        <v>1258.1110000000001</v>
      </c>
      <c r="P58">
        <v>1127.9749999999999</v>
      </c>
      <c r="R58" s="3">
        <f t="shared" si="2"/>
        <v>1290.7025999999998</v>
      </c>
      <c r="S58" s="3">
        <f t="shared" si="3"/>
        <v>45.775688862757711</v>
      </c>
    </row>
    <row r="59" spans="1:19" x14ac:dyDescent="0.25">
      <c r="A59">
        <v>61.25</v>
      </c>
      <c r="B59">
        <v>1493.654</v>
      </c>
      <c r="C59">
        <v>1473.7619999999999</v>
      </c>
      <c r="D59">
        <v>1530.67</v>
      </c>
      <c r="E59">
        <v>1483.0250000000001</v>
      </c>
      <c r="F59">
        <v>1488.318</v>
      </c>
      <c r="H59" s="2">
        <f t="shared" si="0"/>
        <v>1493.8858000000002</v>
      </c>
      <c r="I59" s="2">
        <f t="shared" si="1"/>
        <v>9.7648753212726831</v>
      </c>
      <c r="K59">
        <v>61.25</v>
      </c>
      <c r="L59">
        <v>1337.885</v>
      </c>
      <c r="M59">
        <v>1270.6669999999999</v>
      </c>
      <c r="N59">
        <v>1285.595</v>
      </c>
      <c r="O59">
        <v>1212.8389999999999</v>
      </c>
      <c r="P59">
        <v>1088.395</v>
      </c>
      <c r="R59" s="3">
        <f t="shared" si="2"/>
        <v>1239.0762</v>
      </c>
      <c r="S59" s="3">
        <f t="shared" si="3"/>
        <v>42.613595866108277</v>
      </c>
    </row>
    <row r="60" spans="1:19" x14ac:dyDescent="0.25">
      <c r="A60">
        <v>62.5</v>
      </c>
      <c r="B60">
        <v>1451.6389999999999</v>
      </c>
      <c r="C60">
        <v>1422.07</v>
      </c>
      <c r="D60">
        <v>1491.4280000000001</v>
      </c>
      <c r="E60">
        <v>1439.8869999999999</v>
      </c>
      <c r="F60">
        <v>1455.0340000000001</v>
      </c>
      <c r="H60" s="2">
        <f t="shared" si="0"/>
        <v>1452.0115999999998</v>
      </c>
      <c r="I60" s="2">
        <f t="shared" si="1"/>
        <v>11.41584788178262</v>
      </c>
      <c r="K60">
        <v>62.5</v>
      </c>
      <c r="L60">
        <v>1299.7829999999999</v>
      </c>
      <c r="M60">
        <v>1262.308</v>
      </c>
      <c r="N60">
        <v>1264.7139999999999</v>
      </c>
      <c r="O60">
        <v>1189.1669999999999</v>
      </c>
      <c r="P60">
        <v>1063.1279999999999</v>
      </c>
      <c r="R60" s="3">
        <f t="shared" si="2"/>
        <v>1215.82</v>
      </c>
      <c r="S60" s="3">
        <f t="shared" si="3"/>
        <v>42.205907182526005</v>
      </c>
    </row>
    <row r="61" spans="1:19" x14ac:dyDescent="0.25">
      <c r="A61">
        <v>63.75</v>
      </c>
      <c r="B61">
        <v>1417.0029999999999</v>
      </c>
      <c r="C61">
        <v>1383.7439999999999</v>
      </c>
      <c r="D61">
        <v>1459.9739999999999</v>
      </c>
      <c r="E61">
        <v>1424.9190000000001</v>
      </c>
      <c r="F61">
        <v>1430.3879999999999</v>
      </c>
      <c r="H61" s="2">
        <f t="shared" si="0"/>
        <v>1423.2055999999998</v>
      </c>
      <c r="I61" s="2">
        <f t="shared" si="1"/>
        <v>12.251791642857793</v>
      </c>
      <c r="K61">
        <v>63.75</v>
      </c>
      <c r="L61">
        <v>1281.1210000000001</v>
      </c>
      <c r="M61">
        <v>1240.07</v>
      </c>
      <c r="N61">
        <v>1263.316</v>
      </c>
      <c r="O61">
        <v>1152.7940000000001</v>
      </c>
      <c r="P61">
        <v>1051.866</v>
      </c>
      <c r="R61" s="3">
        <f t="shared" si="2"/>
        <v>1197.8334</v>
      </c>
      <c r="S61" s="3">
        <f t="shared" si="3"/>
        <v>42.62848520132988</v>
      </c>
    </row>
    <row r="62" spans="1:19" x14ac:dyDescent="0.25">
      <c r="A62">
        <v>65</v>
      </c>
      <c r="B62">
        <v>1386.8869999999999</v>
      </c>
      <c r="C62">
        <v>1362.7280000000001</v>
      </c>
      <c r="D62">
        <v>1446.2339999999999</v>
      </c>
      <c r="E62">
        <v>1415.0889999999999</v>
      </c>
      <c r="F62">
        <v>1412.3320000000001</v>
      </c>
      <c r="H62" s="2">
        <f t="shared" si="0"/>
        <v>1404.654</v>
      </c>
      <c r="I62" s="2">
        <f t="shared" si="1"/>
        <v>14.089345396433417</v>
      </c>
      <c r="K62">
        <v>65</v>
      </c>
      <c r="L62">
        <v>1271.9169999999999</v>
      </c>
      <c r="M62">
        <v>1238.046</v>
      </c>
      <c r="N62">
        <v>1240.1199999999999</v>
      </c>
      <c r="O62">
        <v>1129.5070000000001</v>
      </c>
      <c r="P62">
        <v>1035.508</v>
      </c>
      <c r="R62" s="3">
        <f t="shared" si="2"/>
        <v>1183.0196000000001</v>
      </c>
      <c r="S62" s="3">
        <f t="shared" si="3"/>
        <v>44.053591565955188</v>
      </c>
    </row>
    <row r="63" spans="1:19" x14ac:dyDescent="0.25">
      <c r="A63">
        <v>66.25</v>
      </c>
      <c r="B63">
        <v>1380.691</v>
      </c>
      <c r="C63">
        <v>1351.873</v>
      </c>
      <c r="D63">
        <v>1430.9059999999999</v>
      </c>
      <c r="E63">
        <v>1419.73</v>
      </c>
      <c r="F63">
        <v>1406.8610000000001</v>
      </c>
      <c r="H63" s="2">
        <f t="shared" si="0"/>
        <v>1398.0122000000001</v>
      </c>
      <c r="I63" s="2">
        <f t="shared" si="1"/>
        <v>14.249238440702706</v>
      </c>
      <c r="K63">
        <v>66.25</v>
      </c>
      <c r="L63">
        <v>1260.45</v>
      </c>
      <c r="M63">
        <v>1223.5160000000001</v>
      </c>
      <c r="N63">
        <v>1242.55</v>
      </c>
      <c r="O63">
        <v>1159.7249999999999</v>
      </c>
      <c r="P63">
        <v>1022.571</v>
      </c>
      <c r="R63" s="3">
        <f t="shared" si="2"/>
        <v>1181.7624000000001</v>
      </c>
      <c r="S63" s="3">
        <f t="shared" si="3"/>
        <v>43.276889128725507</v>
      </c>
    </row>
    <row r="64" spans="1:19" x14ac:dyDescent="0.25">
      <c r="A64">
        <v>67.5</v>
      </c>
      <c r="B64">
        <v>1371.3510000000001</v>
      </c>
      <c r="C64">
        <v>1351.61</v>
      </c>
      <c r="D64">
        <v>1432.646</v>
      </c>
      <c r="E64">
        <v>1422.8030000000001</v>
      </c>
      <c r="F64">
        <v>1409.0060000000001</v>
      </c>
      <c r="H64" s="2">
        <f t="shared" si="0"/>
        <v>1397.4832000000001</v>
      </c>
      <c r="I64" s="2">
        <f t="shared" si="1"/>
        <v>15.48795023687771</v>
      </c>
      <c r="K64">
        <v>67.5</v>
      </c>
      <c r="L64">
        <v>1258.229</v>
      </c>
      <c r="M64">
        <v>1188.6849999999999</v>
      </c>
      <c r="N64">
        <v>1242.78</v>
      </c>
      <c r="O64">
        <v>1139.7860000000001</v>
      </c>
      <c r="P64">
        <v>1017.202</v>
      </c>
      <c r="R64" s="3">
        <f t="shared" si="2"/>
        <v>1169.3363999999999</v>
      </c>
      <c r="S64" s="3">
        <f t="shared" si="3"/>
        <v>43.409864570855319</v>
      </c>
    </row>
    <row r="65" spans="1:19" x14ac:dyDescent="0.25">
      <c r="A65">
        <v>68.75</v>
      </c>
      <c r="B65">
        <v>1372.43</v>
      </c>
      <c r="C65">
        <v>1366.902</v>
      </c>
      <c r="D65">
        <v>1452.133</v>
      </c>
      <c r="E65">
        <v>1409.021</v>
      </c>
      <c r="F65">
        <v>1422.1980000000001</v>
      </c>
      <c r="H65" s="2">
        <f t="shared" si="0"/>
        <v>1404.5368000000001</v>
      </c>
      <c r="I65" s="2">
        <f t="shared" si="1"/>
        <v>15.88182777075737</v>
      </c>
      <c r="K65">
        <v>68.75</v>
      </c>
      <c r="L65">
        <v>1268.3620000000001</v>
      </c>
      <c r="M65">
        <v>1203.318</v>
      </c>
      <c r="N65">
        <v>1239.2329999999999</v>
      </c>
      <c r="O65">
        <v>1137.367</v>
      </c>
      <c r="P65">
        <v>1025.9849999999999</v>
      </c>
      <c r="R65" s="3">
        <f t="shared" si="2"/>
        <v>1174.8530000000001</v>
      </c>
      <c r="S65" s="3">
        <f t="shared" si="3"/>
        <v>43.165875020668835</v>
      </c>
    </row>
    <row r="66" spans="1:19" x14ac:dyDescent="0.25">
      <c r="A66">
        <v>70</v>
      </c>
      <c r="B66">
        <v>1381.549</v>
      </c>
      <c r="C66">
        <v>1373.0709999999999</v>
      </c>
      <c r="D66">
        <v>1455.922</v>
      </c>
      <c r="E66">
        <v>1412.4349999999999</v>
      </c>
      <c r="F66">
        <v>1425.3589999999999</v>
      </c>
      <c r="H66" s="2">
        <f t="shared" si="0"/>
        <v>1409.6671999999999</v>
      </c>
      <c r="I66" s="2">
        <f t="shared" si="1"/>
        <v>15.038807886265465</v>
      </c>
      <c r="K66">
        <v>70</v>
      </c>
      <c r="L66">
        <v>1279.866</v>
      </c>
      <c r="M66">
        <v>1209.595</v>
      </c>
      <c r="N66">
        <v>1266.999</v>
      </c>
      <c r="O66">
        <v>1153.2059999999999</v>
      </c>
      <c r="P66">
        <v>1020.162</v>
      </c>
      <c r="R66" s="3">
        <f t="shared" si="2"/>
        <v>1185.9656</v>
      </c>
      <c r="S66" s="3">
        <f t="shared" si="3"/>
        <v>47.173123039078085</v>
      </c>
    </row>
    <row r="67" spans="1:19" x14ac:dyDescent="0.25">
      <c r="A67">
        <v>71.25</v>
      </c>
      <c r="B67">
        <v>1373.211</v>
      </c>
      <c r="C67">
        <v>1365.7080000000001</v>
      </c>
      <c r="D67">
        <v>1457.848</v>
      </c>
      <c r="E67">
        <v>1394.088</v>
      </c>
      <c r="F67">
        <v>1418.729</v>
      </c>
      <c r="H67" s="2">
        <f t="shared" si="0"/>
        <v>1401.9168</v>
      </c>
      <c r="I67" s="2">
        <f t="shared" si="1"/>
        <v>16.744162360058489</v>
      </c>
      <c r="K67">
        <v>71.25</v>
      </c>
      <c r="L67">
        <v>1278.2070000000001</v>
      </c>
      <c r="M67">
        <v>1206.905</v>
      </c>
      <c r="N67">
        <v>1274.9469999999999</v>
      </c>
      <c r="O67">
        <v>1124.681</v>
      </c>
      <c r="P67">
        <v>994.74</v>
      </c>
      <c r="R67" s="3">
        <f t="shared" si="2"/>
        <v>1175.896</v>
      </c>
      <c r="S67" s="3">
        <f t="shared" si="3"/>
        <v>53.235642178901152</v>
      </c>
    </row>
    <row r="68" spans="1:19" x14ac:dyDescent="0.25">
      <c r="A68">
        <v>72.5</v>
      </c>
      <c r="B68">
        <v>1355.038</v>
      </c>
      <c r="C68">
        <v>1349.37</v>
      </c>
      <c r="D68">
        <v>1453.0129999999999</v>
      </c>
      <c r="E68">
        <v>1388.7429999999999</v>
      </c>
      <c r="F68">
        <v>1419.7439999999999</v>
      </c>
      <c r="H68" s="2">
        <f t="shared" si="0"/>
        <v>1393.1816000000001</v>
      </c>
      <c r="I68" s="2">
        <f t="shared" si="1"/>
        <v>19.595215238930134</v>
      </c>
      <c r="K68">
        <v>72.5</v>
      </c>
      <c r="L68">
        <v>1256.1990000000001</v>
      </c>
      <c r="M68">
        <v>1213.106</v>
      </c>
      <c r="N68">
        <v>1263.037</v>
      </c>
      <c r="O68">
        <v>1120.018</v>
      </c>
      <c r="P68">
        <v>976.23699999999997</v>
      </c>
      <c r="R68" s="3">
        <f t="shared" si="2"/>
        <v>1165.7194000000002</v>
      </c>
      <c r="S68" s="3">
        <f t="shared" si="3"/>
        <v>53.802862850038025</v>
      </c>
    </row>
    <row r="69" spans="1:19" x14ac:dyDescent="0.25">
      <c r="A69">
        <v>73.75</v>
      </c>
      <c r="B69">
        <v>1363.654</v>
      </c>
      <c r="C69">
        <v>1353.009</v>
      </c>
      <c r="D69">
        <v>1474.6579999999999</v>
      </c>
      <c r="E69">
        <v>1424.13</v>
      </c>
      <c r="F69">
        <v>1427.309</v>
      </c>
      <c r="H69" s="2">
        <f t="shared" ref="H69:H96" si="4">AVERAGE(B69:F69)</f>
        <v>1408.5520000000001</v>
      </c>
      <c r="I69" s="2">
        <f t="shared" ref="I69:I96" si="5">STDEV(B69:F69)/SQRT(COUNT(B69:F69))</f>
        <v>22.43363281102727</v>
      </c>
      <c r="K69">
        <v>73.75</v>
      </c>
      <c r="L69">
        <v>1276.05</v>
      </c>
      <c r="M69">
        <v>1229.3430000000001</v>
      </c>
      <c r="N69">
        <v>1276.3119999999999</v>
      </c>
      <c r="O69">
        <v>1144.106</v>
      </c>
      <c r="P69">
        <v>991.01700000000005</v>
      </c>
      <c r="R69" s="3">
        <f t="shared" ref="R69:R96" si="6">AVERAGE(L69:P69)</f>
        <v>1183.3655999999999</v>
      </c>
      <c r="S69" s="3">
        <f t="shared" ref="S69:S96" si="7">STDEV(L69:P69)/SQRT(COUNT(L69:P69))</f>
        <v>53.797143372673588</v>
      </c>
    </row>
    <row r="70" spans="1:19" x14ac:dyDescent="0.25">
      <c r="A70">
        <v>75</v>
      </c>
      <c r="B70">
        <v>1484.143</v>
      </c>
      <c r="C70">
        <v>1488.5740000000001</v>
      </c>
      <c r="D70">
        <v>1621.3610000000001</v>
      </c>
      <c r="E70">
        <v>1565.4949999999999</v>
      </c>
      <c r="F70">
        <v>1561.07</v>
      </c>
      <c r="H70" s="2">
        <f t="shared" si="4"/>
        <v>1544.1286</v>
      </c>
      <c r="I70" s="2">
        <f t="shared" si="5"/>
        <v>25.877561207733617</v>
      </c>
      <c r="K70">
        <v>75</v>
      </c>
      <c r="L70">
        <v>1422.4059999999999</v>
      </c>
      <c r="M70">
        <v>1343.4179999999999</v>
      </c>
      <c r="N70">
        <v>1397.875</v>
      </c>
      <c r="O70">
        <v>1254.962</v>
      </c>
      <c r="P70">
        <v>1126.4190000000001</v>
      </c>
      <c r="R70" s="3">
        <f t="shared" si="6"/>
        <v>1309.0160000000001</v>
      </c>
      <c r="S70" s="3">
        <f t="shared" si="7"/>
        <v>53.944513581086234</v>
      </c>
    </row>
    <row r="71" spans="1:19" x14ac:dyDescent="0.25">
      <c r="A71">
        <v>76.25</v>
      </c>
      <c r="B71">
        <v>1787.346</v>
      </c>
      <c r="C71">
        <v>1770.2339999999999</v>
      </c>
      <c r="D71">
        <v>1892.146</v>
      </c>
      <c r="E71">
        <v>1833.549</v>
      </c>
      <c r="F71">
        <v>1841.3389999999999</v>
      </c>
      <c r="H71" s="2">
        <f t="shared" si="4"/>
        <v>1824.9227999999998</v>
      </c>
      <c r="I71" s="2">
        <f t="shared" si="5"/>
        <v>21.524105452724392</v>
      </c>
      <c r="K71">
        <v>76.25</v>
      </c>
      <c r="L71">
        <v>1671.914</v>
      </c>
      <c r="M71">
        <v>1585.36</v>
      </c>
      <c r="N71">
        <v>1636.6220000000001</v>
      </c>
      <c r="O71">
        <v>1507.346</v>
      </c>
      <c r="P71">
        <v>1335.4490000000001</v>
      </c>
      <c r="R71" s="3">
        <f t="shared" si="6"/>
        <v>1547.3382000000001</v>
      </c>
      <c r="S71" s="3">
        <f t="shared" si="7"/>
        <v>59.763196576488433</v>
      </c>
    </row>
    <row r="72" spans="1:19" x14ac:dyDescent="0.25">
      <c r="A72">
        <v>77.5</v>
      </c>
      <c r="B72">
        <v>1921.1990000000001</v>
      </c>
      <c r="C72">
        <v>1904.819</v>
      </c>
      <c r="D72">
        <v>2035.3009999999999</v>
      </c>
      <c r="E72">
        <v>1984.3620000000001</v>
      </c>
      <c r="F72">
        <v>1984.4359999999999</v>
      </c>
      <c r="H72" s="2">
        <f t="shared" si="4"/>
        <v>1966.0234</v>
      </c>
      <c r="I72" s="2">
        <f t="shared" si="5"/>
        <v>23.695906149797256</v>
      </c>
      <c r="K72">
        <v>77.5</v>
      </c>
      <c r="L72">
        <v>1795.71</v>
      </c>
      <c r="M72">
        <v>1715.9449999999999</v>
      </c>
      <c r="N72">
        <v>1764.7619999999999</v>
      </c>
      <c r="O72">
        <v>1630.7059999999999</v>
      </c>
      <c r="P72">
        <v>1456.874</v>
      </c>
      <c r="R72" s="3">
        <f t="shared" si="6"/>
        <v>1672.7993999999999</v>
      </c>
      <c r="S72" s="3">
        <f t="shared" si="7"/>
        <v>60.754140138430074</v>
      </c>
    </row>
    <row r="73" spans="1:19" x14ac:dyDescent="0.25">
      <c r="A73">
        <v>78.75</v>
      </c>
      <c r="B73">
        <v>1837.942</v>
      </c>
      <c r="C73">
        <v>1840.329</v>
      </c>
      <c r="D73">
        <v>1954.818</v>
      </c>
      <c r="E73">
        <v>1906.2449999999999</v>
      </c>
      <c r="F73">
        <v>1907.539</v>
      </c>
      <c r="H73" s="2">
        <f t="shared" si="4"/>
        <v>1889.3745999999999</v>
      </c>
      <c r="I73" s="2">
        <f t="shared" si="5"/>
        <v>22.302665366722422</v>
      </c>
      <c r="K73">
        <v>78.75</v>
      </c>
      <c r="L73">
        <v>1716.6690000000001</v>
      </c>
      <c r="M73">
        <v>1646.154</v>
      </c>
      <c r="N73">
        <v>1705.5219999999999</v>
      </c>
      <c r="O73">
        <v>1575.47</v>
      </c>
      <c r="P73">
        <v>1398.56</v>
      </c>
      <c r="R73" s="3">
        <f t="shared" si="6"/>
        <v>1608.4749999999999</v>
      </c>
      <c r="S73" s="3">
        <f t="shared" si="7"/>
        <v>58.179638249133191</v>
      </c>
    </row>
    <row r="74" spans="1:19" x14ac:dyDescent="0.25">
      <c r="A74">
        <v>80</v>
      </c>
      <c r="B74">
        <v>1703.183</v>
      </c>
      <c r="C74">
        <v>1718.9849999999999</v>
      </c>
      <c r="D74">
        <v>1802.183</v>
      </c>
      <c r="E74">
        <v>1770.4829999999999</v>
      </c>
      <c r="F74">
        <v>1761.5119999999999</v>
      </c>
      <c r="H74" s="2">
        <f t="shared" si="4"/>
        <v>1751.2692</v>
      </c>
      <c r="I74" s="2">
        <f t="shared" si="5"/>
        <v>17.917662086332584</v>
      </c>
      <c r="K74">
        <v>80</v>
      </c>
      <c r="L74">
        <v>1608.579</v>
      </c>
      <c r="M74">
        <v>1520.1389999999999</v>
      </c>
      <c r="N74">
        <v>1595.913</v>
      </c>
      <c r="O74">
        <v>1457.117</v>
      </c>
      <c r="P74">
        <v>1295.038</v>
      </c>
      <c r="R74" s="3">
        <f t="shared" si="6"/>
        <v>1495.3571999999999</v>
      </c>
      <c r="S74" s="3">
        <f t="shared" si="7"/>
        <v>57.067888214301391</v>
      </c>
    </row>
    <row r="75" spans="1:19" x14ac:dyDescent="0.25">
      <c r="A75">
        <v>81.25</v>
      </c>
      <c r="B75">
        <v>1819.7190000000001</v>
      </c>
      <c r="C75">
        <v>1880.855</v>
      </c>
      <c r="D75">
        <v>1898.923</v>
      </c>
      <c r="E75">
        <v>1887.502</v>
      </c>
      <c r="F75">
        <v>1900.5730000000001</v>
      </c>
      <c r="H75" s="2">
        <f t="shared" si="4"/>
        <v>1877.5144</v>
      </c>
      <c r="I75" s="2">
        <f t="shared" si="5"/>
        <v>14.901756962184018</v>
      </c>
      <c r="K75">
        <v>81.25</v>
      </c>
      <c r="L75">
        <v>1788.306</v>
      </c>
      <c r="M75">
        <v>1637.943</v>
      </c>
      <c r="N75">
        <v>1711.8979999999999</v>
      </c>
      <c r="O75">
        <v>1572.549</v>
      </c>
      <c r="P75">
        <v>1430.7439999999999</v>
      </c>
      <c r="R75" s="3">
        <f t="shared" si="6"/>
        <v>1628.288</v>
      </c>
      <c r="S75" s="3">
        <f t="shared" si="7"/>
        <v>61.163747230692145</v>
      </c>
    </row>
    <row r="76" spans="1:19" x14ac:dyDescent="0.25">
      <c r="A76">
        <v>82.5</v>
      </c>
      <c r="B76">
        <v>2431.556</v>
      </c>
      <c r="C76">
        <v>2558.547</v>
      </c>
      <c r="D76">
        <v>2489.3180000000002</v>
      </c>
      <c r="E76">
        <v>2442.0880000000002</v>
      </c>
      <c r="F76">
        <v>2540.23</v>
      </c>
      <c r="H76" s="2">
        <f t="shared" si="4"/>
        <v>2492.3478</v>
      </c>
      <c r="I76" s="2">
        <f t="shared" si="5"/>
        <v>25.402666482871417</v>
      </c>
      <c r="K76">
        <v>82.5</v>
      </c>
      <c r="L76">
        <v>2439.2559999999999</v>
      </c>
      <c r="M76">
        <v>2258.1999999999998</v>
      </c>
      <c r="N76">
        <v>2317.56</v>
      </c>
      <c r="O76">
        <v>2112.047</v>
      </c>
      <c r="P76">
        <v>1903.36</v>
      </c>
      <c r="R76" s="3">
        <f t="shared" si="6"/>
        <v>2206.0846000000001</v>
      </c>
      <c r="S76" s="3">
        <f t="shared" si="7"/>
        <v>92.194613497535727</v>
      </c>
    </row>
    <row r="77" spans="1:19" x14ac:dyDescent="0.25">
      <c r="A77">
        <v>83.75</v>
      </c>
      <c r="B77">
        <v>3321.8690000000001</v>
      </c>
      <c r="C77">
        <v>3376.998</v>
      </c>
      <c r="D77">
        <v>3295.8829999999998</v>
      </c>
      <c r="E77">
        <v>3188.1550000000002</v>
      </c>
      <c r="F77">
        <v>3333.4050000000002</v>
      </c>
      <c r="H77" s="2">
        <f t="shared" si="4"/>
        <v>3303.2620000000002</v>
      </c>
      <c r="I77" s="2">
        <f t="shared" si="5"/>
        <v>31.619526944595471</v>
      </c>
      <c r="K77">
        <v>83.75</v>
      </c>
      <c r="L77">
        <v>3182.3739999999998</v>
      </c>
      <c r="M77">
        <v>3050.87</v>
      </c>
      <c r="N77">
        <v>3001.2570000000001</v>
      </c>
      <c r="O77">
        <v>2833.7109999999998</v>
      </c>
      <c r="P77">
        <v>2544.366</v>
      </c>
      <c r="R77" s="3">
        <f t="shared" si="6"/>
        <v>2922.5155999999997</v>
      </c>
      <c r="S77" s="3">
        <f t="shared" si="7"/>
        <v>109.79180868471015</v>
      </c>
    </row>
    <row r="78" spans="1:19" x14ac:dyDescent="0.25">
      <c r="A78">
        <v>85</v>
      </c>
      <c r="B78">
        <v>3931.8</v>
      </c>
      <c r="C78">
        <v>3900.6680000000001</v>
      </c>
      <c r="D78">
        <v>3818.0430000000001</v>
      </c>
      <c r="E78">
        <v>3670.0169999999998</v>
      </c>
      <c r="F78">
        <v>3792.915</v>
      </c>
      <c r="H78" s="2">
        <f t="shared" si="4"/>
        <v>3822.6886</v>
      </c>
      <c r="I78" s="2">
        <f t="shared" si="5"/>
        <v>45.936233376932478</v>
      </c>
      <c r="K78">
        <v>85</v>
      </c>
      <c r="L78">
        <v>3657.3580000000002</v>
      </c>
      <c r="M78">
        <v>3573.6709999999998</v>
      </c>
      <c r="N78">
        <v>3501.1019999999999</v>
      </c>
      <c r="O78">
        <v>3330.8589999999999</v>
      </c>
      <c r="P78">
        <v>2949.8409999999999</v>
      </c>
      <c r="R78" s="3">
        <f t="shared" si="6"/>
        <v>3402.5662000000002</v>
      </c>
      <c r="S78" s="3">
        <f t="shared" si="7"/>
        <v>125.30104689482847</v>
      </c>
    </row>
    <row r="79" spans="1:19" x14ac:dyDescent="0.25">
      <c r="A79">
        <v>86.25</v>
      </c>
      <c r="B79">
        <v>3983.15</v>
      </c>
      <c r="C79">
        <v>3905.3130000000001</v>
      </c>
      <c r="D79">
        <v>3815.6970000000001</v>
      </c>
      <c r="E79">
        <v>3655.625</v>
      </c>
      <c r="F79">
        <v>3766.5250000000001</v>
      </c>
      <c r="H79" s="2">
        <f t="shared" si="4"/>
        <v>3825.2620000000002</v>
      </c>
      <c r="I79" s="2">
        <f t="shared" si="5"/>
        <v>56.415875118622431</v>
      </c>
      <c r="K79">
        <v>86.25</v>
      </c>
      <c r="L79">
        <v>3619.4180000000001</v>
      </c>
      <c r="M79">
        <v>3567.08</v>
      </c>
      <c r="N79">
        <v>3501.0610000000001</v>
      </c>
      <c r="O79">
        <v>3339.0729999999999</v>
      </c>
      <c r="P79">
        <v>2968.8739999999998</v>
      </c>
      <c r="R79" s="3">
        <f t="shared" si="6"/>
        <v>3399.1012000000001</v>
      </c>
      <c r="S79" s="3">
        <f t="shared" si="7"/>
        <v>117.4416874118386</v>
      </c>
    </row>
    <row r="80" spans="1:19" x14ac:dyDescent="0.25">
      <c r="A80">
        <v>87.5</v>
      </c>
      <c r="B80">
        <v>3511.3589999999999</v>
      </c>
      <c r="C80">
        <v>3479.9409999999998</v>
      </c>
      <c r="D80">
        <v>3418.422</v>
      </c>
      <c r="E80">
        <v>3282.9920000000002</v>
      </c>
      <c r="F80">
        <v>3366.0720000000001</v>
      </c>
      <c r="H80" s="2">
        <f t="shared" si="4"/>
        <v>3411.7572</v>
      </c>
      <c r="I80" s="2">
        <f t="shared" si="5"/>
        <v>40.793126219254084</v>
      </c>
      <c r="K80">
        <v>87.5</v>
      </c>
      <c r="L80">
        <v>3212.9</v>
      </c>
      <c r="M80">
        <v>3122.9430000000002</v>
      </c>
      <c r="N80">
        <v>3147.0810000000001</v>
      </c>
      <c r="O80">
        <v>2961.8130000000001</v>
      </c>
      <c r="P80">
        <v>2642.5569999999998</v>
      </c>
      <c r="R80" s="3">
        <f t="shared" si="6"/>
        <v>3017.4588000000003</v>
      </c>
      <c r="S80" s="3">
        <f t="shared" si="7"/>
        <v>102.41433213686457</v>
      </c>
    </row>
    <row r="81" spans="1:19" x14ac:dyDescent="0.25">
      <c r="A81">
        <v>88.75</v>
      </c>
      <c r="B81">
        <v>3049.7640000000001</v>
      </c>
      <c r="C81">
        <v>3019.3989999999999</v>
      </c>
      <c r="D81">
        <v>3018.95</v>
      </c>
      <c r="E81">
        <v>2922.3919999999998</v>
      </c>
      <c r="F81">
        <v>2981.62</v>
      </c>
      <c r="H81" s="2">
        <f t="shared" si="4"/>
        <v>2998.4250000000002</v>
      </c>
      <c r="I81" s="2">
        <f t="shared" si="5"/>
        <v>21.863556819511356</v>
      </c>
      <c r="K81">
        <v>88.75</v>
      </c>
      <c r="L81">
        <v>2822.4160000000002</v>
      </c>
      <c r="M81">
        <v>2702.7620000000002</v>
      </c>
      <c r="N81">
        <v>2755.6529999999998</v>
      </c>
      <c r="O81">
        <v>2587.9580000000001</v>
      </c>
      <c r="P81">
        <v>2286.1309999999999</v>
      </c>
      <c r="R81" s="3">
        <f t="shared" si="6"/>
        <v>2630.9839999999999</v>
      </c>
      <c r="S81" s="3">
        <f t="shared" si="7"/>
        <v>94.370408432410656</v>
      </c>
    </row>
    <row r="82" spans="1:19" x14ac:dyDescent="0.25">
      <c r="A82">
        <v>90</v>
      </c>
      <c r="B82">
        <v>3018.9029999999998</v>
      </c>
      <c r="C82">
        <v>2974.4920000000002</v>
      </c>
      <c r="D82">
        <v>3001.2170000000001</v>
      </c>
      <c r="E82">
        <v>2904.7040000000002</v>
      </c>
      <c r="F82">
        <v>2943.2579999999998</v>
      </c>
      <c r="H82" s="2">
        <f t="shared" si="4"/>
        <v>2968.5147999999999</v>
      </c>
      <c r="I82" s="2">
        <f t="shared" si="5"/>
        <v>20.437533665782638</v>
      </c>
      <c r="K82">
        <v>90</v>
      </c>
      <c r="L82">
        <v>2775.8310000000001</v>
      </c>
      <c r="M82">
        <v>2683.2570000000001</v>
      </c>
      <c r="N82">
        <v>2689.096</v>
      </c>
      <c r="O82">
        <v>2527.4920000000002</v>
      </c>
      <c r="P82">
        <v>2226.748</v>
      </c>
      <c r="R82" s="3">
        <f t="shared" si="6"/>
        <v>2580.4847999999997</v>
      </c>
      <c r="S82" s="3">
        <f t="shared" si="7"/>
        <v>97.071266664961158</v>
      </c>
    </row>
    <row r="83" spans="1:19" x14ac:dyDescent="0.25">
      <c r="A83">
        <v>91.25</v>
      </c>
      <c r="B83">
        <v>3270.3090000000002</v>
      </c>
      <c r="C83">
        <v>3240.2910000000002</v>
      </c>
      <c r="D83">
        <v>3208.1129999999998</v>
      </c>
      <c r="E83">
        <v>3100.991</v>
      </c>
      <c r="F83">
        <v>3165.5340000000001</v>
      </c>
      <c r="H83" s="2">
        <f t="shared" si="4"/>
        <v>3197.0475999999999</v>
      </c>
      <c r="I83" s="2">
        <f t="shared" si="5"/>
        <v>29.647634677322937</v>
      </c>
      <c r="K83">
        <v>91.25</v>
      </c>
      <c r="L83">
        <v>2976.94</v>
      </c>
      <c r="M83">
        <v>2944.2310000000002</v>
      </c>
      <c r="N83">
        <v>2860.404</v>
      </c>
      <c r="O83">
        <v>2698.3789999999999</v>
      </c>
      <c r="P83">
        <v>2389.3090000000002</v>
      </c>
      <c r="R83" s="3">
        <f t="shared" si="6"/>
        <v>2773.8526000000006</v>
      </c>
      <c r="S83" s="3">
        <f t="shared" si="7"/>
        <v>107.5487054002046</v>
      </c>
    </row>
    <row r="84" spans="1:19" x14ac:dyDescent="0.25">
      <c r="A84">
        <v>92.5</v>
      </c>
      <c r="B84">
        <v>3628.8789999999999</v>
      </c>
      <c r="C84">
        <v>3527.2060000000001</v>
      </c>
      <c r="D84">
        <v>3437.4960000000001</v>
      </c>
      <c r="E84">
        <v>3321.752</v>
      </c>
      <c r="F84">
        <v>3410.5010000000002</v>
      </c>
      <c r="H84" s="2">
        <f t="shared" si="4"/>
        <v>3465.1668000000004</v>
      </c>
      <c r="I84" s="2">
        <f t="shared" si="5"/>
        <v>52.427270807662666</v>
      </c>
      <c r="K84">
        <v>92.5</v>
      </c>
      <c r="L84">
        <v>3209.087</v>
      </c>
      <c r="M84">
        <v>3204.4360000000001</v>
      </c>
      <c r="N84">
        <v>3085.51</v>
      </c>
      <c r="O84">
        <v>2940.6779999999999</v>
      </c>
      <c r="P84">
        <v>2597.5909999999999</v>
      </c>
      <c r="R84" s="3">
        <f t="shared" si="6"/>
        <v>3007.4603999999999</v>
      </c>
      <c r="S84" s="3">
        <f t="shared" si="7"/>
        <v>113.57755651738597</v>
      </c>
    </row>
    <row r="85" spans="1:19" x14ac:dyDescent="0.25">
      <c r="A85">
        <v>93.75</v>
      </c>
      <c r="B85">
        <v>3811.681</v>
      </c>
      <c r="C85">
        <v>3650.335</v>
      </c>
      <c r="D85">
        <v>3601.018</v>
      </c>
      <c r="E85">
        <v>3496.0859999999998</v>
      </c>
      <c r="F85">
        <v>3572.0320000000002</v>
      </c>
      <c r="H85" s="2">
        <f t="shared" si="4"/>
        <v>3626.2303999999995</v>
      </c>
      <c r="I85" s="2">
        <f t="shared" si="5"/>
        <v>52.670510396805554</v>
      </c>
      <c r="K85">
        <v>93.75</v>
      </c>
      <c r="L85">
        <v>3348.0549999999998</v>
      </c>
      <c r="M85">
        <v>3294.9490000000001</v>
      </c>
      <c r="N85">
        <v>3224.1759999999999</v>
      </c>
      <c r="O85">
        <v>3088.482</v>
      </c>
      <c r="P85">
        <v>2729.5839999999998</v>
      </c>
      <c r="R85" s="3">
        <f t="shared" si="6"/>
        <v>3137.0491999999999</v>
      </c>
      <c r="S85" s="3">
        <f t="shared" si="7"/>
        <v>110.77760059660076</v>
      </c>
    </row>
    <row r="86" spans="1:19" x14ac:dyDescent="0.25">
      <c r="A86">
        <v>95</v>
      </c>
      <c r="B86">
        <v>3737.6860000000001</v>
      </c>
      <c r="C86">
        <v>3634.134</v>
      </c>
      <c r="D86">
        <v>3717.6770000000001</v>
      </c>
      <c r="E86">
        <v>3619.82</v>
      </c>
      <c r="F86">
        <v>3652.0430000000001</v>
      </c>
      <c r="H86" s="2">
        <f t="shared" si="4"/>
        <v>3672.2719999999999</v>
      </c>
      <c r="I86" s="2">
        <f t="shared" si="5"/>
        <v>23.404633312658422</v>
      </c>
      <c r="K86">
        <v>95</v>
      </c>
      <c r="L86">
        <v>3379.6</v>
      </c>
      <c r="M86">
        <v>3254.5439999999999</v>
      </c>
      <c r="N86">
        <v>3266.8130000000001</v>
      </c>
      <c r="O86">
        <v>3139.6689999999999</v>
      </c>
      <c r="P86">
        <v>2799.2950000000001</v>
      </c>
      <c r="R86" s="3">
        <f t="shared" si="6"/>
        <v>3167.9841999999999</v>
      </c>
      <c r="S86" s="3">
        <f t="shared" si="7"/>
        <v>99.693142753852399</v>
      </c>
    </row>
    <row r="87" spans="1:19" x14ac:dyDescent="0.25">
      <c r="A87">
        <v>96.25</v>
      </c>
      <c r="B87">
        <v>3639.2179999999998</v>
      </c>
      <c r="C87">
        <v>3613.7829999999999</v>
      </c>
      <c r="D87">
        <v>3867.2330000000002</v>
      </c>
      <c r="E87">
        <v>3746.953</v>
      </c>
      <c r="F87">
        <v>3778.0340000000001</v>
      </c>
      <c r="H87" s="2">
        <f t="shared" si="4"/>
        <v>3729.0442000000003</v>
      </c>
      <c r="I87" s="2">
        <f t="shared" si="5"/>
        <v>46.460069144804393</v>
      </c>
      <c r="K87">
        <v>96.25</v>
      </c>
      <c r="L87">
        <v>3394.5479999999998</v>
      </c>
      <c r="M87">
        <v>3273.279</v>
      </c>
      <c r="N87">
        <v>3314.7370000000001</v>
      </c>
      <c r="O87">
        <v>3169.942</v>
      </c>
      <c r="P87">
        <v>2814.7469999999998</v>
      </c>
      <c r="R87" s="3">
        <f t="shared" si="6"/>
        <v>3193.4505999999992</v>
      </c>
      <c r="S87" s="3">
        <f t="shared" si="7"/>
        <v>101.363750790211</v>
      </c>
    </row>
    <row r="88" spans="1:19" x14ac:dyDescent="0.25">
      <c r="A88">
        <v>97.5</v>
      </c>
      <c r="B88">
        <v>3751.9720000000002</v>
      </c>
      <c r="C88">
        <v>3781.5569999999998</v>
      </c>
      <c r="D88">
        <v>4147.2950000000001</v>
      </c>
      <c r="E88">
        <v>3993.6039999999998</v>
      </c>
      <c r="F88">
        <v>4041.2840000000001</v>
      </c>
      <c r="H88" s="2">
        <f t="shared" si="4"/>
        <v>3943.1423999999997</v>
      </c>
      <c r="I88" s="2">
        <f t="shared" si="5"/>
        <v>76.325747340330722</v>
      </c>
      <c r="K88">
        <v>97.5</v>
      </c>
      <c r="L88">
        <v>3583.6390000000001</v>
      </c>
      <c r="M88">
        <v>3480.2469999999998</v>
      </c>
      <c r="N88">
        <v>3543.5529999999999</v>
      </c>
      <c r="O88">
        <v>3360.9090000000001</v>
      </c>
      <c r="P88">
        <v>2955.777</v>
      </c>
      <c r="R88" s="3">
        <f t="shared" si="6"/>
        <v>3384.8249999999998</v>
      </c>
      <c r="S88" s="3">
        <f t="shared" si="7"/>
        <v>113.68401471271146</v>
      </c>
    </row>
    <row r="89" spans="1:19" x14ac:dyDescent="0.25">
      <c r="A89">
        <v>98.75</v>
      </c>
      <c r="B89">
        <v>3950.1469999999999</v>
      </c>
      <c r="C89">
        <v>3986.78</v>
      </c>
      <c r="D89">
        <v>4405.1289999999999</v>
      </c>
      <c r="E89">
        <v>4251.0590000000002</v>
      </c>
      <c r="F89">
        <v>4272.223</v>
      </c>
      <c r="H89" s="2">
        <f t="shared" si="4"/>
        <v>4173.0676000000003</v>
      </c>
      <c r="I89" s="2">
        <f t="shared" si="5"/>
        <v>87.796243943348713</v>
      </c>
      <c r="K89">
        <v>98.75</v>
      </c>
      <c r="L89">
        <v>3831.681</v>
      </c>
      <c r="M89">
        <v>3731.8020000000001</v>
      </c>
      <c r="N89">
        <v>3799.596</v>
      </c>
      <c r="O89">
        <v>3586.0970000000002</v>
      </c>
      <c r="P89">
        <v>3143.8339999999998</v>
      </c>
      <c r="R89" s="3">
        <f t="shared" si="6"/>
        <v>3618.6019999999999</v>
      </c>
      <c r="S89" s="3">
        <f t="shared" si="7"/>
        <v>125.9835221618288</v>
      </c>
    </row>
    <row r="90" spans="1:19" x14ac:dyDescent="0.25">
      <c r="A90">
        <v>100</v>
      </c>
      <c r="B90">
        <v>4046.49</v>
      </c>
      <c r="C90">
        <v>4089.4720000000002</v>
      </c>
      <c r="D90">
        <v>4513.5659999999998</v>
      </c>
      <c r="E90">
        <v>4353.8019999999997</v>
      </c>
      <c r="F90">
        <v>4324.6899999999996</v>
      </c>
      <c r="H90" s="2">
        <f t="shared" si="4"/>
        <v>4265.6039999999994</v>
      </c>
      <c r="I90" s="2">
        <f t="shared" si="5"/>
        <v>87.117341116450447</v>
      </c>
      <c r="K90">
        <v>100</v>
      </c>
      <c r="L90">
        <v>3964.0059999999999</v>
      </c>
      <c r="M90">
        <v>3887.3960000000002</v>
      </c>
      <c r="N90">
        <v>3941.4670000000001</v>
      </c>
      <c r="O90">
        <v>3675.3589999999999</v>
      </c>
      <c r="P90">
        <v>3216.15</v>
      </c>
      <c r="R90" s="3">
        <f t="shared" si="6"/>
        <v>3736.8756000000003</v>
      </c>
      <c r="S90" s="3">
        <f t="shared" si="7"/>
        <v>139.82876902576234</v>
      </c>
    </row>
    <row r="91" spans="1:19" x14ac:dyDescent="0.25">
      <c r="A91">
        <v>101.25</v>
      </c>
      <c r="B91">
        <v>3888.5790000000002</v>
      </c>
      <c r="C91">
        <v>3964.056</v>
      </c>
      <c r="D91">
        <v>4326.5990000000002</v>
      </c>
      <c r="E91">
        <v>4189.6260000000002</v>
      </c>
      <c r="F91">
        <v>4129.5309999999999</v>
      </c>
      <c r="H91" s="2">
        <f t="shared" si="4"/>
        <v>4099.6782000000003</v>
      </c>
      <c r="I91" s="2">
        <f t="shared" si="5"/>
        <v>78.55924491706881</v>
      </c>
      <c r="K91">
        <v>101.25</v>
      </c>
      <c r="L91">
        <v>3824.7719999999999</v>
      </c>
      <c r="M91">
        <v>3782.0120000000002</v>
      </c>
      <c r="N91">
        <v>3829.4189999999999</v>
      </c>
      <c r="O91">
        <v>3552.902</v>
      </c>
      <c r="P91">
        <v>3113.3850000000002</v>
      </c>
      <c r="R91" s="3">
        <f t="shared" si="6"/>
        <v>3620.4979999999996</v>
      </c>
      <c r="S91" s="3">
        <f t="shared" si="7"/>
        <v>136.60077552817916</v>
      </c>
    </row>
    <row r="92" spans="1:19" x14ac:dyDescent="0.25">
      <c r="A92">
        <v>102.5</v>
      </c>
      <c r="B92">
        <v>3564.8530000000001</v>
      </c>
      <c r="C92">
        <v>3629.8150000000001</v>
      </c>
      <c r="D92">
        <v>3961.306</v>
      </c>
      <c r="E92">
        <v>3842.6619999999998</v>
      </c>
      <c r="F92">
        <v>3772.1289999999999</v>
      </c>
      <c r="H92" s="2">
        <f t="shared" si="4"/>
        <v>3754.1529999999998</v>
      </c>
      <c r="I92" s="2">
        <f t="shared" si="5"/>
        <v>71.541517075751173</v>
      </c>
      <c r="K92">
        <v>102.5</v>
      </c>
      <c r="L92">
        <v>3514.8879999999999</v>
      </c>
      <c r="M92">
        <v>3497.8180000000002</v>
      </c>
      <c r="N92">
        <v>3560.3589999999999</v>
      </c>
      <c r="O92">
        <v>3288.3850000000002</v>
      </c>
      <c r="P92">
        <v>2890.6350000000002</v>
      </c>
      <c r="R92" s="3">
        <f t="shared" si="6"/>
        <v>3350.4169999999999</v>
      </c>
      <c r="S92" s="3">
        <f t="shared" si="7"/>
        <v>124.11705454005904</v>
      </c>
    </row>
    <row r="93" spans="1:19" x14ac:dyDescent="0.25">
      <c r="A93">
        <v>103.75</v>
      </c>
      <c r="B93">
        <v>3163.4940000000001</v>
      </c>
      <c r="C93">
        <v>3206.672</v>
      </c>
      <c r="D93">
        <v>3516.8760000000002</v>
      </c>
      <c r="E93">
        <v>3417.895</v>
      </c>
      <c r="F93">
        <v>3362.2669999999998</v>
      </c>
      <c r="H93" s="2">
        <f t="shared" si="4"/>
        <v>3333.4408000000003</v>
      </c>
      <c r="I93" s="2">
        <f t="shared" si="5"/>
        <v>65.789124400162066</v>
      </c>
      <c r="K93">
        <v>103.75</v>
      </c>
      <c r="L93">
        <v>3127.7759999999998</v>
      </c>
      <c r="M93">
        <v>3125.3290000000002</v>
      </c>
      <c r="N93">
        <v>3190.2950000000001</v>
      </c>
      <c r="O93">
        <v>2948.7429999999999</v>
      </c>
      <c r="P93">
        <v>2591.2240000000002</v>
      </c>
      <c r="R93" s="3">
        <f t="shared" si="6"/>
        <v>2996.6734000000001</v>
      </c>
      <c r="S93" s="3">
        <f t="shared" si="7"/>
        <v>109.06787298036024</v>
      </c>
    </row>
    <row r="94" spans="1:19" x14ac:dyDescent="0.25">
      <c r="A94">
        <v>105</v>
      </c>
      <c r="B94">
        <v>2755.1239999999998</v>
      </c>
      <c r="C94">
        <v>2815.7869999999998</v>
      </c>
      <c r="D94">
        <v>3111.165</v>
      </c>
      <c r="E94">
        <v>3025.69</v>
      </c>
      <c r="F94">
        <v>2990.3330000000001</v>
      </c>
      <c r="H94" s="2">
        <f t="shared" si="4"/>
        <v>2939.6198000000004</v>
      </c>
      <c r="I94" s="2">
        <f t="shared" si="5"/>
        <v>66.626168357035255</v>
      </c>
      <c r="K94">
        <v>105</v>
      </c>
      <c r="L94">
        <v>2785.212</v>
      </c>
      <c r="M94">
        <v>2789.3150000000001</v>
      </c>
      <c r="N94">
        <v>2828.9090000000001</v>
      </c>
      <c r="O94">
        <v>2648.5320000000002</v>
      </c>
      <c r="P94">
        <v>2289.54</v>
      </c>
      <c r="R94" s="3">
        <f t="shared" si="6"/>
        <v>2668.3016000000002</v>
      </c>
      <c r="S94" s="3">
        <f t="shared" si="7"/>
        <v>99.488242587051474</v>
      </c>
    </row>
    <row r="95" spans="1:19" x14ac:dyDescent="0.25">
      <c r="A95">
        <v>106.25</v>
      </c>
      <c r="B95">
        <v>2502.654</v>
      </c>
      <c r="C95">
        <v>2567.5810000000001</v>
      </c>
      <c r="D95">
        <v>2860.63</v>
      </c>
      <c r="E95">
        <v>2771.1680000000001</v>
      </c>
      <c r="F95">
        <v>2754.808</v>
      </c>
      <c r="H95" s="2">
        <f t="shared" si="4"/>
        <v>2691.3681999999999</v>
      </c>
      <c r="I95" s="2">
        <f t="shared" si="5"/>
        <v>67.074023812799538</v>
      </c>
      <c r="K95">
        <v>106.25</v>
      </c>
      <c r="L95">
        <v>2566.85</v>
      </c>
      <c r="M95">
        <v>2559.0540000000001</v>
      </c>
      <c r="N95">
        <v>2611.9989999999998</v>
      </c>
      <c r="O95">
        <v>2445.9490000000001</v>
      </c>
      <c r="P95">
        <v>2102.817</v>
      </c>
      <c r="R95" s="3">
        <f t="shared" si="6"/>
        <v>2457.3338000000003</v>
      </c>
      <c r="S95" s="3">
        <f t="shared" si="7"/>
        <v>92.756103948688974</v>
      </c>
    </row>
    <row r="96" spans="1:19" x14ac:dyDescent="0.25">
      <c r="A96">
        <v>107.5</v>
      </c>
      <c r="B96">
        <v>2364.1860000000001</v>
      </c>
      <c r="C96">
        <v>2407.4859999999999</v>
      </c>
      <c r="D96">
        <v>2685.328</v>
      </c>
      <c r="E96">
        <v>2591.9940000000001</v>
      </c>
      <c r="F96">
        <v>2593.1239999999998</v>
      </c>
      <c r="H96" s="2">
        <f t="shared" si="4"/>
        <v>2528.4236000000001</v>
      </c>
      <c r="I96" s="2">
        <f t="shared" si="5"/>
        <v>61.010745202464122</v>
      </c>
      <c r="K96">
        <v>107.5</v>
      </c>
      <c r="L96">
        <v>2408.578</v>
      </c>
      <c r="M96">
        <v>2392.9290000000001</v>
      </c>
      <c r="N96">
        <v>2461.2469999999998</v>
      </c>
      <c r="O96">
        <v>2290.261</v>
      </c>
      <c r="P96">
        <v>1979.09</v>
      </c>
      <c r="R96" s="3">
        <f t="shared" si="6"/>
        <v>2306.4209999999998</v>
      </c>
      <c r="S96" s="3">
        <f t="shared" si="7"/>
        <v>86.399509879975597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BRIGHT!OCT_RAW___\AD10\_dark_profiles_AD10_DARK</vt:lpstr>
      <vt:lpstr>BRIGHT!OCT_RAW___\AD10\_light_profiles_AD10_LIGHT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2019-11-17T01:48:20Z</dcterms:modified>
</cp:coreProperties>
</file>