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015\"/>
    </mc:Choice>
  </mc:AlternateContent>
  <xr:revisionPtr revIDLastSave="0" documentId="13_ncr:1_{2DC12969-C92F-4BF8-B500-960EA391C8CB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6\_dark_profiles_CO06_DARK" localSheetId="0">BRIGHT!$A$2:$F$96</definedName>
    <definedName name="OCT_RAW___\CO06\_fovea_dark_profiles_CO06_DARK" localSheetId="0">BRIGHT!#REF!</definedName>
    <definedName name="OCT_RAW___\CO06\_fovea_light_profiles_CO06_LIGHT" localSheetId="0">BRIGHT!#REF!</definedName>
    <definedName name="OCT_RAW___\CO06\_light_profiles_CO06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DD905-E635-4D69-B995-9C901E97D155}" name="[[[OCT RAW]]]\CO06\_dark_profiles_CO06_DARK" type="6" refreshedVersion="6" background="1" saveData="1">
    <textPr codePage="437" sourceFile="E:\[Documents]\[[[OCT RAW]]]\CO06\_dark_profiles_CO06_DARK.txt" space="1" consecutive="1">
      <textFields count="6">
        <textField/>
        <textField/>
        <textField/>
        <textField/>
        <textField/>
        <textField/>
      </textFields>
    </textPr>
  </connection>
  <connection id="2" xr16:uid="{D3E69A23-2F77-4B67-A485-A7DBFCBE8DBF}" name="[[[OCT RAW]]]\CO06\_light_profiles_CO06_LIGHT" type="6" refreshedVersion="6" background="1" saveData="1">
    <textPr codePage="437" sourceFile="E:\[Documents]\[[[OCT RAW]]]\CO06\_light_profiles_CO06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<sst xmlns="http://schemas.openxmlformats.org/spreadsheetml/2006/main" count="12" uniqueCount="8">
  <si>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</si>
  <si>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</si>
  <si>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</si>
  <si>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</si>
  <si>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</si>
  <si>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</si>
  <si>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CO015_DARK</t>
  </si>
  <si>
    <t>CO015_LIGHT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</si>
</sst>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981.11419999999998</c:v>
                </c:pt>
                <c:pt idx="1">
                  <c:v>1233.5454</c:v>
                </c:pt>
                <c:pt idx="2">
                  <c:v>1700.8493999999998</c:v>
                </c:pt>
                <c:pt idx="3">
                  <c:v>2221.1693999999998</c:v>
                </c:pt>
                <c:pt idx="4">
                  <c:v>2773.2177999999999</c:v>
                </c:pt>
                <c:pt idx="5">
                  <c:v>3156.7280000000001</c:v>
                </c:pt>
                <c:pt idx="6">
                  <c:v>3351.0485999999996</c:v>
                </c:pt>
                <c:pt idx="7">
                  <c:v>3449.2573999999995</c:v>
                </c:pt>
                <c:pt idx="8">
                  <c:v>3480.2141999999999</c:v>
                </c:pt>
                <c:pt idx="9">
                  <c:v>3431.2616000000003</c:v>
                </c:pt>
                <c:pt idx="10">
                  <c:v>3203.3874000000001</c:v>
                </c:pt>
                <c:pt idx="11">
                  <c:v>2815.5171999999998</c:v>
                </c:pt>
                <c:pt idx="12">
                  <c:v>2508.2882000000004</c:v>
                </c:pt>
                <c:pt idx="13">
                  <c:v>2379.2312000000002</c:v>
                </c:pt>
                <c:pt idx="14">
                  <c:v>2358.7966000000001</c:v>
                </c:pt>
                <c:pt idx="15">
                  <c:v>2363.3396000000002</c:v>
                </c:pt>
                <c:pt idx="16">
                  <c:v>2368.6246000000001</c:v>
                </c:pt>
                <c:pt idx="17">
                  <c:v>2372.9423999999999</c:v>
                </c:pt>
                <c:pt idx="18">
                  <c:v>2364.8972000000003</c:v>
                </c:pt>
                <c:pt idx="19">
                  <c:v>2353.9133999999999</c:v>
                </c:pt>
                <c:pt idx="20">
                  <c:v>2338.7907999999998</c:v>
                </c:pt>
                <c:pt idx="21">
                  <c:v>2324.7429999999999</c:v>
                </c:pt>
                <c:pt idx="22">
                  <c:v>2335.4566</c:v>
                </c:pt>
                <c:pt idx="23">
                  <c:v>2369.5911999999998</c:v>
                </c:pt>
                <c:pt idx="24">
                  <c:v>2401.4364</c:v>
                </c:pt>
                <c:pt idx="25">
                  <c:v>2426.2434000000003</c:v>
                </c:pt>
                <c:pt idx="26">
                  <c:v>2438.6271999999999</c:v>
                </c:pt>
                <c:pt idx="27">
                  <c:v>2451.7269999999999</c:v>
                </c:pt>
                <c:pt idx="28">
                  <c:v>2455.1984000000002</c:v>
                </c:pt>
                <c:pt idx="29">
                  <c:v>2454.9553999999998</c:v>
                </c:pt>
                <c:pt idx="30">
                  <c:v>2432.7534000000001</c:v>
                </c:pt>
                <c:pt idx="31">
                  <c:v>2372.8795999999998</c:v>
                </c:pt>
                <c:pt idx="32">
                  <c:v>2260.8296</c:v>
                </c:pt>
                <c:pt idx="33">
                  <c:v>2117.5958000000001</c:v>
                </c:pt>
                <c:pt idx="34">
                  <c:v>1991.9198000000001</c:v>
                </c:pt>
                <c:pt idx="35">
                  <c:v>1919.1561999999999</c:v>
                </c:pt>
                <c:pt idx="36">
                  <c:v>1874.7876000000001</c:v>
                </c:pt>
                <c:pt idx="37">
                  <c:v>1855.8526000000002</c:v>
                </c:pt>
                <c:pt idx="38">
                  <c:v>1853.798</c:v>
                </c:pt>
                <c:pt idx="39">
                  <c:v>1868.52</c:v>
                </c:pt>
                <c:pt idx="40">
                  <c:v>1899.0301999999999</c:v>
                </c:pt>
                <c:pt idx="41">
                  <c:v>1956.7365999999997</c:v>
                </c:pt>
                <c:pt idx="42">
                  <c:v>2016.7337999999995</c:v>
                </c:pt>
                <c:pt idx="43">
                  <c:v>2086.1127999999999</c:v>
                </c:pt>
                <c:pt idx="44">
                  <c:v>2135.2042000000001</c:v>
                </c:pt>
                <c:pt idx="45">
                  <c:v>2158.8201999999997</c:v>
                </c:pt>
                <c:pt idx="46">
                  <c:v>2169.5814</c:v>
                </c:pt>
                <c:pt idx="47">
                  <c:v>2152.0006000000003</c:v>
                </c:pt>
                <c:pt idx="48">
                  <c:v>2086.7622000000001</c:v>
                </c:pt>
                <c:pt idx="49">
                  <c:v>1992.9241999999999</c:v>
                </c:pt>
                <c:pt idx="50">
                  <c:v>1920.7324000000001</c:v>
                </c:pt>
                <c:pt idx="51">
                  <c:v>1849.0084000000002</c:v>
                </c:pt>
                <c:pt idx="52">
                  <c:v>1796.6622</c:v>
                </c:pt>
                <c:pt idx="53">
                  <c:v>1730.5355999999999</c:v>
                </c:pt>
                <c:pt idx="54">
                  <c:v>1656.2321999999999</c:v>
                </c:pt>
                <c:pt idx="55">
                  <c:v>1584.6856</c:v>
                </c:pt>
                <c:pt idx="56">
                  <c:v>1514.1210000000001</c:v>
                </c:pt>
                <c:pt idx="57">
                  <c:v>1453.6314</c:v>
                </c:pt>
                <c:pt idx="58">
                  <c:v>1380.3948</c:v>
                </c:pt>
                <c:pt idx="59">
                  <c:v>1330.2581999999998</c:v>
                </c:pt>
                <c:pt idx="60">
                  <c:v>1321.5018</c:v>
                </c:pt>
                <c:pt idx="61">
                  <c:v>1322.0768</c:v>
                </c:pt>
                <c:pt idx="62">
                  <c:v>1334.6154000000001</c:v>
                </c:pt>
                <c:pt idx="63">
                  <c:v>1424.2916</c:v>
                </c:pt>
                <c:pt idx="64">
                  <c:v>1543.4331999999999</c:v>
                </c:pt>
                <c:pt idx="65">
                  <c:v>1584.5803999999998</c:v>
                </c:pt>
                <c:pt idx="66">
                  <c:v>1548.8552</c:v>
                </c:pt>
                <c:pt idx="67">
                  <c:v>1520.3267999999998</c:v>
                </c:pt>
                <c:pt idx="68">
                  <c:v>1670.8373999999999</c:v>
                </c:pt>
                <c:pt idx="69">
                  <c:v>2059.4097999999999</c:v>
                </c:pt>
                <c:pt idx="70">
                  <c:v>2667.0305999999996</c:v>
                </c:pt>
                <c:pt idx="71">
                  <c:v>3163.0135999999998</c:v>
                </c:pt>
                <c:pt idx="72">
                  <c:v>3307.9478000000004</c:v>
                </c:pt>
                <c:pt idx="73">
                  <c:v>3129.3226</c:v>
                </c:pt>
                <c:pt idx="74">
                  <c:v>2839.5970000000002</c:v>
                </c:pt>
                <c:pt idx="75">
                  <c:v>2716.6118000000001</c:v>
                </c:pt>
                <c:pt idx="76">
                  <c:v>2820.2995999999998</c:v>
                </c:pt>
                <c:pt idx="77">
                  <c:v>3030.0659999999998</c:v>
                </c:pt>
                <c:pt idx="78">
                  <c:v>3284.4981999999995</c:v>
                </c:pt>
                <c:pt idx="79">
                  <c:v>3519.9012000000002</c:v>
                </c:pt>
                <c:pt idx="80">
                  <c:v>3694.4204</c:v>
                </c:pt>
                <c:pt idx="81">
                  <c:v>3879.6822000000002</c:v>
                </c:pt>
                <c:pt idx="82">
                  <c:v>4074.7624000000005</c:v>
                </c:pt>
                <c:pt idx="83">
                  <c:v>4119.4625999999998</c:v>
                </c:pt>
                <c:pt idx="84">
                  <c:v>3968.2076000000002</c:v>
                </c:pt>
                <c:pt idx="85">
                  <c:v>3665.982</c:v>
                </c:pt>
                <c:pt idx="86">
                  <c:v>3274.4259999999999</c:v>
                </c:pt>
                <c:pt idx="87">
                  <c:v>2925.2876000000001</c:v>
                </c:pt>
                <c:pt idx="88">
                  <c:v>2701.4840000000004</c:v>
                </c:pt>
                <c:pt idx="89">
                  <c:v>2533.9427999999998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914.45039999999995</c:v>
                </c:pt>
                <c:pt idx="1">
                  <c:v>1102.6804</c:v>
                </c:pt>
                <c:pt idx="2">
                  <c:v>1533.8519999999999</c:v>
                </c:pt>
                <c:pt idx="3">
                  <c:v>2075.9072000000001</c:v>
                </c:pt>
                <c:pt idx="4">
                  <c:v>2595.8339999999998</c:v>
                </c:pt>
                <c:pt idx="5">
                  <c:v>2945.4528</c:v>
                </c:pt>
                <c:pt idx="6">
                  <c:v>3133.5756000000001</c:v>
                </c:pt>
                <c:pt idx="7">
                  <c:v>3209.8081999999999</c:v>
                </c:pt>
                <c:pt idx="8">
                  <c:v>3251.2685999999999</c:v>
                </c:pt>
                <c:pt idx="9">
                  <c:v>3224.7551999999996</c:v>
                </c:pt>
                <c:pt idx="10">
                  <c:v>3044.3103999999998</c:v>
                </c:pt>
                <c:pt idx="11">
                  <c:v>2699.3257999999996</c:v>
                </c:pt>
                <c:pt idx="12">
                  <c:v>2423.5547999999999</c:v>
                </c:pt>
                <c:pt idx="13">
                  <c:v>2315.6260000000002</c:v>
                </c:pt>
                <c:pt idx="14">
                  <c:v>2291.748</c:v>
                </c:pt>
                <c:pt idx="15">
                  <c:v>2289.4425999999999</c:v>
                </c:pt>
                <c:pt idx="16">
                  <c:v>2293.6306</c:v>
                </c:pt>
                <c:pt idx="17">
                  <c:v>2309.8344000000002</c:v>
                </c:pt>
                <c:pt idx="18">
                  <c:v>2306.047</c:v>
                </c:pt>
                <c:pt idx="19">
                  <c:v>2289.5944000000004</c:v>
                </c:pt>
                <c:pt idx="20">
                  <c:v>2279.6027999999997</c:v>
                </c:pt>
                <c:pt idx="21">
                  <c:v>2287.0619999999999</c:v>
                </c:pt>
                <c:pt idx="22">
                  <c:v>2311.8676</c:v>
                </c:pt>
                <c:pt idx="23">
                  <c:v>2338.3352</c:v>
                </c:pt>
                <c:pt idx="24">
                  <c:v>2365.9066000000003</c:v>
                </c:pt>
                <c:pt idx="25">
                  <c:v>2380.2006000000001</c:v>
                </c:pt>
                <c:pt idx="26">
                  <c:v>2384.9825999999998</c:v>
                </c:pt>
                <c:pt idx="27">
                  <c:v>2399.2375999999999</c:v>
                </c:pt>
                <c:pt idx="28">
                  <c:v>2414.4046000000003</c:v>
                </c:pt>
                <c:pt idx="29">
                  <c:v>2418.5344</c:v>
                </c:pt>
                <c:pt idx="30">
                  <c:v>2401.4560000000001</c:v>
                </c:pt>
                <c:pt idx="31">
                  <c:v>2349.3956000000003</c:v>
                </c:pt>
                <c:pt idx="32">
                  <c:v>2245.2015999999999</c:v>
                </c:pt>
                <c:pt idx="33">
                  <c:v>2104.3198000000002</c:v>
                </c:pt>
                <c:pt idx="34">
                  <c:v>1969.2004000000002</c:v>
                </c:pt>
                <c:pt idx="35">
                  <c:v>1883.3919999999998</c:v>
                </c:pt>
                <c:pt idx="36">
                  <c:v>1839.4522000000002</c:v>
                </c:pt>
                <c:pt idx="37">
                  <c:v>1822.8004000000001</c:v>
                </c:pt>
                <c:pt idx="38">
                  <c:v>1831.3281999999999</c:v>
                </c:pt>
                <c:pt idx="39">
                  <c:v>1851.6522</c:v>
                </c:pt>
                <c:pt idx="40">
                  <c:v>1892.3496</c:v>
                </c:pt>
                <c:pt idx="41">
                  <c:v>1952.7105999999999</c:v>
                </c:pt>
                <c:pt idx="42">
                  <c:v>2006.0919999999999</c:v>
                </c:pt>
                <c:pt idx="43">
                  <c:v>2059.3342000000002</c:v>
                </c:pt>
                <c:pt idx="44">
                  <c:v>2110.6323999999995</c:v>
                </c:pt>
                <c:pt idx="45">
                  <c:v>2133.2665999999999</c:v>
                </c:pt>
                <c:pt idx="46">
                  <c:v>2138.5486000000001</c:v>
                </c:pt>
                <c:pt idx="47">
                  <c:v>2123.0919999999996</c:v>
                </c:pt>
                <c:pt idx="48">
                  <c:v>2062.0224000000003</c:v>
                </c:pt>
                <c:pt idx="49">
                  <c:v>1972.5226000000002</c:v>
                </c:pt>
                <c:pt idx="50">
                  <c:v>1894.7488000000001</c:v>
                </c:pt>
                <c:pt idx="51">
                  <c:v>1833.2486000000001</c:v>
                </c:pt>
                <c:pt idx="52">
                  <c:v>1775.6453999999999</c:v>
                </c:pt>
                <c:pt idx="53">
                  <c:v>1723.6525999999999</c:v>
                </c:pt>
                <c:pt idx="54">
                  <c:v>1671.4152000000001</c:v>
                </c:pt>
                <c:pt idx="55">
                  <c:v>1621.2999999999997</c:v>
                </c:pt>
                <c:pt idx="56">
                  <c:v>1557.9904000000001</c:v>
                </c:pt>
                <c:pt idx="57">
                  <c:v>1502.5004000000001</c:v>
                </c:pt>
                <c:pt idx="58">
                  <c:v>1441.3486</c:v>
                </c:pt>
                <c:pt idx="59">
                  <c:v>1392.0256000000002</c:v>
                </c:pt>
                <c:pt idx="60">
                  <c:v>1358.3218000000002</c:v>
                </c:pt>
                <c:pt idx="61">
                  <c:v>1347.4868000000001</c:v>
                </c:pt>
                <c:pt idx="62">
                  <c:v>1372.9258000000002</c:v>
                </c:pt>
                <c:pt idx="63">
                  <c:v>1460.1298000000002</c:v>
                </c:pt>
                <c:pt idx="64">
                  <c:v>1608.8412000000001</c:v>
                </c:pt>
                <c:pt idx="65">
                  <c:v>1661.2574</c:v>
                </c:pt>
                <c:pt idx="66">
                  <c:v>1608.5993999999998</c:v>
                </c:pt>
                <c:pt idx="67">
                  <c:v>1575.8799999999999</c:v>
                </c:pt>
                <c:pt idx="68">
                  <c:v>1710.7086000000004</c:v>
                </c:pt>
                <c:pt idx="69">
                  <c:v>2152.0008000000003</c:v>
                </c:pt>
                <c:pt idx="70">
                  <c:v>2764.7755999999999</c:v>
                </c:pt>
                <c:pt idx="71">
                  <c:v>3286.4972000000002</c:v>
                </c:pt>
                <c:pt idx="72">
                  <c:v>3480.6441999999997</c:v>
                </c:pt>
                <c:pt idx="73">
                  <c:v>3307.7472000000002</c:v>
                </c:pt>
                <c:pt idx="74">
                  <c:v>2981.2617999999993</c:v>
                </c:pt>
                <c:pt idx="75">
                  <c:v>2825.7941999999998</c:v>
                </c:pt>
                <c:pt idx="76">
                  <c:v>2923.1894000000002</c:v>
                </c:pt>
                <c:pt idx="77">
                  <c:v>3146.3553999999999</c:v>
                </c:pt>
                <c:pt idx="78">
                  <c:v>3403.1447999999996</c:v>
                </c:pt>
                <c:pt idx="79">
                  <c:v>3625.7621999999997</c:v>
                </c:pt>
                <c:pt idx="80">
                  <c:v>3753.4732000000004</c:v>
                </c:pt>
                <c:pt idx="81">
                  <c:v>3873.1251999999999</c:v>
                </c:pt>
                <c:pt idx="82">
                  <c:v>4044.8891999999992</c:v>
                </c:pt>
                <c:pt idx="83">
                  <c:v>4133.4286000000002</c:v>
                </c:pt>
                <c:pt idx="84">
                  <c:v>4009.9661999999998</c:v>
                </c:pt>
                <c:pt idx="85">
                  <c:v>3695.0320000000002</c:v>
                </c:pt>
                <c:pt idx="86">
                  <c:v>3276.7923999999998</c:v>
                </c:pt>
                <c:pt idx="87">
                  <c:v>2901.2244000000001</c:v>
                </c:pt>
                <c:pt idx="88">
                  <c:v>2654.2811999999999</c:v>
                </c:pt>
                <c:pt idx="89">
                  <c:v>2479.4562000000001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6\_dark_profiles_CO06_DARK" connectionId="1" xr16:uid="{A6F1D9EF-C978-4F04-B92B-ABD8623F7F7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6\_light_profiles_CO06_LIGHT" connectionId="2" xr16:uid="{465CB5CB-4DD7-4D1B-9780-3C19D3B13D9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E5" sqref="E5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-1.5109999999999999</v>
      </c>
      <c r="C3">
        <v>-0.29899999999999999</v>
      </c>
      <c r="D3">
        <v>-0.36499999999999999</v>
      </c>
      <c r="E3">
        <v>-1.466</v>
      </c>
      <c r="F3">
        <v>-1.387</v>
      </c>
      <c r="K3" t="s">
        <v>0</v>
      </c>
      <c r="L3">
        <v>-1.9239999999999999</v>
      </c>
      <c r="M3">
        <v>-1.1970000000000001</v>
      </c>
      <c r="N3">
        <v>-2.1880000000000002</v>
      </c>
      <c r="O3">
        <v>-2.383</v>
      </c>
      <c r="P3">
        <v>-1.661</v>
      </c>
    </row>
    <row r="4" spans="1:19" x14ac:dyDescent="0.25">
      <c r="A4" t="s">
        <v>1</v>
      </c>
      <c r="B4">
        <v>327.90100000000001</v>
      </c>
      <c r="C4">
        <v>327.03399999999999</v>
      </c>
      <c r="D4">
        <v>327.06599999999997</v>
      </c>
      <c r="E4">
        <v>327.56599999999997</v>
      </c>
      <c r="F4">
        <v>328.13799999999998</v>
      </c>
      <c r="H4" s="2">
        <f>AVERAGE(B4:F4)</f>
        <v>327.541</v>
      </c>
      <c r="I4" s="2">
        <f>STDEV(B4:F4)/SQRT(COUNT(B4:F4))</f>
        <v>0.22014858618669475</v>
      </c>
      <c r="K4" t="s">
        <v>1</v>
      </c>
      <c r="L4">
        <v>327.887</v>
      </c>
      <c r="M4">
        <v>326.60500000000002</v>
      </c>
      <c r="N4">
        <v>328.50799999999998</v>
      </c>
      <c r="O4">
        <v>328.10899999999998</v>
      </c>
      <c r="P4">
        <v>327.46300000000002</v>
      </c>
      <c r="R4" s="3">
        <f>AVERAGE(L4:P4)</f>
        <v>327.71439999999996</v>
      </c>
      <c r="S4" s="3">
        <f>STDEV(L4:P4)/SQRT(COUNT(L4:P4))</f>
        <v>0.32475153579312777</v>
      </c>
    </row>
    <row r="5" spans="1:19" x14ac:dyDescent="0.25">
      <c r="A5" t="s">
        <v>2</v>
      </c>
      <c r="B5">
        <v>64.549000000000007</v>
      </c>
      <c r="C5">
        <v>64.522999999999996</v>
      </c>
      <c r="D5">
        <v>63.85</v>
      </c>
      <c r="E5">
        <v>64.960999999999999</v>
      </c>
      <c r="F5">
        <v>63.862000000000002</v>
      </c>
      <c r="H5" s="2">
        <f t="shared" ref="H5:H68" si="0">AVERAGE(B5:F5)</f>
        <v>64.349000000000004</v>
      </c>
      <c r="I5" s="2">
        <f t="shared" ref="I5:I68" si="1">STDEV(B5:F5)/SQRT(COUNT(B5:F5))</f>
        <v>0.21575333137636557</v>
      </c>
      <c r="K5" t="s">
        <v>2</v>
      </c>
      <c r="L5">
        <v>64.204999999999998</v>
      </c>
      <c r="M5">
        <v>64.909000000000006</v>
      </c>
      <c r="N5">
        <v>63.820999999999998</v>
      </c>
      <c r="O5">
        <v>63.537999999999997</v>
      </c>
      <c r="P5">
        <v>63.616</v>
      </c>
      <c r="R5" s="3">
        <f t="shared" ref="R5:R68" si="2">AVERAGE(L5:P5)</f>
        <v>64.017799999999994</v>
      </c>
      <c r="S5" s="3">
        <f t="shared" ref="S5:S68" si="3">STDEV(L5:P5)/SQRT(COUNT(L5:P5))</f>
        <v>0.25096441978894279</v>
      </c>
    </row>
    <row r="6" spans="1:19" x14ac:dyDescent="0.25">
      <c r="A6" t="s">
        <v>3</v>
      </c>
      <c r="B6">
        <v>36.908000000000001</v>
      </c>
      <c r="C6">
        <v>35.014000000000003</v>
      </c>
      <c r="D6">
        <v>37.399000000000001</v>
      </c>
      <c r="E6">
        <v>35.643999999999998</v>
      </c>
      <c r="F6">
        <v>34.823999999999998</v>
      </c>
      <c r="H6" s="2">
        <f t="shared" si="0"/>
        <v>35.957799999999999</v>
      </c>
      <c r="I6" s="2">
        <f t="shared" si="1"/>
        <v>0.51257530178501598</v>
      </c>
      <c r="K6" t="s">
        <v>3</v>
      </c>
      <c r="L6">
        <v>37.292999999999999</v>
      </c>
      <c r="M6">
        <v>35.722999999999999</v>
      </c>
      <c r="N6">
        <v>35.255000000000003</v>
      </c>
      <c r="O6">
        <v>34.713000000000001</v>
      </c>
      <c r="P6">
        <v>35.637</v>
      </c>
      <c r="R6" s="3">
        <f t="shared" si="2"/>
        <v>35.724199999999996</v>
      </c>
      <c r="S6" s="3">
        <f t="shared" si="3"/>
        <v>0.43077910812851594</v>
      </c>
    </row>
    <row r="7" spans="1:19" x14ac:dyDescent="0.25">
      <c r="A7">
        <v>-3.75</v>
      </c>
      <c r="B7">
        <v>912.64</v>
      </c>
      <c r="C7">
        <v>1152.915</v>
      </c>
      <c r="D7">
        <v>1040.462</v>
      </c>
      <c r="E7">
        <v>958.64200000000005</v>
      </c>
      <c r="F7">
        <v>840.91200000000003</v>
      </c>
      <c r="H7" s="2">
        <f t="shared" si="0"/>
        <v>981.11419999999998</v>
      </c>
      <c r="I7" s="2">
        <f t="shared" si="1"/>
        <v>53.799651006674907</v>
      </c>
      <c r="K7">
        <v>-3.75</v>
      </c>
      <c r="L7">
        <v>1025.55</v>
      </c>
      <c r="M7">
        <v>923.22400000000005</v>
      </c>
      <c r="N7">
        <v>745.18399999999997</v>
      </c>
      <c r="O7">
        <v>937.85</v>
      </c>
      <c r="P7">
        <v>940.44399999999996</v>
      </c>
      <c r="R7" s="3">
        <f t="shared" si="2"/>
        <v>914.45039999999995</v>
      </c>
      <c r="S7" s="3">
        <f t="shared" si="3"/>
        <v>45.986095652491109</v>
      </c>
    </row>
    <row r="8" spans="1:19" x14ac:dyDescent="0.25">
      <c r="A8">
        <v>-2.5</v>
      </c>
      <c r="B8">
        <v>1142.298</v>
      </c>
      <c r="C8">
        <v>1462.2059999999999</v>
      </c>
      <c r="D8">
        <v>1276.2239999999999</v>
      </c>
      <c r="E8">
        <v>1173.152</v>
      </c>
      <c r="F8">
        <v>1113.847</v>
      </c>
      <c r="H8" s="2">
        <f t="shared" si="0"/>
        <v>1233.5454</v>
      </c>
      <c r="I8" s="2">
        <f t="shared" si="1"/>
        <v>63.406738846592326</v>
      </c>
      <c r="K8">
        <v>-2.5</v>
      </c>
      <c r="L8">
        <v>1259.518</v>
      </c>
      <c r="M8">
        <v>1100.7909999999999</v>
      </c>
      <c r="N8">
        <v>814.26199999999994</v>
      </c>
      <c r="O8">
        <v>1118.5940000000001</v>
      </c>
      <c r="P8">
        <v>1220.2370000000001</v>
      </c>
      <c r="R8" s="3">
        <f t="shared" si="2"/>
        <v>1102.6804</v>
      </c>
      <c r="S8" s="3">
        <f t="shared" si="3"/>
        <v>78.057534208172314</v>
      </c>
    </row>
    <row r="9" spans="1:19" x14ac:dyDescent="0.25">
      <c r="A9">
        <v>-1.25</v>
      </c>
      <c r="B9">
        <v>1535.3130000000001</v>
      </c>
      <c r="C9">
        <v>1981.269</v>
      </c>
      <c r="D9">
        <v>1817.5709999999999</v>
      </c>
      <c r="E9">
        <v>1606.7639999999999</v>
      </c>
      <c r="F9">
        <v>1563.33</v>
      </c>
      <c r="H9" s="2">
        <f t="shared" si="0"/>
        <v>1700.8493999999998</v>
      </c>
      <c r="I9" s="2">
        <f t="shared" si="1"/>
        <v>85.855993257664423</v>
      </c>
      <c r="K9">
        <v>-1.25</v>
      </c>
      <c r="L9">
        <v>1789.0029999999999</v>
      </c>
      <c r="M9">
        <v>1555.8040000000001</v>
      </c>
      <c r="N9">
        <v>1174.826</v>
      </c>
      <c r="O9">
        <v>1513.2349999999999</v>
      </c>
      <c r="P9">
        <v>1636.3920000000001</v>
      </c>
      <c r="R9" s="3">
        <f t="shared" si="2"/>
        <v>1533.8519999999999</v>
      </c>
      <c r="S9" s="3">
        <f t="shared" si="3"/>
        <v>101.34670790657196</v>
      </c>
    </row>
    <row r="10" spans="1:19" x14ac:dyDescent="0.25">
      <c r="A10">
        <v>0</v>
      </c>
      <c r="B10">
        <v>2022.8109999999999</v>
      </c>
      <c r="C10">
        <v>2511.703</v>
      </c>
      <c r="D10">
        <v>2427.7080000000001</v>
      </c>
      <c r="E10">
        <v>2087.2359999999999</v>
      </c>
      <c r="F10">
        <v>2056.3890000000001</v>
      </c>
      <c r="H10" s="2">
        <f t="shared" si="0"/>
        <v>2221.1693999999998</v>
      </c>
      <c r="I10" s="2">
        <f t="shared" si="1"/>
        <v>102.83597539995426</v>
      </c>
      <c r="K10">
        <v>0</v>
      </c>
      <c r="L10">
        <v>2481.1210000000001</v>
      </c>
      <c r="M10">
        <v>2114.7060000000001</v>
      </c>
      <c r="N10">
        <v>1642.932</v>
      </c>
      <c r="O10">
        <v>1970.8879999999999</v>
      </c>
      <c r="P10">
        <v>2169.8890000000001</v>
      </c>
      <c r="R10" s="3">
        <f t="shared" si="2"/>
        <v>2075.9072000000001</v>
      </c>
      <c r="S10" s="3">
        <f t="shared" si="3"/>
        <v>136.57098987464454</v>
      </c>
    </row>
    <row r="11" spans="1:19" x14ac:dyDescent="0.25">
      <c r="A11">
        <v>1.25</v>
      </c>
      <c r="B11">
        <v>2550.86</v>
      </c>
      <c r="C11">
        <v>3059.6909999999998</v>
      </c>
      <c r="D11">
        <v>3113.395</v>
      </c>
      <c r="E11">
        <v>2589.4290000000001</v>
      </c>
      <c r="F11">
        <v>2552.7139999999999</v>
      </c>
      <c r="H11" s="2">
        <f t="shared" si="0"/>
        <v>2773.2177999999999</v>
      </c>
      <c r="I11" s="2">
        <f t="shared" si="1"/>
        <v>128.38042330487926</v>
      </c>
      <c r="K11">
        <v>1.25</v>
      </c>
      <c r="L11">
        <v>3148.4659999999999</v>
      </c>
      <c r="M11">
        <v>2620.5990000000002</v>
      </c>
      <c r="N11">
        <v>2084.373</v>
      </c>
      <c r="O11">
        <v>2424.9639999999999</v>
      </c>
      <c r="P11">
        <v>2700.768</v>
      </c>
      <c r="R11" s="3">
        <f t="shared" si="2"/>
        <v>2595.8339999999998</v>
      </c>
      <c r="S11" s="3">
        <f t="shared" si="3"/>
        <v>174.32949957279064</v>
      </c>
    </row>
    <row r="12" spans="1:19" x14ac:dyDescent="0.25">
      <c r="A12">
        <v>2.5</v>
      </c>
      <c r="B12">
        <v>2914.7269999999999</v>
      </c>
      <c r="C12">
        <v>3434.748</v>
      </c>
      <c r="D12">
        <v>3581.59</v>
      </c>
      <c r="E12">
        <v>2921.37</v>
      </c>
      <c r="F12">
        <v>2931.2049999999999</v>
      </c>
      <c r="H12" s="2">
        <f t="shared" si="0"/>
        <v>3156.7280000000001</v>
      </c>
      <c r="I12" s="2">
        <f t="shared" si="1"/>
        <v>145.36528731750235</v>
      </c>
      <c r="K12">
        <v>2.5</v>
      </c>
      <c r="L12">
        <v>3549.0059999999999</v>
      </c>
      <c r="M12">
        <v>2993.9369999999999</v>
      </c>
      <c r="N12">
        <v>2414.1460000000002</v>
      </c>
      <c r="O12">
        <v>2742.0279999999998</v>
      </c>
      <c r="P12">
        <v>3028.1469999999999</v>
      </c>
      <c r="R12" s="3">
        <f t="shared" si="2"/>
        <v>2945.4528</v>
      </c>
      <c r="S12" s="3">
        <f t="shared" si="3"/>
        <v>186.69950168315916</v>
      </c>
    </row>
    <row r="13" spans="1:19" x14ac:dyDescent="0.25">
      <c r="A13">
        <v>3.75</v>
      </c>
      <c r="B13">
        <v>3060.136</v>
      </c>
      <c r="C13">
        <v>3690.9949999999999</v>
      </c>
      <c r="D13">
        <v>3765.98</v>
      </c>
      <c r="E13">
        <v>3087.5770000000002</v>
      </c>
      <c r="F13">
        <v>3150.5549999999998</v>
      </c>
      <c r="H13" s="2">
        <f t="shared" si="0"/>
        <v>3351.0485999999996</v>
      </c>
      <c r="I13" s="2">
        <f t="shared" si="1"/>
        <v>155.23799954669602</v>
      </c>
      <c r="K13">
        <v>3.75</v>
      </c>
      <c r="L13">
        <v>3733.09</v>
      </c>
      <c r="M13">
        <v>3170.3090000000002</v>
      </c>
      <c r="N13">
        <v>2588.1419999999998</v>
      </c>
      <c r="O13">
        <v>2932.4389999999999</v>
      </c>
      <c r="P13">
        <v>3243.8980000000001</v>
      </c>
      <c r="R13" s="3">
        <f t="shared" si="2"/>
        <v>3133.5756000000001</v>
      </c>
      <c r="S13" s="3">
        <f t="shared" si="3"/>
        <v>188.53270728088515</v>
      </c>
    </row>
    <row r="14" spans="1:19" x14ac:dyDescent="0.25">
      <c r="A14">
        <v>5</v>
      </c>
      <c r="B14">
        <v>3107.8429999999998</v>
      </c>
      <c r="C14">
        <v>3839.1889999999999</v>
      </c>
      <c r="D14">
        <v>3879.491</v>
      </c>
      <c r="E14">
        <v>3177.3249999999998</v>
      </c>
      <c r="F14">
        <v>3242.4389999999999</v>
      </c>
      <c r="H14" s="2">
        <f t="shared" si="0"/>
        <v>3449.2573999999995</v>
      </c>
      <c r="I14" s="2">
        <f t="shared" si="1"/>
        <v>168.88346226365687</v>
      </c>
      <c r="K14">
        <v>5</v>
      </c>
      <c r="L14">
        <v>3831.34</v>
      </c>
      <c r="M14">
        <v>3208.2669999999998</v>
      </c>
      <c r="N14">
        <v>2645.3820000000001</v>
      </c>
      <c r="O14">
        <v>3019.9090000000001</v>
      </c>
      <c r="P14">
        <v>3344.143</v>
      </c>
      <c r="R14" s="3">
        <f t="shared" si="2"/>
        <v>3209.8081999999999</v>
      </c>
      <c r="S14" s="3">
        <f t="shared" si="3"/>
        <v>194.80613871318505</v>
      </c>
    </row>
    <row r="15" spans="1:19" x14ac:dyDescent="0.25">
      <c r="A15">
        <v>6.25</v>
      </c>
      <c r="B15">
        <v>3140.87</v>
      </c>
      <c r="C15">
        <v>3865.5030000000002</v>
      </c>
      <c r="D15">
        <v>3926.83</v>
      </c>
      <c r="E15">
        <v>3207.1019999999999</v>
      </c>
      <c r="F15">
        <v>3260.7660000000001</v>
      </c>
      <c r="H15" s="2">
        <f t="shared" si="0"/>
        <v>3480.2141999999999</v>
      </c>
      <c r="I15" s="2">
        <f t="shared" si="1"/>
        <v>171.14546511094008</v>
      </c>
      <c r="K15">
        <v>6.25</v>
      </c>
      <c r="L15">
        <v>3893.2150000000001</v>
      </c>
      <c r="M15">
        <v>3253.4589999999998</v>
      </c>
      <c r="N15">
        <v>2673.3409999999999</v>
      </c>
      <c r="O15">
        <v>3060.348</v>
      </c>
      <c r="P15">
        <v>3375.98</v>
      </c>
      <c r="R15" s="3">
        <f t="shared" si="2"/>
        <v>3251.2685999999999</v>
      </c>
      <c r="S15" s="3">
        <f t="shared" si="3"/>
        <v>199.76284664086239</v>
      </c>
    </row>
    <row r="16" spans="1:19" x14ac:dyDescent="0.25">
      <c r="A16">
        <v>7.5</v>
      </c>
      <c r="B16">
        <v>3122.433</v>
      </c>
      <c r="C16">
        <v>3803.4960000000001</v>
      </c>
      <c r="D16">
        <v>3871.34</v>
      </c>
      <c r="E16">
        <v>3163.8110000000001</v>
      </c>
      <c r="F16">
        <v>3195.2280000000001</v>
      </c>
      <c r="H16" s="2">
        <f t="shared" si="0"/>
        <v>3431.2616000000003</v>
      </c>
      <c r="I16" s="2">
        <f t="shared" si="1"/>
        <v>166.55993435355336</v>
      </c>
      <c r="K16">
        <v>7.5</v>
      </c>
      <c r="L16">
        <v>3870.7159999999999</v>
      </c>
      <c r="M16">
        <v>3238.2640000000001</v>
      </c>
      <c r="N16">
        <v>2635.2559999999999</v>
      </c>
      <c r="O16">
        <v>3040.7840000000001</v>
      </c>
      <c r="P16">
        <v>3338.7559999999999</v>
      </c>
      <c r="R16" s="3">
        <f t="shared" si="2"/>
        <v>3224.7551999999996</v>
      </c>
      <c r="S16" s="3">
        <f t="shared" si="3"/>
        <v>201.469443644043</v>
      </c>
    </row>
    <row r="17" spans="1:19" x14ac:dyDescent="0.25">
      <c r="A17">
        <v>8.75</v>
      </c>
      <c r="B17">
        <v>2926.933</v>
      </c>
      <c r="C17">
        <v>3565.9650000000001</v>
      </c>
      <c r="D17">
        <v>3613.8609999999999</v>
      </c>
      <c r="E17">
        <v>2963.8629999999998</v>
      </c>
      <c r="F17">
        <v>2946.3150000000001</v>
      </c>
      <c r="H17" s="2">
        <f t="shared" si="0"/>
        <v>3203.3874000000001</v>
      </c>
      <c r="I17" s="2">
        <f t="shared" si="1"/>
        <v>158.08799521709423</v>
      </c>
      <c r="K17">
        <v>8.75</v>
      </c>
      <c r="L17">
        <v>3647.6469999999999</v>
      </c>
      <c r="M17">
        <v>3037.98</v>
      </c>
      <c r="N17">
        <v>2492.7559999999999</v>
      </c>
      <c r="O17">
        <v>2887.51</v>
      </c>
      <c r="P17">
        <v>3155.6590000000001</v>
      </c>
      <c r="R17" s="3">
        <f t="shared" si="2"/>
        <v>3044.3103999999998</v>
      </c>
      <c r="S17" s="3">
        <f t="shared" si="3"/>
        <v>187.78342035243816</v>
      </c>
    </row>
    <row r="18" spans="1:19" x14ac:dyDescent="0.25">
      <c r="A18">
        <v>10</v>
      </c>
      <c r="B18">
        <v>2555.7919999999999</v>
      </c>
      <c r="C18">
        <v>3142.098</v>
      </c>
      <c r="D18">
        <v>3164.68</v>
      </c>
      <c r="E18">
        <v>2615.3760000000002</v>
      </c>
      <c r="F18">
        <v>2599.64</v>
      </c>
      <c r="H18" s="2">
        <f t="shared" si="0"/>
        <v>2815.5171999999998</v>
      </c>
      <c r="I18" s="2">
        <f t="shared" si="1"/>
        <v>138.32684568889727</v>
      </c>
      <c r="K18">
        <v>10</v>
      </c>
      <c r="L18">
        <v>3176.5990000000002</v>
      </c>
      <c r="M18">
        <v>2700.5859999999998</v>
      </c>
      <c r="N18">
        <v>2248.1770000000001</v>
      </c>
      <c r="O18">
        <v>2571.1840000000002</v>
      </c>
      <c r="P18">
        <v>2800.0830000000001</v>
      </c>
      <c r="R18" s="3">
        <f t="shared" si="2"/>
        <v>2699.3257999999996</v>
      </c>
      <c r="S18" s="3">
        <f t="shared" si="3"/>
        <v>151.31075136004171</v>
      </c>
    </row>
    <row r="19" spans="1:19" x14ac:dyDescent="0.25">
      <c r="A19">
        <v>11.25</v>
      </c>
      <c r="B19">
        <v>2290.1170000000002</v>
      </c>
      <c r="C19">
        <v>2782.127</v>
      </c>
      <c r="D19">
        <v>2817.1529999999998</v>
      </c>
      <c r="E19">
        <v>2339.6660000000002</v>
      </c>
      <c r="F19">
        <v>2312.3780000000002</v>
      </c>
      <c r="H19" s="2">
        <f t="shared" si="0"/>
        <v>2508.2882000000004</v>
      </c>
      <c r="I19" s="2">
        <f t="shared" si="1"/>
        <v>119.33106853849915</v>
      </c>
      <c r="K19">
        <v>11.25</v>
      </c>
      <c r="L19">
        <v>2841.4459999999999</v>
      </c>
      <c r="M19">
        <v>2396.7429999999999</v>
      </c>
      <c r="N19">
        <v>2035.585</v>
      </c>
      <c r="O19">
        <v>2334.404</v>
      </c>
      <c r="P19">
        <v>2509.596</v>
      </c>
      <c r="R19" s="3">
        <f t="shared" si="2"/>
        <v>2423.5547999999999</v>
      </c>
      <c r="S19" s="3">
        <f t="shared" si="3"/>
        <v>130.61842262996441</v>
      </c>
    </row>
    <row r="20" spans="1:19" x14ac:dyDescent="0.25">
      <c r="A20">
        <v>12.5</v>
      </c>
      <c r="B20">
        <v>2166.5770000000002</v>
      </c>
      <c r="C20">
        <v>2642</v>
      </c>
      <c r="D20">
        <v>2675.1149999999998</v>
      </c>
      <c r="E20">
        <v>2217.7049999999999</v>
      </c>
      <c r="F20">
        <v>2194.759</v>
      </c>
      <c r="H20" s="2">
        <f t="shared" si="0"/>
        <v>2379.2312000000002</v>
      </c>
      <c r="I20" s="2">
        <f t="shared" si="1"/>
        <v>114.44150907620883</v>
      </c>
      <c r="K20">
        <v>12.5</v>
      </c>
      <c r="L20">
        <v>2710.05</v>
      </c>
      <c r="M20">
        <v>2251.8180000000002</v>
      </c>
      <c r="N20">
        <v>1952.954</v>
      </c>
      <c r="O20">
        <v>2254.7620000000002</v>
      </c>
      <c r="P20">
        <v>2408.5459999999998</v>
      </c>
      <c r="R20" s="3">
        <f t="shared" si="2"/>
        <v>2315.6260000000002</v>
      </c>
      <c r="S20" s="3">
        <f t="shared" si="3"/>
        <v>123.18914017071457</v>
      </c>
    </row>
    <row r="21" spans="1:19" x14ac:dyDescent="0.25">
      <c r="A21">
        <v>13.75</v>
      </c>
      <c r="B21">
        <v>2150.71</v>
      </c>
      <c r="C21">
        <v>2621.018</v>
      </c>
      <c r="D21">
        <v>2649.8490000000002</v>
      </c>
      <c r="E21">
        <v>2185.116</v>
      </c>
      <c r="F21">
        <v>2187.29</v>
      </c>
      <c r="H21" s="2">
        <f t="shared" si="0"/>
        <v>2358.7966000000001</v>
      </c>
      <c r="I21" s="2">
        <f t="shared" si="1"/>
        <v>113.21463242955834</v>
      </c>
      <c r="K21">
        <v>13.75</v>
      </c>
      <c r="L21">
        <v>2695.7530000000002</v>
      </c>
      <c r="M21">
        <v>2224.1370000000002</v>
      </c>
      <c r="N21">
        <v>1932.71</v>
      </c>
      <c r="O21">
        <v>2229.444</v>
      </c>
      <c r="P21">
        <v>2376.6959999999999</v>
      </c>
      <c r="R21" s="3">
        <f t="shared" si="2"/>
        <v>2291.748</v>
      </c>
      <c r="S21" s="3">
        <f t="shared" si="3"/>
        <v>124.05593978322861</v>
      </c>
    </row>
    <row r="22" spans="1:19" x14ac:dyDescent="0.25">
      <c r="A22">
        <v>15</v>
      </c>
      <c r="B22">
        <v>2155.7649999999999</v>
      </c>
      <c r="C22">
        <v>2626.48</v>
      </c>
      <c r="D22">
        <v>2655.7910000000002</v>
      </c>
      <c r="E22">
        <v>2185.4560000000001</v>
      </c>
      <c r="F22">
        <v>2193.2060000000001</v>
      </c>
      <c r="H22" s="2">
        <f t="shared" si="0"/>
        <v>2363.3396000000002</v>
      </c>
      <c r="I22" s="2">
        <f t="shared" si="1"/>
        <v>113.67627787652094</v>
      </c>
      <c r="K22">
        <v>15</v>
      </c>
      <c r="L22">
        <v>2708.8989999999999</v>
      </c>
      <c r="M22">
        <v>2229.7539999999999</v>
      </c>
      <c r="N22">
        <v>1933.423</v>
      </c>
      <c r="O22">
        <v>2209.2809999999999</v>
      </c>
      <c r="P22">
        <v>2365.8560000000002</v>
      </c>
      <c r="R22" s="3">
        <f t="shared" si="2"/>
        <v>2289.4425999999999</v>
      </c>
      <c r="S22" s="3">
        <f t="shared" si="3"/>
        <v>126.19850353098499</v>
      </c>
    </row>
    <row r="23" spans="1:19" x14ac:dyDescent="0.25">
      <c r="A23">
        <v>16.25</v>
      </c>
      <c r="B23">
        <v>2151.7620000000002</v>
      </c>
      <c r="C23">
        <v>2634.6370000000002</v>
      </c>
      <c r="D23">
        <v>2660.7629999999999</v>
      </c>
      <c r="E23">
        <v>2202.9229999999998</v>
      </c>
      <c r="F23">
        <v>2193.038</v>
      </c>
      <c r="H23" s="2">
        <f t="shared" si="0"/>
        <v>2368.6246000000001</v>
      </c>
      <c r="I23" s="2">
        <f t="shared" si="1"/>
        <v>114.32945887416768</v>
      </c>
      <c r="K23">
        <v>16.25</v>
      </c>
      <c r="L23">
        <v>2715.3180000000002</v>
      </c>
      <c r="M23">
        <v>2233.5740000000001</v>
      </c>
      <c r="N23">
        <v>1929.7840000000001</v>
      </c>
      <c r="O23">
        <v>2206.933</v>
      </c>
      <c r="P23">
        <v>2382.5439999999999</v>
      </c>
      <c r="R23" s="3">
        <f t="shared" si="2"/>
        <v>2293.6306</v>
      </c>
      <c r="S23" s="3">
        <f t="shared" si="3"/>
        <v>128.30305401649633</v>
      </c>
    </row>
    <row r="24" spans="1:19" x14ac:dyDescent="0.25">
      <c r="A24">
        <v>17.5</v>
      </c>
      <c r="B24">
        <v>2160.9160000000002</v>
      </c>
      <c r="C24">
        <v>2641.8150000000001</v>
      </c>
      <c r="D24">
        <v>2656.402</v>
      </c>
      <c r="E24">
        <v>2215.998</v>
      </c>
      <c r="F24">
        <v>2189.5810000000001</v>
      </c>
      <c r="H24" s="2">
        <f t="shared" si="0"/>
        <v>2372.9423999999999</v>
      </c>
      <c r="I24" s="2">
        <f t="shared" si="1"/>
        <v>113.10392607270535</v>
      </c>
      <c r="K24">
        <v>17.5</v>
      </c>
      <c r="L24">
        <v>2740.7420000000002</v>
      </c>
      <c r="M24">
        <v>2236.6889999999999</v>
      </c>
      <c r="N24">
        <v>1947.4259999999999</v>
      </c>
      <c r="O24">
        <v>2219.2260000000001</v>
      </c>
      <c r="P24">
        <v>2405.0889999999999</v>
      </c>
      <c r="R24" s="3">
        <f t="shared" si="2"/>
        <v>2309.8344000000002</v>
      </c>
      <c r="S24" s="3">
        <f t="shared" si="3"/>
        <v>130.31783811919186</v>
      </c>
    </row>
    <row r="25" spans="1:19" x14ac:dyDescent="0.25">
      <c r="A25">
        <v>18.75</v>
      </c>
      <c r="B25">
        <v>2153.8580000000002</v>
      </c>
      <c r="C25">
        <v>2634.616</v>
      </c>
      <c r="D25">
        <v>2653.0650000000001</v>
      </c>
      <c r="E25">
        <v>2197.3319999999999</v>
      </c>
      <c r="F25">
        <v>2185.6149999999998</v>
      </c>
      <c r="H25" s="2">
        <f t="shared" si="0"/>
        <v>2364.8972000000003</v>
      </c>
      <c r="I25" s="2">
        <f t="shared" si="1"/>
        <v>114.1373425866399</v>
      </c>
      <c r="K25">
        <v>18.75</v>
      </c>
      <c r="L25">
        <v>2741.4720000000002</v>
      </c>
      <c r="M25">
        <v>2221.5010000000002</v>
      </c>
      <c r="N25">
        <v>1942.925</v>
      </c>
      <c r="O25">
        <v>2227.701</v>
      </c>
      <c r="P25">
        <v>2396.636</v>
      </c>
      <c r="R25" s="3">
        <f t="shared" si="2"/>
        <v>2306.047</v>
      </c>
      <c r="S25" s="3">
        <f t="shared" si="3"/>
        <v>130.94750976288182</v>
      </c>
    </row>
    <row r="26" spans="1:19" x14ac:dyDescent="0.25">
      <c r="A26">
        <v>20</v>
      </c>
      <c r="B26">
        <v>2141.627</v>
      </c>
      <c r="C26">
        <v>2621.7109999999998</v>
      </c>
      <c r="D26">
        <v>2645.6819999999998</v>
      </c>
      <c r="E26">
        <v>2182.067</v>
      </c>
      <c r="F26">
        <v>2178.48</v>
      </c>
      <c r="H26" s="2">
        <f t="shared" si="0"/>
        <v>2353.9133999999999</v>
      </c>
      <c r="I26" s="2">
        <f t="shared" si="1"/>
        <v>114.50284912725967</v>
      </c>
      <c r="K26">
        <v>20</v>
      </c>
      <c r="L26">
        <v>2723.3229999999999</v>
      </c>
      <c r="M26">
        <v>2201.8829999999998</v>
      </c>
      <c r="N26">
        <v>1917.865</v>
      </c>
      <c r="O26">
        <v>2219.0590000000002</v>
      </c>
      <c r="P26">
        <v>2385.8420000000001</v>
      </c>
      <c r="R26" s="3">
        <f t="shared" si="2"/>
        <v>2289.5944000000004</v>
      </c>
      <c r="S26" s="3">
        <f t="shared" si="3"/>
        <v>131.95366196722162</v>
      </c>
    </row>
    <row r="27" spans="1:19" x14ac:dyDescent="0.25">
      <c r="A27">
        <v>21.25</v>
      </c>
      <c r="B27">
        <v>2125.654</v>
      </c>
      <c r="C27">
        <v>2608.38</v>
      </c>
      <c r="D27">
        <v>2616.7539999999999</v>
      </c>
      <c r="E27">
        <v>2173.33</v>
      </c>
      <c r="F27">
        <v>2169.8359999999998</v>
      </c>
      <c r="H27" s="2">
        <f t="shared" si="0"/>
        <v>2338.7907999999998</v>
      </c>
      <c r="I27" s="2">
        <f t="shared" si="1"/>
        <v>112.0919652795864</v>
      </c>
      <c r="K27">
        <v>21.25</v>
      </c>
      <c r="L27">
        <v>2697.48</v>
      </c>
      <c r="M27">
        <v>2185.4470000000001</v>
      </c>
      <c r="N27">
        <v>1900.576</v>
      </c>
      <c r="O27">
        <v>2224.1909999999998</v>
      </c>
      <c r="P27">
        <v>2390.3200000000002</v>
      </c>
      <c r="R27" s="3">
        <f t="shared" si="2"/>
        <v>2279.6027999999997</v>
      </c>
      <c r="S27" s="3">
        <f t="shared" si="3"/>
        <v>130.85808152857879</v>
      </c>
    </row>
    <row r="28" spans="1:19" x14ac:dyDescent="0.25">
      <c r="A28">
        <v>22.5</v>
      </c>
      <c r="B28">
        <v>2118.1590000000001</v>
      </c>
      <c r="C28">
        <v>2601.2240000000002</v>
      </c>
      <c r="D28">
        <v>2592.904</v>
      </c>
      <c r="E28">
        <v>2156.1669999999999</v>
      </c>
      <c r="F28">
        <v>2155.261</v>
      </c>
      <c r="H28" s="2">
        <f t="shared" si="0"/>
        <v>2324.7429999999999</v>
      </c>
      <c r="I28" s="2">
        <f t="shared" si="1"/>
        <v>111.3936781056268</v>
      </c>
      <c r="K28">
        <v>22.5</v>
      </c>
      <c r="L28">
        <v>2686.5149999999999</v>
      </c>
      <c r="M28">
        <v>2204.1120000000001</v>
      </c>
      <c r="N28">
        <v>1911.135</v>
      </c>
      <c r="O28">
        <v>2231.4340000000002</v>
      </c>
      <c r="P28">
        <v>2402.114</v>
      </c>
      <c r="R28" s="3">
        <f t="shared" si="2"/>
        <v>2287.0619999999999</v>
      </c>
      <c r="S28" s="3">
        <f t="shared" si="3"/>
        <v>127.29806521035569</v>
      </c>
    </row>
    <row r="29" spans="1:19" x14ac:dyDescent="0.25">
      <c r="A29">
        <v>23.75</v>
      </c>
      <c r="B29">
        <v>2139.7429999999999</v>
      </c>
      <c r="C29">
        <v>2615.1660000000002</v>
      </c>
      <c r="D29">
        <v>2603.1019999999999</v>
      </c>
      <c r="E29">
        <v>2154.866</v>
      </c>
      <c r="F29">
        <v>2164.4059999999999</v>
      </c>
      <c r="H29" s="2">
        <f t="shared" si="0"/>
        <v>2335.4566</v>
      </c>
      <c r="I29" s="2">
        <f t="shared" si="1"/>
        <v>111.81379485179815</v>
      </c>
      <c r="K29">
        <v>23.75</v>
      </c>
      <c r="L29">
        <v>2712.1170000000002</v>
      </c>
      <c r="M29">
        <v>2238.605</v>
      </c>
      <c r="N29">
        <v>1938.749</v>
      </c>
      <c r="O29">
        <v>2245.4780000000001</v>
      </c>
      <c r="P29">
        <v>2424.3890000000001</v>
      </c>
      <c r="R29" s="3">
        <f t="shared" si="2"/>
        <v>2311.8676</v>
      </c>
      <c r="S29" s="3">
        <f t="shared" si="3"/>
        <v>126.85683364943442</v>
      </c>
    </row>
    <row r="30" spans="1:19" x14ac:dyDescent="0.25">
      <c r="A30">
        <v>25</v>
      </c>
      <c r="B30">
        <v>2168.087</v>
      </c>
      <c r="C30">
        <v>2650.8240000000001</v>
      </c>
      <c r="D30">
        <v>2634.3090000000002</v>
      </c>
      <c r="E30">
        <v>2183.355</v>
      </c>
      <c r="F30">
        <v>2211.3809999999999</v>
      </c>
      <c r="H30" s="2">
        <f t="shared" si="0"/>
        <v>2369.5911999999998</v>
      </c>
      <c r="I30" s="2">
        <f t="shared" si="1"/>
        <v>111.68834621946917</v>
      </c>
      <c r="K30">
        <v>25</v>
      </c>
      <c r="L30">
        <v>2747.4459999999999</v>
      </c>
      <c r="M30">
        <v>2280.2629999999999</v>
      </c>
      <c r="N30">
        <v>1950.6659999999999</v>
      </c>
      <c r="O30">
        <v>2255.2339999999999</v>
      </c>
      <c r="P30">
        <v>2458.067</v>
      </c>
      <c r="R30" s="3">
        <f t="shared" si="2"/>
        <v>2338.3352</v>
      </c>
      <c r="S30" s="3">
        <f t="shared" si="3"/>
        <v>130.81914024537937</v>
      </c>
    </row>
    <row r="31" spans="1:19" x14ac:dyDescent="0.25">
      <c r="A31">
        <v>26.25</v>
      </c>
      <c r="B31">
        <v>2199.7220000000002</v>
      </c>
      <c r="C31">
        <v>2687.3429999999998</v>
      </c>
      <c r="D31">
        <v>2662.74</v>
      </c>
      <c r="E31">
        <v>2207.5859999999998</v>
      </c>
      <c r="F31">
        <v>2249.7910000000002</v>
      </c>
      <c r="H31" s="2">
        <f t="shared" si="0"/>
        <v>2401.4364</v>
      </c>
      <c r="I31" s="2">
        <f t="shared" si="1"/>
        <v>112.090400879201</v>
      </c>
      <c r="K31">
        <v>26.25</v>
      </c>
      <c r="L31">
        <v>2784.5590000000002</v>
      </c>
      <c r="M31">
        <v>2302.6590000000001</v>
      </c>
      <c r="N31">
        <v>1974.4459999999999</v>
      </c>
      <c r="O31">
        <v>2266.9209999999998</v>
      </c>
      <c r="P31">
        <v>2500.9479999999999</v>
      </c>
      <c r="R31" s="3">
        <f t="shared" si="2"/>
        <v>2365.9066000000003</v>
      </c>
      <c r="S31" s="3">
        <f t="shared" si="3"/>
        <v>134.26574786690742</v>
      </c>
    </row>
    <row r="32" spans="1:19" x14ac:dyDescent="0.25">
      <c r="A32">
        <v>27.5</v>
      </c>
      <c r="B32">
        <v>2221.4830000000002</v>
      </c>
      <c r="C32">
        <v>2720.5239999999999</v>
      </c>
      <c r="D32">
        <v>2688.0160000000001</v>
      </c>
      <c r="E32">
        <v>2232.6570000000002</v>
      </c>
      <c r="F32">
        <v>2268.5369999999998</v>
      </c>
      <c r="H32" s="2">
        <f t="shared" si="0"/>
        <v>2426.2434000000003</v>
      </c>
      <c r="I32" s="2">
        <f t="shared" si="1"/>
        <v>113.8858617039885</v>
      </c>
      <c r="K32">
        <v>27.5</v>
      </c>
      <c r="L32">
        <v>2808.6410000000001</v>
      </c>
      <c r="M32">
        <v>2303.2310000000002</v>
      </c>
      <c r="N32">
        <v>1988.1849999999999</v>
      </c>
      <c r="O32">
        <v>2281.8040000000001</v>
      </c>
      <c r="P32">
        <v>2519.1419999999998</v>
      </c>
      <c r="R32" s="3">
        <f t="shared" si="2"/>
        <v>2380.2006000000001</v>
      </c>
      <c r="S32" s="3">
        <f t="shared" si="3"/>
        <v>136.40900443980846</v>
      </c>
    </row>
    <row r="33" spans="1:19" x14ac:dyDescent="0.25">
      <c r="A33">
        <v>28.75</v>
      </c>
      <c r="B33">
        <v>2229.442</v>
      </c>
      <c r="C33">
        <v>2725.692</v>
      </c>
      <c r="D33">
        <v>2715.4169999999999</v>
      </c>
      <c r="E33">
        <v>2242.538</v>
      </c>
      <c r="F33">
        <v>2280.047</v>
      </c>
      <c r="H33" s="2">
        <f t="shared" si="0"/>
        <v>2438.6271999999999</v>
      </c>
      <c r="I33" s="2">
        <f t="shared" si="1"/>
        <v>115.40708272692797</v>
      </c>
      <c r="K33">
        <v>28.75</v>
      </c>
      <c r="L33">
        <v>2834.08</v>
      </c>
      <c r="M33">
        <v>2297.0320000000002</v>
      </c>
      <c r="N33">
        <v>1991.279</v>
      </c>
      <c r="O33">
        <v>2279.578</v>
      </c>
      <c r="P33">
        <v>2522.944</v>
      </c>
      <c r="R33" s="3">
        <f t="shared" si="2"/>
        <v>2384.9825999999998</v>
      </c>
      <c r="S33" s="3">
        <f t="shared" si="3"/>
        <v>140.45814055639624</v>
      </c>
    </row>
    <row r="34" spans="1:19" x14ac:dyDescent="0.25">
      <c r="A34">
        <v>30</v>
      </c>
      <c r="B34">
        <v>2243.482</v>
      </c>
      <c r="C34">
        <v>2731.855</v>
      </c>
      <c r="D34">
        <v>2738.5250000000001</v>
      </c>
      <c r="E34">
        <v>2258.8440000000001</v>
      </c>
      <c r="F34">
        <v>2285.9290000000001</v>
      </c>
      <c r="H34" s="2">
        <f t="shared" si="0"/>
        <v>2451.7269999999999</v>
      </c>
      <c r="I34" s="2">
        <f t="shared" si="1"/>
        <v>115.92747683487292</v>
      </c>
      <c r="K34">
        <v>30</v>
      </c>
      <c r="L34">
        <v>2854.82</v>
      </c>
      <c r="M34">
        <v>2313.7570000000001</v>
      </c>
      <c r="N34">
        <v>2002.08</v>
      </c>
      <c r="O34">
        <v>2294.7719999999999</v>
      </c>
      <c r="P34">
        <v>2530.759</v>
      </c>
      <c r="R34" s="3">
        <f t="shared" si="2"/>
        <v>2399.2375999999999</v>
      </c>
      <c r="S34" s="3">
        <f t="shared" si="3"/>
        <v>141.56400595582167</v>
      </c>
    </row>
    <row r="35" spans="1:19" x14ac:dyDescent="0.25">
      <c r="A35">
        <v>31.25</v>
      </c>
      <c r="B35">
        <v>2259.5239999999999</v>
      </c>
      <c r="C35">
        <v>2741.8760000000002</v>
      </c>
      <c r="D35">
        <v>2731.0650000000001</v>
      </c>
      <c r="E35">
        <v>2265.4810000000002</v>
      </c>
      <c r="F35">
        <v>2278.0459999999998</v>
      </c>
      <c r="H35" s="2">
        <f t="shared" si="0"/>
        <v>2455.1984000000002</v>
      </c>
      <c r="I35" s="2">
        <f t="shared" si="1"/>
        <v>114.88049504620011</v>
      </c>
      <c r="K35">
        <v>31.25</v>
      </c>
      <c r="L35">
        <v>2847.578</v>
      </c>
      <c r="M35">
        <v>2332.8510000000001</v>
      </c>
      <c r="N35">
        <v>2009.3789999999999</v>
      </c>
      <c r="O35">
        <v>2314.59</v>
      </c>
      <c r="P35">
        <v>2567.625</v>
      </c>
      <c r="R35" s="3">
        <f t="shared" si="2"/>
        <v>2414.4046000000003</v>
      </c>
      <c r="S35" s="3">
        <f t="shared" si="3"/>
        <v>139.95988106332425</v>
      </c>
    </row>
    <row r="36" spans="1:19" x14ac:dyDescent="0.25">
      <c r="A36">
        <v>32.5</v>
      </c>
      <c r="B36">
        <v>2275.3580000000002</v>
      </c>
      <c r="C36">
        <v>2759.6320000000001</v>
      </c>
      <c r="D36">
        <v>2728.223</v>
      </c>
      <c r="E36">
        <v>2258.703</v>
      </c>
      <c r="F36">
        <v>2252.8609999999999</v>
      </c>
      <c r="H36" s="2">
        <f t="shared" si="0"/>
        <v>2454.9553999999998</v>
      </c>
      <c r="I36" s="2">
        <f t="shared" si="1"/>
        <v>118.13453959388846</v>
      </c>
      <c r="K36">
        <v>32.5</v>
      </c>
      <c r="L36">
        <v>2849.7280000000001</v>
      </c>
      <c r="M36">
        <v>2338.384</v>
      </c>
      <c r="N36">
        <v>2006.5260000000001</v>
      </c>
      <c r="O36">
        <v>2327.0410000000002</v>
      </c>
      <c r="P36">
        <v>2570.9929999999999</v>
      </c>
      <c r="R36" s="3">
        <f t="shared" si="2"/>
        <v>2418.5344</v>
      </c>
      <c r="S36" s="3">
        <f t="shared" si="3"/>
        <v>140.30637831709606</v>
      </c>
    </row>
    <row r="37" spans="1:19" x14ac:dyDescent="0.25">
      <c r="A37">
        <v>33.75</v>
      </c>
      <c r="B37">
        <v>2249.4</v>
      </c>
      <c r="C37">
        <v>2732.8049999999998</v>
      </c>
      <c r="D37">
        <v>2703.8760000000002</v>
      </c>
      <c r="E37">
        <v>2240.3009999999999</v>
      </c>
      <c r="F37">
        <v>2237.3850000000002</v>
      </c>
      <c r="H37" s="2">
        <f t="shared" si="0"/>
        <v>2432.7534000000001</v>
      </c>
      <c r="I37" s="2">
        <f t="shared" si="1"/>
        <v>116.69696529241878</v>
      </c>
      <c r="K37">
        <v>33.75</v>
      </c>
      <c r="L37">
        <v>2838.7020000000002</v>
      </c>
      <c r="M37">
        <v>2323.759</v>
      </c>
      <c r="N37">
        <v>1998.046</v>
      </c>
      <c r="O37">
        <v>2302.5590000000002</v>
      </c>
      <c r="P37">
        <v>2544.2139999999999</v>
      </c>
      <c r="R37" s="3">
        <f t="shared" si="2"/>
        <v>2401.4560000000001</v>
      </c>
      <c r="S37" s="3">
        <f t="shared" si="3"/>
        <v>139.66405758068325</v>
      </c>
    </row>
    <row r="38" spans="1:19" x14ac:dyDescent="0.25">
      <c r="A38">
        <v>35</v>
      </c>
      <c r="B38">
        <v>2195.6970000000001</v>
      </c>
      <c r="C38">
        <v>2661.587</v>
      </c>
      <c r="D38">
        <v>2635.5120000000002</v>
      </c>
      <c r="E38">
        <v>2187.819</v>
      </c>
      <c r="F38">
        <v>2183.7829999999999</v>
      </c>
      <c r="H38" s="2">
        <f t="shared" si="0"/>
        <v>2372.8795999999998</v>
      </c>
      <c r="I38" s="2">
        <f t="shared" si="1"/>
        <v>112.63355714244314</v>
      </c>
      <c r="K38">
        <v>35</v>
      </c>
      <c r="L38">
        <v>2774.3470000000002</v>
      </c>
      <c r="M38">
        <v>2279.6379999999999</v>
      </c>
      <c r="N38">
        <v>1942.7090000000001</v>
      </c>
      <c r="O38">
        <v>2256.4349999999999</v>
      </c>
      <c r="P38">
        <v>2493.8490000000002</v>
      </c>
      <c r="R38" s="3">
        <f t="shared" si="2"/>
        <v>2349.3956000000003</v>
      </c>
      <c r="S38" s="3">
        <f t="shared" si="3"/>
        <v>137.90436245151903</v>
      </c>
    </row>
    <row r="39" spans="1:19" x14ac:dyDescent="0.25">
      <c r="A39">
        <v>36.25</v>
      </c>
      <c r="B39">
        <v>2091.239</v>
      </c>
      <c r="C39">
        <v>2534.0880000000002</v>
      </c>
      <c r="D39">
        <v>2510.183</v>
      </c>
      <c r="E39">
        <v>2084.4409999999998</v>
      </c>
      <c r="F39">
        <v>2084.1970000000001</v>
      </c>
      <c r="H39" s="2">
        <f t="shared" si="0"/>
        <v>2260.8296</v>
      </c>
      <c r="I39" s="2">
        <f t="shared" si="1"/>
        <v>106.7521092211297</v>
      </c>
      <c r="K39">
        <v>36.25</v>
      </c>
      <c r="L39">
        <v>2648.9920000000002</v>
      </c>
      <c r="M39">
        <v>2179.0830000000001</v>
      </c>
      <c r="N39">
        <v>1853.5039999999999</v>
      </c>
      <c r="O39">
        <v>2157.3960000000002</v>
      </c>
      <c r="P39">
        <v>2387.0329999999999</v>
      </c>
      <c r="R39" s="3">
        <f t="shared" si="2"/>
        <v>2245.2015999999999</v>
      </c>
      <c r="S39" s="3">
        <f t="shared" si="3"/>
        <v>132.03623284182243</v>
      </c>
    </row>
    <row r="40" spans="1:19" x14ac:dyDescent="0.25">
      <c r="A40">
        <v>37.5</v>
      </c>
      <c r="B40">
        <v>1957.953</v>
      </c>
      <c r="C40">
        <v>2376.1889999999999</v>
      </c>
      <c r="D40">
        <v>2341.1669999999999</v>
      </c>
      <c r="E40">
        <v>1951.7760000000001</v>
      </c>
      <c r="F40">
        <v>1960.894</v>
      </c>
      <c r="H40" s="2">
        <f t="shared" si="0"/>
        <v>2117.5958000000001</v>
      </c>
      <c r="I40" s="2">
        <f t="shared" si="1"/>
        <v>98.588033843565384</v>
      </c>
      <c r="K40">
        <v>37.5</v>
      </c>
      <c r="L40">
        <v>2476.5790000000002</v>
      </c>
      <c r="M40">
        <v>2036.4469999999999</v>
      </c>
      <c r="N40">
        <v>1742.7</v>
      </c>
      <c r="O40">
        <v>2025.2370000000001</v>
      </c>
      <c r="P40">
        <v>2240.636</v>
      </c>
      <c r="R40" s="3">
        <f t="shared" si="2"/>
        <v>2104.3198000000002</v>
      </c>
      <c r="S40" s="3">
        <f t="shared" si="3"/>
        <v>122.22698236371623</v>
      </c>
    </row>
    <row r="41" spans="1:19" x14ac:dyDescent="0.25">
      <c r="A41">
        <v>38.75</v>
      </c>
      <c r="B41">
        <v>1842.0360000000001</v>
      </c>
      <c r="C41">
        <v>2230.4549999999999</v>
      </c>
      <c r="D41">
        <v>2195.5650000000001</v>
      </c>
      <c r="E41">
        <v>1832.123</v>
      </c>
      <c r="F41">
        <v>1859.42</v>
      </c>
      <c r="H41" s="2">
        <f t="shared" si="0"/>
        <v>1991.9198000000001</v>
      </c>
      <c r="I41" s="2">
        <f t="shared" si="1"/>
        <v>90.533633781816107</v>
      </c>
      <c r="K41">
        <v>38.75</v>
      </c>
      <c r="L41">
        <v>2344.16</v>
      </c>
      <c r="M41">
        <v>1880.338</v>
      </c>
      <c r="N41">
        <v>1636.8789999999999</v>
      </c>
      <c r="O41">
        <v>1896.56</v>
      </c>
      <c r="P41">
        <v>2088.0650000000001</v>
      </c>
      <c r="R41" s="3">
        <f t="shared" si="2"/>
        <v>1969.2004000000002</v>
      </c>
      <c r="S41" s="3">
        <f t="shared" si="3"/>
        <v>117.96909796832409</v>
      </c>
    </row>
    <row r="42" spans="1:19" x14ac:dyDescent="0.25">
      <c r="A42">
        <v>40</v>
      </c>
      <c r="B42">
        <v>1770.433</v>
      </c>
      <c r="C42">
        <v>2137.6120000000001</v>
      </c>
      <c r="D42">
        <v>2127.81</v>
      </c>
      <c r="E42">
        <v>1760.597</v>
      </c>
      <c r="F42">
        <v>1799.329</v>
      </c>
      <c r="H42" s="2">
        <f t="shared" si="0"/>
        <v>1919.1561999999999</v>
      </c>
      <c r="I42" s="2">
        <f t="shared" si="1"/>
        <v>87.42926077429685</v>
      </c>
      <c r="K42">
        <v>40</v>
      </c>
      <c r="L42">
        <v>2251.6289999999999</v>
      </c>
      <c r="M42">
        <v>1800.347</v>
      </c>
      <c r="N42">
        <v>1555.6210000000001</v>
      </c>
      <c r="O42">
        <v>1809.8340000000001</v>
      </c>
      <c r="P42">
        <v>1999.529</v>
      </c>
      <c r="R42" s="3">
        <f t="shared" si="2"/>
        <v>1883.3919999999998</v>
      </c>
      <c r="S42" s="3">
        <f t="shared" si="3"/>
        <v>115.93691620187315</v>
      </c>
    </row>
    <row r="43" spans="1:19" x14ac:dyDescent="0.25">
      <c r="A43">
        <v>41.25</v>
      </c>
      <c r="B43">
        <v>1730.61</v>
      </c>
      <c r="C43">
        <v>2101.5030000000002</v>
      </c>
      <c r="D43">
        <v>2077.6709999999998</v>
      </c>
      <c r="E43">
        <v>1711.367</v>
      </c>
      <c r="F43">
        <v>1752.787</v>
      </c>
      <c r="H43" s="2">
        <f t="shared" si="0"/>
        <v>1874.7876000000001</v>
      </c>
      <c r="I43" s="2">
        <f t="shared" si="1"/>
        <v>88.016806872096879</v>
      </c>
      <c r="K43">
        <v>41.25</v>
      </c>
      <c r="L43">
        <v>2192.4839999999999</v>
      </c>
      <c r="M43">
        <v>1763.5160000000001</v>
      </c>
      <c r="N43">
        <v>1515.912</v>
      </c>
      <c r="O43">
        <v>1763.778</v>
      </c>
      <c r="P43">
        <v>1961.5709999999999</v>
      </c>
      <c r="R43" s="3">
        <f t="shared" si="2"/>
        <v>1839.4522000000002</v>
      </c>
      <c r="S43" s="3">
        <f t="shared" si="3"/>
        <v>113.07422455113232</v>
      </c>
    </row>
    <row r="44" spans="1:19" x14ac:dyDescent="0.25">
      <c r="A44">
        <v>42.5</v>
      </c>
      <c r="B44">
        <v>1715.2260000000001</v>
      </c>
      <c r="C44">
        <v>2083.3820000000001</v>
      </c>
      <c r="D44">
        <v>2064.4389999999999</v>
      </c>
      <c r="E44">
        <v>1695.0909999999999</v>
      </c>
      <c r="F44">
        <v>1721.125</v>
      </c>
      <c r="H44" s="2">
        <f t="shared" si="0"/>
        <v>1855.8526000000002</v>
      </c>
      <c r="I44" s="2">
        <f t="shared" si="1"/>
        <v>89.17667099449271</v>
      </c>
      <c r="K44">
        <v>42.5</v>
      </c>
      <c r="L44">
        <v>2164.1219999999998</v>
      </c>
      <c r="M44">
        <v>1732.05</v>
      </c>
      <c r="N44">
        <v>1513.23</v>
      </c>
      <c r="O44">
        <v>1751.413</v>
      </c>
      <c r="P44">
        <v>1953.1869999999999</v>
      </c>
      <c r="R44" s="3">
        <f t="shared" si="2"/>
        <v>1822.8004000000001</v>
      </c>
      <c r="S44" s="3">
        <f t="shared" si="3"/>
        <v>110.15142500694208</v>
      </c>
    </row>
    <row r="45" spans="1:19" x14ac:dyDescent="0.25">
      <c r="A45">
        <v>43.75</v>
      </c>
      <c r="B45">
        <v>1717.73</v>
      </c>
      <c r="C45">
        <v>2074.8090000000002</v>
      </c>
      <c r="D45">
        <v>2062.2170000000001</v>
      </c>
      <c r="E45">
        <v>1698.932</v>
      </c>
      <c r="F45">
        <v>1715.3019999999999</v>
      </c>
      <c r="H45" s="2">
        <f t="shared" si="0"/>
        <v>1853.798</v>
      </c>
      <c r="I45" s="2">
        <f t="shared" si="1"/>
        <v>87.739233606750901</v>
      </c>
      <c r="K45">
        <v>43.75</v>
      </c>
      <c r="L45">
        <v>2177.5149999999999</v>
      </c>
      <c r="M45">
        <v>1732.527</v>
      </c>
      <c r="N45">
        <v>1521.682</v>
      </c>
      <c r="O45">
        <v>1756.7719999999999</v>
      </c>
      <c r="P45">
        <v>1968.145</v>
      </c>
      <c r="R45" s="3">
        <f t="shared" si="2"/>
        <v>1831.3281999999999</v>
      </c>
      <c r="S45" s="3">
        <f t="shared" si="3"/>
        <v>111.75088601680071</v>
      </c>
    </row>
    <row r="46" spans="1:19" x14ac:dyDescent="0.25">
      <c r="A46">
        <v>45</v>
      </c>
      <c r="B46">
        <v>1737.508</v>
      </c>
      <c r="C46">
        <v>2097.39</v>
      </c>
      <c r="D46">
        <v>2074.7440000000001</v>
      </c>
      <c r="E46">
        <v>1700.18</v>
      </c>
      <c r="F46">
        <v>1732.778</v>
      </c>
      <c r="H46" s="2">
        <f t="shared" si="0"/>
        <v>1868.52</v>
      </c>
      <c r="I46" s="2">
        <f t="shared" si="1"/>
        <v>89.117395996516848</v>
      </c>
      <c r="K46">
        <v>45</v>
      </c>
      <c r="L46">
        <v>2206.3919999999998</v>
      </c>
      <c r="M46">
        <v>1749.2660000000001</v>
      </c>
      <c r="N46">
        <v>1532.115</v>
      </c>
      <c r="O46">
        <v>1777.9559999999999</v>
      </c>
      <c r="P46">
        <v>1992.5319999999999</v>
      </c>
      <c r="R46" s="3">
        <f t="shared" si="2"/>
        <v>1851.6522</v>
      </c>
      <c r="S46" s="3">
        <f t="shared" si="3"/>
        <v>114.82715919607121</v>
      </c>
    </row>
    <row r="47" spans="1:19" x14ac:dyDescent="0.25">
      <c r="A47">
        <v>46.25</v>
      </c>
      <c r="B47">
        <v>1772.9739999999999</v>
      </c>
      <c r="C47">
        <v>2136.15</v>
      </c>
      <c r="D47">
        <v>2091.4580000000001</v>
      </c>
      <c r="E47">
        <v>1732.3710000000001</v>
      </c>
      <c r="F47">
        <v>1762.1980000000001</v>
      </c>
      <c r="H47" s="2">
        <f t="shared" si="0"/>
        <v>1899.0301999999999</v>
      </c>
      <c r="I47" s="2">
        <f t="shared" si="1"/>
        <v>88.216427955568463</v>
      </c>
      <c r="K47">
        <v>46.25</v>
      </c>
      <c r="L47">
        <v>2258.9079999999999</v>
      </c>
      <c r="M47">
        <v>1781.8309999999999</v>
      </c>
      <c r="N47">
        <v>1568.3489999999999</v>
      </c>
      <c r="O47">
        <v>1810.34</v>
      </c>
      <c r="P47">
        <v>2042.32</v>
      </c>
      <c r="R47" s="3">
        <f t="shared" si="2"/>
        <v>1892.3496</v>
      </c>
      <c r="S47" s="3">
        <f t="shared" si="3"/>
        <v>118.48470486210472</v>
      </c>
    </row>
    <row r="48" spans="1:19" x14ac:dyDescent="0.25">
      <c r="A48">
        <v>47.5</v>
      </c>
      <c r="B48">
        <v>1834.25</v>
      </c>
      <c r="C48">
        <v>2187.2620000000002</v>
      </c>
      <c r="D48">
        <v>2140.0320000000002</v>
      </c>
      <c r="E48">
        <v>1798.817</v>
      </c>
      <c r="F48">
        <v>1823.3219999999999</v>
      </c>
      <c r="H48" s="2">
        <f t="shared" si="0"/>
        <v>1956.7365999999997</v>
      </c>
      <c r="I48" s="2">
        <f t="shared" si="1"/>
        <v>84.99417228351605</v>
      </c>
      <c r="K48">
        <v>47.5</v>
      </c>
      <c r="L48">
        <v>2329.4259999999999</v>
      </c>
      <c r="M48">
        <v>1843.9469999999999</v>
      </c>
      <c r="N48">
        <v>1626.6859999999999</v>
      </c>
      <c r="O48">
        <v>1855.95</v>
      </c>
      <c r="P48">
        <v>2107.5439999999999</v>
      </c>
      <c r="R48" s="3">
        <f t="shared" si="2"/>
        <v>1952.7105999999999</v>
      </c>
      <c r="S48" s="3">
        <f t="shared" si="3"/>
        <v>121.11400591079445</v>
      </c>
    </row>
    <row r="49" spans="1:19" x14ac:dyDescent="0.25">
      <c r="A49">
        <v>48.75</v>
      </c>
      <c r="B49">
        <v>1898.308</v>
      </c>
      <c r="C49">
        <v>2246.3330000000001</v>
      </c>
      <c r="D49">
        <v>2214.3449999999998</v>
      </c>
      <c r="E49">
        <v>1855.865</v>
      </c>
      <c r="F49">
        <v>1868.818</v>
      </c>
      <c r="H49" s="2">
        <f t="shared" si="0"/>
        <v>2016.7337999999995</v>
      </c>
      <c r="I49" s="2">
        <f t="shared" si="1"/>
        <v>87.620917541075755</v>
      </c>
      <c r="K49">
        <v>48.75</v>
      </c>
      <c r="L49">
        <v>2396.6469999999999</v>
      </c>
      <c r="M49">
        <v>1909.8209999999999</v>
      </c>
      <c r="N49">
        <v>1659.7380000000001</v>
      </c>
      <c r="O49">
        <v>1909.0119999999999</v>
      </c>
      <c r="P49">
        <v>2155.2420000000002</v>
      </c>
      <c r="R49" s="3">
        <f t="shared" si="2"/>
        <v>2006.0919999999999</v>
      </c>
      <c r="S49" s="3">
        <f t="shared" si="3"/>
        <v>125.18639216823873</v>
      </c>
    </row>
    <row r="50" spans="1:19" x14ac:dyDescent="0.25">
      <c r="A50">
        <v>50</v>
      </c>
      <c r="B50">
        <v>1964.2139999999999</v>
      </c>
      <c r="C50">
        <v>2317.739</v>
      </c>
      <c r="D50">
        <v>2311.3389999999999</v>
      </c>
      <c r="E50">
        <v>1908.568</v>
      </c>
      <c r="F50">
        <v>1928.704</v>
      </c>
      <c r="H50" s="2">
        <f t="shared" si="0"/>
        <v>2086.1127999999999</v>
      </c>
      <c r="I50" s="2">
        <f t="shared" si="1"/>
        <v>93.684721662286023</v>
      </c>
      <c r="K50">
        <v>50</v>
      </c>
      <c r="L50">
        <v>2470.752</v>
      </c>
      <c r="M50">
        <v>1960.4280000000001</v>
      </c>
      <c r="N50">
        <v>1699.925</v>
      </c>
      <c r="O50">
        <v>1952.64</v>
      </c>
      <c r="P50">
        <v>2212.9259999999999</v>
      </c>
      <c r="R50" s="3">
        <f t="shared" si="2"/>
        <v>2059.3342000000002</v>
      </c>
      <c r="S50" s="3">
        <f t="shared" si="3"/>
        <v>130.99544055821156</v>
      </c>
    </row>
    <row r="51" spans="1:19" x14ac:dyDescent="0.25">
      <c r="A51">
        <v>51.25</v>
      </c>
      <c r="B51">
        <v>2013.3510000000001</v>
      </c>
      <c r="C51">
        <v>2367.5940000000001</v>
      </c>
      <c r="D51">
        <v>2353.2979999999998</v>
      </c>
      <c r="E51">
        <v>1959.318</v>
      </c>
      <c r="F51">
        <v>1982.46</v>
      </c>
      <c r="H51" s="2">
        <f t="shared" si="0"/>
        <v>2135.2042000000001</v>
      </c>
      <c r="I51" s="2">
        <f t="shared" si="1"/>
        <v>92.380970193216697</v>
      </c>
      <c r="K51">
        <v>51.25</v>
      </c>
      <c r="L51">
        <v>2513.5709999999999</v>
      </c>
      <c r="M51">
        <v>2017.8610000000001</v>
      </c>
      <c r="N51">
        <v>1754.5170000000001</v>
      </c>
      <c r="O51">
        <v>1996.252</v>
      </c>
      <c r="P51">
        <v>2270.9609999999998</v>
      </c>
      <c r="R51" s="3">
        <f t="shared" si="2"/>
        <v>2110.6323999999995</v>
      </c>
      <c r="S51" s="3">
        <f t="shared" si="3"/>
        <v>129.72516371683744</v>
      </c>
    </row>
    <row r="52" spans="1:19" x14ac:dyDescent="0.25">
      <c r="A52">
        <v>52.5</v>
      </c>
      <c r="B52">
        <v>2020.981</v>
      </c>
      <c r="C52">
        <v>2398.241</v>
      </c>
      <c r="D52">
        <v>2380.9430000000002</v>
      </c>
      <c r="E52">
        <v>1981.027</v>
      </c>
      <c r="F52">
        <v>2012.9090000000001</v>
      </c>
      <c r="H52" s="2">
        <f t="shared" si="0"/>
        <v>2158.8201999999997</v>
      </c>
      <c r="I52" s="2">
        <f t="shared" si="1"/>
        <v>94.488359881204417</v>
      </c>
      <c r="K52">
        <v>52.5</v>
      </c>
      <c r="L52">
        <v>2522.598</v>
      </c>
      <c r="M52">
        <v>2050.3989999999999</v>
      </c>
      <c r="N52">
        <v>1773.25</v>
      </c>
      <c r="O52">
        <v>2025.309</v>
      </c>
      <c r="P52">
        <v>2294.777</v>
      </c>
      <c r="R52" s="3">
        <f t="shared" si="2"/>
        <v>2133.2665999999999</v>
      </c>
      <c r="S52" s="3">
        <f t="shared" si="3"/>
        <v>127.63196761336944</v>
      </c>
    </row>
    <row r="53" spans="1:19" x14ac:dyDescent="0.25">
      <c r="A53">
        <v>53.75</v>
      </c>
      <c r="B53">
        <v>2010.521</v>
      </c>
      <c r="C53">
        <v>2443.527</v>
      </c>
      <c r="D53">
        <v>2352.453</v>
      </c>
      <c r="E53">
        <v>2003.953</v>
      </c>
      <c r="F53">
        <v>2037.453</v>
      </c>
      <c r="H53" s="2">
        <f t="shared" si="0"/>
        <v>2169.5814</v>
      </c>
      <c r="I53" s="2">
        <f t="shared" si="1"/>
        <v>94.519602640722098</v>
      </c>
      <c r="K53">
        <v>53.75</v>
      </c>
      <c r="L53">
        <v>2525.0450000000001</v>
      </c>
      <c r="M53">
        <v>2057.4029999999998</v>
      </c>
      <c r="N53">
        <v>1786.4649999999999</v>
      </c>
      <c r="O53">
        <v>2037.73</v>
      </c>
      <c r="P53">
        <v>2286.1</v>
      </c>
      <c r="R53" s="3">
        <f t="shared" si="2"/>
        <v>2138.5486000000001</v>
      </c>
      <c r="S53" s="3">
        <f t="shared" si="3"/>
        <v>124.87248350801694</v>
      </c>
    </row>
    <row r="54" spans="1:19" x14ac:dyDescent="0.25">
      <c r="A54">
        <v>55</v>
      </c>
      <c r="B54">
        <v>1993.288</v>
      </c>
      <c r="C54">
        <v>2451.9760000000001</v>
      </c>
      <c r="D54">
        <v>2309.3339999999998</v>
      </c>
      <c r="E54">
        <v>1994.9359999999999</v>
      </c>
      <c r="F54">
        <v>2010.4690000000001</v>
      </c>
      <c r="H54" s="2">
        <f t="shared" si="0"/>
        <v>2152.0006000000003</v>
      </c>
      <c r="I54" s="2">
        <f t="shared" si="1"/>
        <v>96.08048998917522</v>
      </c>
      <c r="K54">
        <v>55</v>
      </c>
      <c r="L54">
        <v>2498.203</v>
      </c>
      <c r="M54">
        <v>2038.7470000000001</v>
      </c>
      <c r="N54">
        <v>1789.1110000000001</v>
      </c>
      <c r="O54">
        <v>2042.653</v>
      </c>
      <c r="P54">
        <v>2246.7460000000001</v>
      </c>
      <c r="R54" s="3">
        <f t="shared" si="2"/>
        <v>2123.0919999999996</v>
      </c>
      <c r="S54" s="3">
        <f t="shared" si="3"/>
        <v>118.55935099012694</v>
      </c>
    </row>
    <row r="55" spans="1:19" x14ac:dyDescent="0.25">
      <c r="A55">
        <v>56.25</v>
      </c>
      <c r="B55">
        <v>1931.9590000000001</v>
      </c>
      <c r="C55">
        <v>2403.1999999999998</v>
      </c>
      <c r="D55">
        <v>2237.7579999999998</v>
      </c>
      <c r="E55">
        <v>1926.539</v>
      </c>
      <c r="F55">
        <v>1934.355</v>
      </c>
      <c r="H55" s="2">
        <f t="shared" si="0"/>
        <v>2086.7622000000001</v>
      </c>
      <c r="I55" s="2">
        <f t="shared" si="1"/>
        <v>98.943436378266099</v>
      </c>
      <c r="K55">
        <v>56.25</v>
      </c>
      <c r="L55">
        <v>2422.1559999999999</v>
      </c>
      <c r="M55">
        <v>1959.0530000000001</v>
      </c>
      <c r="N55">
        <v>1756.528</v>
      </c>
      <c r="O55">
        <v>1994.403</v>
      </c>
      <c r="P55">
        <v>2177.9720000000002</v>
      </c>
      <c r="R55" s="3">
        <f t="shared" si="2"/>
        <v>2062.0224000000003</v>
      </c>
      <c r="S55" s="3">
        <f t="shared" si="3"/>
        <v>112.17005585565093</v>
      </c>
    </row>
    <row r="56" spans="1:19" x14ac:dyDescent="0.25">
      <c r="A56">
        <v>57.5</v>
      </c>
      <c r="B56">
        <v>1848.7090000000001</v>
      </c>
      <c r="C56">
        <v>2319.4279999999999</v>
      </c>
      <c r="D56">
        <v>2107.3890000000001</v>
      </c>
      <c r="E56">
        <v>1836.1289999999999</v>
      </c>
      <c r="F56">
        <v>1852.9659999999999</v>
      </c>
      <c r="H56" s="2">
        <f t="shared" si="0"/>
        <v>1992.9241999999999</v>
      </c>
      <c r="I56" s="2">
        <f t="shared" si="1"/>
        <v>96.093178284100873</v>
      </c>
      <c r="K56">
        <v>57.5</v>
      </c>
      <c r="L56">
        <v>2317.991</v>
      </c>
      <c r="M56">
        <v>1860.5509999999999</v>
      </c>
      <c r="N56">
        <v>1688.0550000000001</v>
      </c>
      <c r="O56">
        <v>1915.6179999999999</v>
      </c>
      <c r="P56">
        <v>2080.3980000000001</v>
      </c>
      <c r="R56" s="3">
        <f t="shared" si="2"/>
        <v>1972.5226000000002</v>
      </c>
      <c r="S56" s="3">
        <f t="shared" si="3"/>
        <v>106.69655699252728</v>
      </c>
    </row>
    <row r="57" spans="1:19" x14ac:dyDescent="0.25">
      <c r="A57">
        <v>58.75</v>
      </c>
      <c r="B57">
        <v>1785.2629999999999</v>
      </c>
      <c r="C57">
        <v>2224.8890000000001</v>
      </c>
      <c r="D57">
        <v>2013.1479999999999</v>
      </c>
      <c r="E57">
        <v>1781.8409999999999</v>
      </c>
      <c r="F57">
        <v>1798.521</v>
      </c>
      <c r="H57" s="2">
        <f t="shared" si="0"/>
        <v>1920.7324000000001</v>
      </c>
      <c r="I57" s="2">
        <f t="shared" si="1"/>
        <v>87.644248546952596</v>
      </c>
      <c r="K57">
        <v>58.75</v>
      </c>
      <c r="L57">
        <v>2228.2249999999999</v>
      </c>
      <c r="M57">
        <v>1771.7170000000001</v>
      </c>
      <c r="N57">
        <v>1639.31</v>
      </c>
      <c r="O57">
        <v>1846.519</v>
      </c>
      <c r="P57">
        <v>1987.973</v>
      </c>
      <c r="R57" s="3">
        <f t="shared" si="2"/>
        <v>1894.7488000000001</v>
      </c>
      <c r="S57" s="3">
        <f t="shared" si="3"/>
        <v>100.65014788781916</v>
      </c>
    </row>
    <row r="58" spans="1:19" x14ac:dyDescent="0.25">
      <c r="A58">
        <v>60</v>
      </c>
      <c r="B58">
        <v>1718.6890000000001</v>
      </c>
      <c r="C58">
        <v>2129.9549999999999</v>
      </c>
      <c r="D58">
        <v>1928.2339999999999</v>
      </c>
      <c r="E58">
        <v>1735.768</v>
      </c>
      <c r="F58">
        <v>1732.396</v>
      </c>
      <c r="H58" s="2">
        <f t="shared" si="0"/>
        <v>1849.0084000000002</v>
      </c>
      <c r="I58" s="2">
        <f t="shared" si="1"/>
        <v>80.191231998641825</v>
      </c>
      <c r="K58">
        <v>60</v>
      </c>
      <c r="L58">
        <v>2144.9430000000002</v>
      </c>
      <c r="M58">
        <v>1701.701</v>
      </c>
      <c r="N58">
        <v>1608.5</v>
      </c>
      <c r="O58">
        <v>1798.63</v>
      </c>
      <c r="P58">
        <v>1912.4690000000001</v>
      </c>
      <c r="R58" s="3">
        <f t="shared" si="2"/>
        <v>1833.2486000000001</v>
      </c>
      <c r="S58" s="3">
        <f t="shared" si="3"/>
        <v>92.855915940019386</v>
      </c>
    </row>
    <row r="59" spans="1:19" x14ac:dyDescent="0.25">
      <c r="A59">
        <v>61.25</v>
      </c>
      <c r="B59">
        <v>1666.153</v>
      </c>
      <c r="C59">
        <v>2083.3330000000001</v>
      </c>
      <c r="D59">
        <v>1874.6389999999999</v>
      </c>
      <c r="E59">
        <v>1686.9570000000001</v>
      </c>
      <c r="F59">
        <v>1672.229</v>
      </c>
      <c r="H59" s="2">
        <f t="shared" si="0"/>
        <v>1796.6622</v>
      </c>
      <c r="I59" s="2">
        <f t="shared" si="1"/>
        <v>81.489886600976433</v>
      </c>
      <c r="K59">
        <v>61.25</v>
      </c>
      <c r="L59">
        <v>2072.732</v>
      </c>
      <c r="M59">
        <v>1651.18</v>
      </c>
      <c r="N59">
        <v>1561.828</v>
      </c>
      <c r="O59">
        <v>1743.6420000000001</v>
      </c>
      <c r="P59">
        <v>1848.845</v>
      </c>
      <c r="R59" s="3">
        <f t="shared" si="2"/>
        <v>1775.6453999999999</v>
      </c>
      <c r="S59" s="3">
        <f t="shared" si="3"/>
        <v>88.275807357168929</v>
      </c>
    </row>
    <row r="60" spans="1:19" x14ac:dyDescent="0.25">
      <c r="A60">
        <v>62.5</v>
      </c>
      <c r="B60">
        <v>1615.383</v>
      </c>
      <c r="C60">
        <v>2026.126</v>
      </c>
      <c r="D60">
        <v>1778.068</v>
      </c>
      <c r="E60">
        <v>1625.5129999999999</v>
      </c>
      <c r="F60">
        <v>1607.588</v>
      </c>
      <c r="H60" s="2">
        <f t="shared" si="0"/>
        <v>1730.5355999999999</v>
      </c>
      <c r="I60" s="2">
        <f t="shared" si="1"/>
        <v>80.324029332821695</v>
      </c>
      <c r="K60">
        <v>62.5</v>
      </c>
      <c r="L60">
        <v>2017.6990000000001</v>
      </c>
      <c r="M60">
        <v>1610.777</v>
      </c>
      <c r="N60">
        <v>1514.058</v>
      </c>
      <c r="O60">
        <v>1673.8219999999999</v>
      </c>
      <c r="P60">
        <v>1801.9069999999999</v>
      </c>
      <c r="R60" s="3">
        <f t="shared" si="2"/>
        <v>1723.6525999999999</v>
      </c>
      <c r="S60" s="3">
        <f t="shared" si="3"/>
        <v>87.103651643659731</v>
      </c>
    </row>
    <row r="61" spans="1:19" x14ac:dyDescent="0.25">
      <c r="A61">
        <v>63.75</v>
      </c>
      <c r="B61">
        <v>1561.0889999999999</v>
      </c>
      <c r="C61">
        <v>1946.6559999999999</v>
      </c>
      <c r="D61">
        <v>1665.009</v>
      </c>
      <c r="E61">
        <v>1560.6559999999999</v>
      </c>
      <c r="F61">
        <v>1547.751</v>
      </c>
      <c r="H61" s="2">
        <f t="shared" si="0"/>
        <v>1656.2321999999999</v>
      </c>
      <c r="I61" s="2">
        <f t="shared" si="1"/>
        <v>75.623483485885515</v>
      </c>
      <c r="K61">
        <v>63.75</v>
      </c>
      <c r="L61">
        <v>1961.298</v>
      </c>
      <c r="M61">
        <v>1548.3889999999999</v>
      </c>
      <c r="N61">
        <v>1454.0440000000001</v>
      </c>
      <c r="O61">
        <v>1642.479</v>
      </c>
      <c r="P61">
        <v>1750.866</v>
      </c>
      <c r="R61" s="3">
        <f t="shared" si="2"/>
        <v>1671.4152000000001</v>
      </c>
      <c r="S61" s="3">
        <f t="shared" si="3"/>
        <v>87.626324669815091</v>
      </c>
    </row>
    <row r="62" spans="1:19" x14ac:dyDescent="0.25">
      <c r="A62">
        <v>65</v>
      </c>
      <c r="B62">
        <v>1506.9680000000001</v>
      </c>
      <c r="C62">
        <v>1874.8119999999999</v>
      </c>
      <c r="D62">
        <v>1580.346</v>
      </c>
      <c r="E62">
        <v>1487.6369999999999</v>
      </c>
      <c r="F62">
        <v>1473.665</v>
      </c>
      <c r="H62" s="2">
        <f t="shared" si="0"/>
        <v>1584.6856</v>
      </c>
      <c r="I62" s="2">
        <f t="shared" si="1"/>
        <v>74.825192896911375</v>
      </c>
      <c r="K62">
        <v>65</v>
      </c>
      <c r="L62">
        <v>1892.24</v>
      </c>
      <c r="M62">
        <v>1504.124</v>
      </c>
      <c r="N62">
        <v>1411.2429999999999</v>
      </c>
      <c r="O62">
        <v>1597.2739999999999</v>
      </c>
      <c r="P62">
        <v>1701.6189999999999</v>
      </c>
      <c r="R62" s="3">
        <f t="shared" si="2"/>
        <v>1621.2999999999997</v>
      </c>
      <c r="S62" s="3">
        <f t="shared" si="3"/>
        <v>83.153782915151552</v>
      </c>
    </row>
    <row r="63" spans="1:19" x14ac:dyDescent="0.25">
      <c r="A63">
        <v>66.25</v>
      </c>
      <c r="B63">
        <v>1452.01</v>
      </c>
      <c r="C63">
        <v>1785.0360000000001</v>
      </c>
      <c r="D63">
        <v>1512.9860000000001</v>
      </c>
      <c r="E63">
        <v>1421.643</v>
      </c>
      <c r="F63">
        <v>1398.93</v>
      </c>
      <c r="H63" s="2">
        <f t="shared" si="0"/>
        <v>1514.1210000000001</v>
      </c>
      <c r="I63" s="2">
        <f t="shared" si="1"/>
        <v>70.382934272449887</v>
      </c>
      <c r="K63">
        <v>66.25</v>
      </c>
      <c r="L63">
        <v>1831.5239999999999</v>
      </c>
      <c r="M63">
        <v>1459.5519999999999</v>
      </c>
      <c r="N63">
        <v>1328.462</v>
      </c>
      <c r="O63">
        <v>1523.5930000000001</v>
      </c>
      <c r="P63">
        <v>1646.8209999999999</v>
      </c>
      <c r="R63" s="3">
        <f t="shared" si="2"/>
        <v>1557.9904000000001</v>
      </c>
      <c r="S63" s="3">
        <f t="shared" si="3"/>
        <v>85.518445949747431</v>
      </c>
    </row>
    <row r="64" spans="1:19" x14ac:dyDescent="0.25">
      <c r="A64">
        <v>67.5</v>
      </c>
      <c r="B64">
        <v>1396.059</v>
      </c>
      <c r="C64">
        <v>1691.4760000000001</v>
      </c>
      <c r="D64">
        <v>1475.296</v>
      </c>
      <c r="E64">
        <v>1365.097</v>
      </c>
      <c r="F64">
        <v>1340.229</v>
      </c>
      <c r="H64" s="2">
        <f t="shared" si="0"/>
        <v>1453.6314</v>
      </c>
      <c r="I64" s="2">
        <f t="shared" si="1"/>
        <v>63.660205070829001</v>
      </c>
      <c r="K64">
        <v>67.5</v>
      </c>
      <c r="L64">
        <v>1762.72</v>
      </c>
      <c r="M64">
        <v>1404.808</v>
      </c>
      <c r="N64">
        <v>1297.9739999999999</v>
      </c>
      <c r="O64">
        <v>1459.17</v>
      </c>
      <c r="P64">
        <v>1587.83</v>
      </c>
      <c r="R64" s="3">
        <f t="shared" si="2"/>
        <v>1502.5004000000001</v>
      </c>
      <c r="S64" s="3">
        <f t="shared" si="3"/>
        <v>80.077386863957244</v>
      </c>
    </row>
    <row r="65" spans="1:19" x14ac:dyDescent="0.25">
      <c r="A65">
        <v>68.75</v>
      </c>
      <c r="B65">
        <v>1337.0809999999999</v>
      </c>
      <c r="C65">
        <v>1598.61</v>
      </c>
      <c r="D65">
        <v>1356.7070000000001</v>
      </c>
      <c r="E65">
        <v>1295.1780000000001</v>
      </c>
      <c r="F65">
        <v>1314.3979999999999</v>
      </c>
      <c r="H65" s="2">
        <f t="shared" si="0"/>
        <v>1380.3948</v>
      </c>
      <c r="I65" s="2">
        <f t="shared" si="1"/>
        <v>55.530420159944747</v>
      </c>
      <c r="K65">
        <v>68.75</v>
      </c>
      <c r="L65">
        <v>1693.6990000000001</v>
      </c>
      <c r="M65">
        <v>1375.07</v>
      </c>
      <c r="N65">
        <v>1214.8789999999999</v>
      </c>
      <c r="O65">
        <v>1379.3889999999999</v>
      </c>
      <c r="P65">
        <v>1543.7059999999999</v>
      </c>
      <c r="R65" s="3">
        <f t="shared" si="2"/>
        <v>1441.3486</v>
      </c>
      <c r="S65" s="3">
        <f t="shared" si="3"/>
        <v>81.755148550166908</v>
      </c>
    </row>
    <row r="66" spans="1:19" x14ac:dyDescent="0.25">
      <c r="A66">
        <v>70</v>
      </c>
      <c r="B66">
        <v>1292.7449999999999</v>
      </c>
      <c r="C66">
        <v>1531.432</v>
      </c>
      <c r="D66">
        <v>1282.684</v>
      </c>
      <c r="E66">
        <v>1265.8879999999999</v>
      </c>
      <c r="F66">
        <v>1278.5419999999999</v>
      </c>
      <c r="H66" s="2">
        <f t="shared" si="0"/>
        <v>1330.2581999999998</v>
      </c>
      <c r="I66" s="2">
        <f t="shared" si="1"/>
        <v>50.477485316128828</v>
      </c>
      <c r="K66">
        <v>70</v>
      </c>
      <c r="L66">
        <v>1644.779</v>
      </c>
      <c r="M66">
        <v>1338.761</v>
      </c>
      <c r="N66">
        <v>1140.8979999999999</v>
      </c>
      <c r="O66">
        <v>1318.5309999999999</v>
      </c>
      <c r="P66">
        <v>1517.1590000000001</v>
      </c>
      <c r="R66" s="3">
        <f t="shared" si="2"/>
        <v>1392.0256000000002</v>
      </c>
      <c r="S66" s="3">
        <f t="shared" si="3"/>
        <v>86.8465008884056</v>
      </c>
    </row>
    <row r="67" spans="1:19" x14ac:dyDescent="0.25">
      <c r="A67">
        <v>71.25</v>
      </c>
      <c r="B67">
        <v>1277.296</v>
      </c>
      <c r="C67">
        <v>1498.0170000000001</v>
      </c>
      <c r="D67">
        <v>1306.2349999999999</v>
      </c>
      <c r="E67">
        <v>1256.0940000000001</v>
      </c>
      <c r="F67">
        <v>1269.867</v>
      </c>
      <c r="H67" s="2">
        <f t="shared" si="0"/>
        <v>1321.5018</v>
      </c>
      <c r="I67" s="2">
        <f t="shared" si="1"/>
        <v>44.882723089625486</v>
      </c>
      <c r="K67">
        <v>71.25</v>
      </c>
      <c r="L67">
        <v>1611.117</v>
      </c>
      <c r="M67">
        <v>1311.8230000000001</v>
      </c>
      <c r="N67">
        <v>1072.374</v>
      </c>
      <c r="O67">
        <v>1301.759</v>
      </c>
      <c r="P67">
        <v>1494.5360000000001</v>
      </c>
      <c r="R67" s="3">
        <f t="shared" si="2"/>
        <v>1358.3218000000002</v>
      </c>
      <c r="S67" s="3">
        <f t="shared" si="3"/>
        <v>92.083482366491481</v>
      </c>
    </row>
    <row r="68" spans="1:19" x14ac:dyDescent="0.25">
      <c r="A68">
        <v>72.5</v>
      </c>
      <c r="B68">
        <v>1276.6569999999999</v>
      </c>
      <c r="C68">
        <v>1490.3109999999999</v>
      </c>
      <c r="D68">
        <v>1358.9860000000001</v>
      </c>
      <c r="E68">
        <v>1245.771</v>
      </c>
      <c r="F68">
        <v>1238.6590000000001</v>
      </c>
      <c r="H68" s="2">
        <f t="shared" si="0"/>
        <v>1322.0768</v>
      </c>
      <c r="I68" s="2">
        <f t="shared" si="1"/>
        <v>47.174727236519331</v>
      </c>
      <c r="K68">
        <v>72.5</v>
      </c>
      <c r="L68">
        <v>1616.703</v>
      </c>
      <c r="M68">
        <v>1285.212</v>
      </c>
      <c r="N68">
        <v>1051.326</v>
      </c>
      <c r="O68">
        <v>1298.2370000000001</v>
      </c>
      <c r="P68">
        <v>1485.9559999999999</v>
      </c>
      <c r="R68" s="3">
        <f t="shared" si="2"/>
        <v>1347.4868000000001</v>
      </c>
      <c r="S68" s="3">
        <f t="shared" si="3"/>
        <v>96.349881853274937</v>
      </c>
    </row>
    <row r="69" spans="1:19" x14ac:dyDescent="0.25">
      <c r="A69">
        <v>73.75</v>
      </c>
      <c r="B69">
        <v>1284.4580000000001</v>
      </c>
      <c r="C69">
        <v>1506.4280000000001</v>
      </c>
      <c r="D69">
        <v>1388.9010000000001</v>
      </c>
      <c r="E69">
        <v>1249.3689999999999</v>
      </c>
      <c r="F69">
        <v>1243.921</v>
      </c>
      <c r="H69" s="2">
        <f t="shared" ref="H69:H96" si="4">AVERAGE(B69:F69)</f>
        <v>1334.6154000000001</v>
      </c>
      <c r="I69" s="2">
        <f t="shared" ref="I69:I96" si="5">STDEV(B69:F69)/SQRT(COUNT(B69:F69))</f>
        <v>50.236781129566836</v>
      </c>
      <c r="K69">
        <v>73.75</v>
      </c>
      <c r="L69">
        <v>1660.5229999999999</v>
      </c>
      <c r="M69">
        <v>1297.008</v>
      </c>
      <c r="N69">
        <v>1084.9970000000001</v>
      </c>
      <c r="O69">
        <v>1318.6880000000001</v>
      </c>
      <c r="P69">
        <v>1503.413</v>
      </c>
      <c r="R69" s="3">
        <f t="shared" ref="R69:R96" si="6">AVERAGE(L69:P69)</f>
        <v>1372.9258000000002</v>
      </c>
      <c r="S69" s="3">
        <f t="shared" ref="S69:S96" si="7">STDEV(L69:P69)/SQRT(COUNT(L69:P69))</f>
        <v>97.812909165098731</v>
      </c>
    </row>
    <row r="70" spans="1:19" x14ac:dyDescent="0.25">
      <c r="A70">
        <v>75</v>
      </c>
      <c r="B70">
        <v>1395.7070000000001</v>
      </c>
      <c r="C70">
        <v>1576.472</v>
      </c>
      <c r="D70">
        <v>1503.614</v>
      </c>
      <c r="E70">
        <v>1318.2719999999999</v>
      </c>
      <c r="F70">
        <v>1327.393</v>
      </c>
      <c r="H70" s="2">
        <f t="shared" si="4"/>
        <v>1424.2916</v>
      </c>
      <c r="I70" s="2">
        <f t="shared" si="5"/>
        <v>50.446749602526424</v>
      </c>
      <c r="K70">
        <v>75</v>
      </c>
      <c r="L70">
        <v>1768.19</v>
      </c>
      <c r="M70">
        <v>1391.3889999999999</v>
      </c>
      <c r="N70">
        <v>1160.02</v>
      </c>
      <c r="O70">
        <v>1382.261</v>
      </c>
      <c r="P70">
        <v>1598.789</v>
      </c>
      <c r="R70" s="3">
        <f t="shared" si="6"/>
        <v>1460.1298000000002</v>
      </c>
      <c r="S70" s="3">
        <f t="shared" si="7"/>
        <v>103.67791477040795</v>
      </c>
    </row>
    <row r="71" spans="1:19" x14ac:dyDescent="0.25">
      <c r="A71">
        <v>76.25</v>
      </c>
      <c r="B71">
        <v>1543.3040000000001</v>
      </c>
      <c r="C71">
        <v>1710.443</v>
      </c>
      <c r="D71">
        <v>1617.5540000000001</v>
      </c>
      <c r="E71">
        <v>1416.155</v>
      </c>
      <c r="F71">
        <v>1429.71</v>
      </c>
      <c r="H71" s="2">
        <f t="shared" si="4"/>
        <v>1543.4331999999999</v>
      </c>
      <c r="I71" s="2">
        <f t="shared" si="5"/>
        <v>55.910146393476737</v>
      </c>
      <c r="K71">
        <v>76.25</v>
      </c>
      <c r="L71">
        <v>1938.09</v>
      </c>
      <c r="M71">
        <v>1585.0540000000001</v>
      </c>
      <c r="N71">
        <v>1297.0129999999999</v>
      </c>
      <c r="O71">
        <v>1497.152</v>
      </c>
      <c r="P71">
        <v>1726.8969999999999</v>
      </c>
      <c r="R71" s="3">
        <f t="shared" si="6"/>
        <v>1608.8412000000001</v>
      </c>
      <c r="S71" s="3">
        <f t="shared" si="7"/>
        <v>107.84690046793182</v>
      </c>
    </row>
    <row r="72" spans="1:19" x14ac:dyDescent="0.25">
      <c r="A72">
        <v>77.5</v>
      </c>
      <c r="B72">
        <v>1591.575</v>
      </c>
      <c r="C72">
        <v>1764.5229999999999</v>
      </c>
      <c r="D72">
        <v>1655.873</v>
      </c>
      <c r="E72">
        <v>1452.8820000000001</v>
      </c>
      <c r="F72">
        <v>1458.049</v>
      </c>
      <c r="H72" s="2">
        <f t="shared" si="4"/>
        <v>1584.5803999999998</v>
      </c>
      <c r="I72" s="2">
        <f t="shared" si="5"/>
        <v>59.525440900173081</v>
      </c>
      <c r="K72">
        <v>77.5</v>
      </c>
      <c r="L72">
        <v>2009.5409999999999</v>
      </c>
      <c r="M72">
        <v>1666.7940000000001</v>
      </c>
      <c r="N72">
        <v>1335.06</v>
      </c>
      <c r="O72">
        <v>1531.654</v>
      </c>
      <c r="P72">
        <v>1763.2380000000001</v>
      </c>
      <c r="R72" s="3">
        <f t="shared" si="6"/>
        <v>1661.2574</v>
      </c>
      <c r="S72" s="3">
        <f t="shared" si="7"/>
        <v>112.90127275704187</v>
      </c>
    </row>
    <row r="73" spans="1:19" x14ac:dyDescent="0.25">
      <c r="A73">
        <v>78.75</v>
      </c>
      <c r="B73">
        <v>1519.396</v>
      </c>
      <c r="C73">
        <v>1720.2139999999999</v>
      </c>
      <c r="D73">
        <v>1651.74</v>
      </c>
      <c r="E73">
        <v>1404.742</v>
      </c>
      <c r="F73">
        <v>1448.184</v>
      </c>
      <c r="H73" s="2">
        <f t="shared" si="4"/>
        <v>1548.8552</v>
      </c>
      <c r="I73" s="2">
        <f t="shared" si="5"/>
        <v>59.883332320771864</v>
      </c>
      <c r="K73">
        <v>78.75</v>
      </c>
      <c r="L73">
        <v>1953.4010000000001</v>
      </c>
      <c r="M73">
        <v>1577.576</v>
      </c>
      <c r="N73">
        <v>1298.7539999999999</v>
      </c>
      <c r="O73">
        <v>1493.222</v>
      </c>
      <c r="P73">
        <v>1720.0440000000001</v>
      </c>
      <c r="R73" s="3">
        <f t="shared" si="6"/>
        <v>1608.5993999999998</v>
      </c>
      <c r="S73" s="3">
        <f t="shared" si="7"/>
        <v>109.90600754990636</v>
      </c>
    </row>
    <row r="74" spans="1:19" x14ac:dyDescent="0.25">
      <c r="A74">
        <v>80</v>
      </c>
      <c r="B74">
        <v>1472.143</v>
      </c>
      <c r="C74">
        <v>1674.2090000000001</v>
      </c>
      <c r="D74">
        <v>1602.0709999999999</v>
      </c>
      <c r="E74">
        <v>1372.904</v>
      </c>
      <c r="F74">
        <v>1480.307</v>
      </c>
      <c r="H74" s="2">
        <f t="shared" si="4"/>
        <v>1520.3267999999998</v>
      </c>
      <c r="I74" s="2">
        <f t="shared" si="5"/>
        <v>52.92380874653675</v>
      </c>
      <c r="K74">
        <v>80</v>
      </c>
      <c r="L74">
        <v>1908.9880000000001</v>
      </c>
      <c r="M74">
        <v>1482.0519999999999</v>
      </c>
      <c r="N74">
        <v>1248.25</v>
      </c>
      <c r="O74">
        <v>1499.4739999999999</v>
      </c>
      <c r="P74">
        <v>1740.636</v>
      </c>
      <c r="R74" s="3">
        <f t="shared" si="6"/>
        <v>1575.8799999999999</v>
      </c>
      <c r="S74" s="3">
        <f t="shared" si="7"/>
        <v>114.03693842786251</v>
      </c>
    </row>
    <row r="75" spans="1:19" x14ac:dyDescent="0.25">
      <c r="A75">
        <v>81.25</v>
      </c>
      <c r="B75">
        <v>1578.2139999999999</v>
      </c>
      <c r="C75">
        <v>1785.02</v>
      </c>
      <c r="D75">
        <v>1820.0319999999999</v>
      </c>
      <c r="E75">
        <v>1482.9880000000001</v>
      </c>
      <c r="F75">
        <v>1687.933</v>
      </c>
      <c r="H75" s="2">
        <f t="shared" si="4"/>
        <v>1670.8373999999999</v>
      </c>
      <c r="I75" s="2">
        <f t="shared" si="5"/>
        <v>63.02993164330735</v>
      </c>
      <c r="K75">
        <v>81.25</v>
      </c>
      <c r="L75">
        <v>2031.44</v>
      </c>
      <c r="M75">
        <v>1506.6510000000001</v>
      </c>
      <c r="N75">
        <v>1388.8810000000001</v>
      </c>
      <c r="O75">
        <v>1666.4680000000001</v>
      </c>
      <c r="P75">
        <v>1960.1030000000001</v>
      </c>
      <c r="R75" s="3">
        <f t="shared" si="6"/>
        <v>1710.7086000000004</v>
      </c>
      <c r="S75" s="3">
        <f t="shared" si="7"/>
        <v>124.94717616360873</v>
      </c>
    </row>
    <row r="76" spans="1:19" x14ac:dyDescent="0.25">
      <c r="A76">
        <v>82.5</v>
      </c>
      <c r="B76">
        <v>1954.039</v>
      </c>
      <c r="C76">
        <v>2175.6729999999998</v>
      </c>
      <c r="D76">
        <v>2220.5279999999998</v>
      </c>
      <c r="E76">
        <v>1884.693</v>
      </c>
      <c r="F76">
        <v>2062.116</v>
      </c>
      <c r="H76" s="2">
        <f t="shared" si="4"/>
        <v>2059.4097999999999</v>
      </c>
      <c r="I76" s="2">
        <f t="shared" si="5"/>
        <v>63.683787284834075</v>
      </c>
      <c r="K76">
        <v>82.5</v>
      </c>
      <c r="L76">
        <v>2485.393</v>
      </c>
      <c r="M76">
        <v>1878.712</v>
      </c>
      <c r="N76">
        <v>1806.4469999999999</v>
      </c>
      <c r="O76">
        <v>2079.5639999999999</v>
      </c>
      <c r="P76">
        <v>2509.8879999999999</v>
      </c>
      <c r="R76" s="3">
        <f t="shared" si="6"/>
        <v>2152.0008000000003</v>
      </c>
      <c r="S76" s="3">
        <f t="shared" si="7"/>
        <v>148.08357333593702</v>
      </c>
    </row>
    <row r="77" spans="1:19" x14ac:dyDescent="0.25">
      <c r="A77">
        <v>83.75</v>
      </c>
      <c r="B77">
        <v>2512.0610000000001</v>
      </c>
      <c r="C77">
        <v>2879.59</v>
      </c>
      <c r="D77">
        <v>2865.5239999999999</v>
      </c>
      <c r="E77">
        <v>2471.893</v>
      </c>
      <c r="F77">
        <v>2606.085</v>
      </c>
      <c r="H77" s="2">
        <f t="shared" si="4"/>
        <v>2667.0305999999996</v>
      </c>
      <c r="I77" s="2">
        <f t="shared" si="5"/>
        <v>86.714979787001042</v>
      </c>
      <c r="K77">
        <v>83.75</v>
      </c>
      <c r="L77">
        <v>3151.4070000000002</v>
      </c>
      <c r="M77">
        <v>2538.6390000000001</v>
      </c>
      <c r="N77">
        <v>2347.125</v>
      </c>
      <c r="O77">
        <v>2627.8470000000002</v>
      </c>
      <c r="P77">
        <v>3158.86</v>
      </c>
      <c r="R77" s="3">
        <f t="shared" si="6"/>
        <v>2764.7755999999999</v>
      </c>
      <c r="S77" s="3">
        <f t="shared" si="7"/>
        <v>165.69634589018534</v>
      </c>
    </row>
    <row r="78" spans="1:19" x14ac:dyDescent="0.25">
      <c r="A78">
        <v>85</v>
      </c>
      <c r="B78">
        <v>3037.1680000000001</v>
      </c>
      <c r="C78">
        <v>3435.6559999999999</v>
      </c>
      <c r="D78">
        <v>3366.924</v>
      </c>
      <c r="E78">
        <v>2959.4920000000002</v>
      </c>
      <c r="F78">
        <v>3015.828</v>
      </c>
      <c r="H78" s="2">
        <f t="shared" si="4"/>
        <v>3163.0135999999998</v>
      </c>
      <c r="I78" s="2">
        <f t="shared" si="5"/>
        <v>98.700326002298453</v>
      </c>
      <c r="K78">
        <v>85</v>
      </c>
      <c r="L78">
        <v>3780.107</v>
      </c>
      <c r="M78">
        <v>3210.7130000000002</v>
      </c>
      <c r="N78">
        <v>2754.652</v>
      </c>
      <c r="O78">
        <v>3052.3220000000001</v>
      </c>
      <c r="P78">
        <v>3634.692</v>
      </c>
      <c r="R78" s="3">
        <f t="shared" si="6"/>
        <v>3286.4972000000002</v>
      </c>
      <c r="S78" s="3">
        <f t="shared" si="7"/>
        <v>188.19283188139784</v>
      </c>
    </row>
    <row r="79" spans="1:19" x14ac:dyDescent="0.25">
      <c r="A79">
        <v>86.25</v>
      </c>
      <c r="B79">
        <v>3274.4070000000002</v>
      </c>
      <c r="C79">
        <v>3591.8209999999999</v>
      </c>
      <c r="D79">
        <v>3474.9369999999999</v>
      </c>
      <c r="E79">
        <v>3115.2719999999999</v>
      </c>
      <c r="F79">
        <v>3083.3020000000001</v>
      </c>
      <c r="H79" s="2">
        <f t="shared" si="4"/>
        <v>3307.9478000000004</v>
      </c>
      <c r="I79" s="2">
        <f t="shared" si="5"/>
        <v>99.293522251655432</v>
      </c>
      <c r="K79">
        <v>86.25</v>
      </c>
      <c r="L79">
        <v>4146.75</v>
      </c>
      <c r="M79">
        <v>3482.2759999999998</v>
      </c>
      <c r="N79">
        <v>2867.393</v>
      </c>
      <c r="O79">
        <v>3165.5160000000001</v>
      </c>
      <c r="P79">
        <v>3741.2860000000001</v>
      </c>
      <c r="R79" s="3">
        <f t="shared" si="6"/>
        <v>3480.6441999999997</v>
      </c>
      <c r="S79" s="3">
        <f t="shared" si="7"/>
        <v>222.15046299848279</v>
      </c>
    </row>
    <row r="80" spans="1:19" x14ac:dyDescent="0.25">
      <c r="A80">
        <v>87.5</v>
      </c>
      <c r="B80">
        <v>3135.8760000000002</v>
      </c>
      <c r="C80">
        <v>3470.0309999999999</v>
      </c>
      <c r="D80">
        <v>3247.1289999999999</v>
      </c>
      <c r="E80">
        <v>2922.5839999999998</v>
      </c>
      <c r="F80">
        <v>2870.9929999999999</v>
      </c>
      <c r="H80" s="2">
        <f t="shared" si="4"/>
        <v>3129.3226</v>
      </c>
      <c r="I80" s="2">
        <f t="shared" si="5"/>
        <v>109.42544030736181</v>
      </c>
      <c r="K80">
        <v>87.5</v>
      </c>
      <c r="L80">
        <v>4081.404</v>
      </c>
      <c r="M80">
        <v>3336.5990000000002</v>
      </c>
      <c r="N80">
        <v>2664.9450000000002</v>
      </c>
      <c r="O80">
        <v>2969.3049999999998</v>
      </c>
      <c r="P80">
        <v>3486.4830000000002</v>
      </c>
      <c r="R80" s="3">
        <f t="shared" si="6"/>
        <v>3307.7472000000002</v>
      </c>
      <c r="S80" s="3">
        <f t="shared" si="7"/>
        <v>240.73445410003171</v>
      </c>
    </row>
    <row r="81" spans="1:19" x14ac:dyDescent="0.25">
      <c r="A81">
        <v>88.75</v>
      </c>
      <c r="B81">
        <v>2818.67</v>
      </c>
      <c r="C81">
        <v>3167.1419999999998</v>
      </c>
      <c r="D81">
        <v>2989.924</v>
      </c>
      <c r="E81">
        <v>2634.0279999999998</v>
      </c>
      <c r="F81">
        <v>2588.221</v>
      </c>
      <c r="H81" s="2">
        <f t="shared" si="4"/>
        <v>2839.5970000000002</v>
      </c>
      <c r="I81" s="2">
        <f t="shared" si="5"/>
        <v>108.57494656227097</v>
      </c>
      <c r="K81">
        <v>88.75</v>
      </c>
      <c r="L81">
        <v>3771.58</v>
      </c>
      <c r="M81">
        <v>2958.2649999999999</v>
      </c>
      <c r="N81">
        <v>2367.3440000000001</v>
      </c>
      <c r="O81">
        <v>2677.4769999999999</v>
      </c>
      <c r="P81">
        <v>3131.643</v>
      </c>
      <c r="R81" s="3">
        <f t="shared" si="6"/>
        <v>2981.2617999999993</v>
      </c>
      <c r="S81" s="3">
        <f t="shared" si="7"/>
        <v>236.31826899785105</v>
      </c>
    </row>
    <row r="82" spans="1:19" x14ac:dyDescent="0.25">
      <c r="A82">
        <v>90</v>
      </c>
      <c r="B82">
        <v>2688.5239999999999</v>
      </c>
      <c r="C82">
        <v>2967.3009999999999</v>
      </c>
      <c r="D82">
        <v>2909.3919999999998</v>
      </c>
      <c r="E82">
        <v>2537.2829999999999</v>
      </c>
      <c r="F82">
        <v>2480.5590000000002</v>
      </c>
      <c r="H82" s="2">
        <f t="shared" si="4"/>
        <v>2716.6118000000001</v>
      </c>
      <c r="I82" s="2">
        <f t="shared" si="5"/>
        <v>97.128252304568889</v>
      </c>
      <c r="K82">
        <v>90</v>
      </c>
      <c r="L82">
        <v>3581.2739999999999</v>
      </c>
      <c r="M82">
        <v>2799.636</v>
      </c>
      <c r="N82">
        <v>2246.1529999999998</v>
      </c>
      <c r="O82">
        <v>2514.65</v>
      </c>
      <c r="P82">
        <v>2987.2579999999998</v>
      </c>
      <c r="R82" s="3">
        <f t="shared" si="6"/>
        <v>2825.7941999999998</v>
      </c>
      <c r="S82" s="3">
        <f t="shared" si="7"/>
        <v>226.96906972942315</v>
      </c>
    </row>
    <row r="83" spans="1:19" x14ac:dyDescent="0.25">
      <c r="A83">
        <v>91.25</v>
      </c>
      <c r="B83">
        <v>2821.14</v>
      </c>
      <c r="C83">
        <v>3014.8850000000002</v>
      </c>
      <c r="D83">
        <v>3036.8069999999998</v>
      </c>
      <c r="E83">
        <v>2657.145</v>
      </c>
      <c r="F83">
        <v>2571.5210000000002</v>
      </c>
      <c r="H83" s="2">
        <f t="shared" si="4"/>
        <v>2820.2995999999998</v>
      </c>
      <c r="I83" s="2">
        <f t="shared" si="5"/>
        <v>93.072513058152651</v>
      </c>
      <c r="K83">
        <v>91.25</v>
      </c>
      <c r="L83">
        <v>3691.248</v>
      </c>
      <c r="M83">
        <v>2970.462</v>
      </c>
      <c r="N83">
        <v>2303.59</v>
      </c>
      <c r="O83">
        <v>2570.0770000000002</v>
      </c>
      <c r="P83">
        <v>3080.57</v>
      </c>
      <c r="R83" s="3">
        <f t="shared" si="6"/>
        <v>2923.1894000000002</v>
      </c>
      <c r="S83" s="3">
        <f t="shared" si="7"/>
        <v>237.22448740751813</v>
      </c>
    </row>
    <row r="84" spans="1:19" x14ac:dyDescent="0.25">
      <c r="A84">
        <v>92.5</v>
      </c>
      <c r="B84">
        <v>3060.3040000000001</v>
      </c>
      <c r="C84">
        <v>3207.7440000000001</v>
      </c>
      <c r="D84">
        <v>3267.67</v>
      </c>
      <c r="E84">
        <v>2851.6030000000001</v>
      </c>
      <c r="F84">
        <v>2763.009</v>
      </c>
      <c r="H84" s="2">
        <f t="shared" si="4"/>
        <v>3030.0659999999998</v>
      </c>
      <c r="I84" s="2">
        <f t="shared" si="5"/>
        <v>98.007130547220925</v>
      </c>
      <c r="K84">
        <v>92.5</v>
      </c>
      <c r="L84">
        <v>4007.9279999999999</v>
      </c>
      <c r="M84">
        <v>3279.2489999999998</v>
      </c>
      <c r="N84">
        <v>2456.3009999999999</v>
      </c>
      <c r="O84">
        <v>2706.5940000000001</v>
      </c>
      <c r="P84">
        <v>3281.7049999999999</v>
      </c>
      <c r="R84" s="3">
        <f t="shared" si="6"/>
        <v>3146.3553999999999</v>
      </c>
      <c r="S84" s="3">
        <f t="shared" si="7"/>
        <v>269.0587976726643</v>
      </c>
    </row>
    <row r="85" spans="1:19" x14ac:dyDescent="0.25">
      <c r="A85">
        <v>93.75</v>
      </c>
      <c r="B85">
        <v>3286.433</v>
      </c>
      <c r="C85">
        <v>3501.2049999999999</v>
      </c>
      <c r="D85">
        <v>3573.3270000000002</v>
      </c>
      <c r="E85">
        <v>3079.3890000000001</v>
      </c>
      <c r="F85">
        <v>2982.1370000000002</v>
      </c>
      <c r="H85" s="2">
        <f t="shared" si="4"/>
        <v>3284.4981999999995</v>
      </c>
      <c r="I85" s="2">
        <f t="shared" si="5"/>
        <v>114.86508075059189</v>
      </c>
      <c r="K85">
        <v>93.75</v>
      </c>
      <c r="L85">
        <v>4329.6270000000004</v>
      </c>
      <c r="M85">
        <v>3573.1970000000001</v>
      </c>
      <c r="N85">
        <v>2666.6219999999998</v>
      </c>
      <c r="O85">
        <v>2909.5169999999998</v>
      </c>
      <c r="P85">
        <v>3536.761</v>
      </c>
      <c r="R85" s="3">
        <f t="shared" si="6"/>
        <v>3403.1447999999996</v>
      </c>
      <c r="S85" s="3">
        <f t="shared" si="7"/>
        <v>290.79843073826987</v>
      </c>
    </row>
    <row r="86" spans="1:19" x14ac:dyDescent="0.25">
      <c r="A86">
        <v>95</v>
      </c>
      <c r="B86">
        <v>3467.2420000000002</v>
      </c>
      <c r="C86">
        <v>3832.4989999999998</v>
      </c>
      <c r="D86">
        <v>3850.3339999999998</v>
      </c>
      <c r="E86">
        <v>3263.259</v>
      </c>
      <c r="F86">
        <v>3186.172</v>
      </c>
      <c r="H86" s="2">
        <f t="shared" si="4"/>
        <v>3519.9012000000002</v>
      </c>
      <c r="I86" s="2">
        <f t="shared" si="5"/>
        <v>139.08928948319485</v>
      </c>
      <c r="K86">
        <v>95</v>
      </c>
      <c r="L86">
        <v>4551.0659999999998</v>
      </c>
      <c r="M86">
        <v>3727.0970000000002</v>
      </c>
      <c r="N86">
        <v>2889.2849999999999</v>
      </c>
      <c r="O86">
        <v>3163.6559999999999</v>
      </c>
      <c r="P86">
        <v>3797.7069999999999</v>
      </c>
      <c r="R86" s="3">
        <f t="shared" si="6"/>
        <v>3625.7621999999997</v>
      </c>
      <c r="S86" s="3">
        <f t="shared" si="7"/>
        <v>287.39882432177899</v>
      </c>
    </row>
    <row r="87" spans="1:19" x14ac:dyDescent="0.25">
      <c r="A87">
        <v>96.25</v>
      </c>
      <c r="B87">
        <v>3588.277</v>
      </c>
      <c r="C87">
        <v>4090.1619999999998</v>
      </c>
      <c r="D87">
        <v>4047.2</v>
      </c>
      <c r="E87">
        <v>3395.3150000000001</v>
      </c>
      <c r="F87">
        <v>3351.1480000000001</v>
      </c>
      <c r="H87" s="2">
        <f t="shared" si="4"/>
        <v>3694.4204</v>
      </c>
      <c r="I87" s="2">
        <f t="shared" si="5"/>
        <v>158.05556972489131</v>
      </c>
      <c r="K87">
        <v>96.25</v>
      </c>
      <c r="L87">
        <v>4647.49</v>
      </c>
      <c r="M87">
        <v>3758.665</v>
      </c>
      <c r="N87">
        <v>3031.7730000000001</v>
      </c>
      <c r="O87">
        <v>3378.6889999999999</v>
      </c>
      <c r="P87">
        <v>3950.7489999999998</v>
      </c>
      <c r="R87" s="3">
        <f t="shared" si="6"/>
        <v>3753.4732000000004</v>
      </c>
      <c r="S87" s="3">
        <f t="shared" si="7"/>
        <v>273.81792399190977</v>
      </c>
    </row>
    <row r="88" spans="1:19" x14ac:dyDescent="0.25">
      <c r="A88">
        <v>97.5</v>
      </c>
      <c r="B88">
        <v>3698.4960000000001</v>
      </c>
      <c r="C88">
        <v>4348.0230000000001</v>
      </c>
      <c r="D88">
        <v>4234.5690000000004</v>
      </c>
      <c r="E88">
        <v>3549.4650000000001</v>
      </c>
      <c r="F88">
        <v>3567.8580000000002</v>
      </c>
      <c r="H88" s="2">
        <f t="shared" si="4"/>
        <v>3879.6822000000002</v>
      </c>
      <c r="I88" s="2">
        <f t="shared" si="5"/>
        <v>170.93769562486798</v>
      </c>
      <c r="K88">
        <v>97.5</v>
      </c>
      <c r="L88">
        <v>4703.7510000000002</v>
      </c>
      <c r="M88">
        <v>3811.268</v>
      </c>
      <c r="N88">
        <v>3173.614</v>
      </c>
      <c r="O88">
        <v>3575.433</v>
      </c>
      <c r="P88">
        <v>4101.5600000000004</v>
      </c>
      <c r="R88" s="3">
        <f t="shared" si="6"/>
        <v>3873.1251999999999</v>
      </c>
      <c r="S88" s="3">
        <f t="shared" si="7"/>
        <v>257.28238916945031</v>
      </c>
    </row>
    <row r="89" spans="1:19" x14ac:dyDescent="0.25">
      <c r="A89">
        <v>98.75</v>
      </c>
      <c r="B89">
        <v>3839.6129999999998</v>
      </c>
      <c r="C89">
        <v>4546.5150000000003</v>
      </c>
      <c r="D89">
        <v>4499.2790000000005</v>
      </c>
      <c r="E89">
        <v>3713.5320000000002</v>
      </c>
      <c r="F89">
        <v>3774.873</v>
      </c>
      <c r="H89" s="2">
        <f t="shared" si="4"/>
        <v>4074.7624000000005</v>
      </c>
      <c r="I89" s="2">
        <f t="shared" si="5"/>
        <v>184.184846515559</v>
      </c>
      <c r="K89">
        <v>98.75</v>
      </c>
      <c r="L89">
        <v>4819.2380000000003</v>
      </c>
      <c r="M89">
        <v>3970.9850000000001</v>
      </c>
      <c r="N89">
        <v>3364.2370000000001</v>
      </c>
      <c r="O89">
        <v>3766.3530000000001</v>
      </c>
      <c r="P89">
        <v>4303.6329999999998</v>
      </c>
      <c r="R89" s="3">
        <f t="shared" si="6"/>
        <v>4044.8891999999992</v>
      </c>
      <c r="S89" s="3">
        <f t="shared" si="7"/>
        <v>246.26165768881106</v>
      </c>
    </row>
    <row r="90" spans="1:19" x14ac:dyDescent="0.25">
      <c r="A90">
        <v>100</v>
      </c>
      <c r="B90">
        <v>3877.8139999999999</v>
      </c>
      <c r="C90">
        <v>4569.5569999999998</v>
      </c>
      <c r="D90">
        <v>4557.4570000000003</v>
      </c>
      <c r="E90">
        <v>3756.2510000000002</v>
      </c>
      <c r="F90">
        <v>3836.2339999999999</v>
      </c>
      <c r="H90" s="2">
        <f t="shared" si="4"/>
        <v>4119.4625999999998</v>
      </c>
      <c r="I90" s="2">
        <f t="shared" si="5"/>
        <v>182.34023355491237</v>
      </c>
      <c r="K90">
        <v>100</v>
      </c>
      <c r="L90">
        <v>4883.9970000000003</v>
      </c>
      <c r="M90">
        <v>4043.1109999999999</v>
      </c>
      <c r="N90">
        <v>3443.2379999999998</v>
      </c>
      <c r="O90">
        <v>3840.049</v>
      </c>
      <c r="P90">
        <v>4456.7479999999996</v>
      </c>
      <c r="R90" s="3">
        <f t="shared" si="6"/>
        <v>4133.4286000000002</v>
      </c>
      <c r="S90" s="3">
        <f t="shared" si="7"/>
        <v>248.84536165952585</v>
      </c>
    </row>
    <row r="91" spans="1:19" x14ac:dyDescent="0.25">
      <c r="A91">
        <v>101.25</v>
      </c>
      <c r="B91">
        <v>3748.4850000000001</v>
      </c>
      <c r="C91">
        <v>4330.4040000000005</v>
      </c>
      <c r="D91">
        <v>4396.4040000000005</v>
      </c>
      <c r="E91">
        <v>3633.346</v>
      </c>
      <c r="F91">
        <v>3732.3989999999999</v>
      </c>
      <c r="H91" s="2">
        <f t="shared" si="4"/>
        <v>3968.2076000000002</v>
      </c>
      <c r="I91" s="2">
        <f t="shared" si="5"/>
        <v>162.87332456317097</v>
      </c>
      <c r="K91">
        <v>101.25</v>
      </c>
      <c r="L91">
        <v>4760.2529999999997</v>
      </c>
      <c r="M91">
        <v>3903.5329999999999</v>
      </c>
      <c r="N91">
        <v>3352.6689999999999</v>
      </c>
      <c r="O91">
        <v>3691.087</v>
      </c>
      <c r="P91">
        <v>4342.2889999999998</v>
      </c>
      <c r="R91" s="3">
        <f t="shared" si="6"/>
        <v>4009.9661999999998</v>
      </c>
      <c r="S91" s="3">
        <f t="shared" si="7"/>
        <v>246.82182896137834</v>
      </c>
    </row>
    <row r="92" spans="1:19" x14ac:dyDescent="0.25">
      <c r="A92">
        <v>102.5</v>
      </c>
      <c r="B92">
        <v>3482.6990000000001</v>
      </c>
      <c r="C92">
        <v>3940.884</v>
      </c>
      <c r="D92">
        <v>4063.09</v>
      </c>
      <c r="E92">
        <v>3378.9639999999999</v>
      </c>
      <c r="F92">
        <v>3464.2730000000001</v>
      </c>
      <c r="H92" s="2">
        <f t="shared" si="4"/>
        <v>3665.982</v>
      </c>
      <c r="I92" s="2">
        <f t="shared" si="5"/>
        <v>139.62886241067784</v>
      </c>
      <c r="K92">
        <v>102.5</v>
      </c>
      <c r="L92">
        <v>4424.37</v>
      </c>
      <c r="M92">
        <v>3572.9450000000002</v>
      </c>
      <c r="N92">
        <v>3110.2489999999998</v>
      </c>
      <c r="O92">
        <v>3382.6309999999999</v>
      </c>
      <c r="P92">
        <v>3984.9650000000001</v>
      </c>
      <c r="R92" s="3">
        <f t="shared" si="6"/>
        <v>3695.0320000000002</v>
      </c>
      <c r="S92" s="3">
        <f t="shared" si="7"/>
        <v>231.35101471487056</v>
      </c>
    </row>
    <row r="93" spans="1:19" x14ac:dyDescent="0.25">
      <c r="A93">
        <v>103.75</v>
      </c>
      <c r="B93">
        <v>3110.2849999999999</v>
      </c>
      <c r="C93">
        <v>3502.0230000000001</v>
      </c>
      <c r="D93">
        <v>3641.6819999999998</v>
      </c>
      <c r="E93">
        <v>3018.223</v>
      </c>
      <c r="F93">
        <v>3099.9169999999999</v>
      </c>
      <c r="H93" s="2">
        <f t="shared" si="4"/>
        <v>3274.4259999999999</v>
      </c>
      <c r="I93" s="2">
        <f t="shared" si="5"/>
        <v>124.44135167137971</v>
      </c>
      <c r="K93">
        <v>103.75</v>
      </c>
      <c r="L93">
        <v>3957.0390000000002</v>
      </c>
      <c r="M93">
        <v>3139.5520000000001</v>
      </c>
      <c r="N93">
        <v>2785.8580000000002</v>
      </c>
      <c r="O93">
        <v>2979.9360000000001</v>
      </c>
      <c r="P93">
        <v>3521.5770000000002</v>
      </c>
      <c r="R93" s="3">
        <f t="shared" si="6"/>
        <v>3276.7923999999998</v>
      </c>
      <c r="S93" s="3">
        <f t="shared" si="7"/>
        <v>208.64205855066822</v>
      </c>
    </row>
    <row r="94" spans="1:19" x14ac:dyDescent="0.25">
      <c r="A94">
        <v>105</v>
      </c>
      <c r="B94">
        <v>2789.1790000000001</v>
      </c>
      <c r="C94">
        <v>3129.8910000000001</v>
      </c>
      <c r="D94">
        <v>3235.7249999999999</v>
      </c>
      <c r="E94">
        <v>2691.875</v>
      </c>
      <c r="F94">
        <v>2779.768</v>
      </c>
      <c r="H94" s="2">
        <f t="shared" si="4"/>
        <v>2925.2876000000001</v>
      </c>
      <c r="I94" s="2">
        <f t="shared" si="5"/>
        <v>107.80001795621369</v>
      </c>
      <c r="K94">
        <v>105</v>
      </c>
      <c r="L94">
        <v>3487.09</v>
      </c>
      <c r="M94">
        <v>2784.6779999999999</v>
      </c>
      <c r="N94">
        <v>2499.8090000000002</v>
      </c>
      <c r="O94">
        <v>2620.8780000000002</v>
      </c>
      <c r="P94">
        <v>3113.6669999999999</v>
      </c>
      <c r="R94" s="3">
        <f t="shared" si="6"/>
        <v>2901.2244000000001</v>
      </c>
      <c r="S94" s="3">
        <f t="shared" si="7"/>
        <v>179.1203297034132</v>
      </c>
    </row>
    <row r="95" spans="1:19" x14ac:dyDescent="0.25">
      <c r="A95">
        <v>106.25</v>
      </c>
      <c r="B95">
        <v>2588.163</v>
      </c>
      <c r="C95">
        <v>2891</v>
      </c>
      <c r="D95">
        <v>2972.1840000000002</v>
      </c>
      <c r="E95">
        <v>2493.4870000000001</v>
      </c>
      <c r="F95">
        <v>2562.5859999999998</v>
      </c>
      <c r="H95" s="2">
        <f t="shared" si="4"/>
        <v>2701.4840000000004</v>
      </c>
      <c r="I95" s="2">
        <f t="shared" si="5"/>
        <v>96.070770713573481</v>
      </c>
      <c r="K95">
        <v>106.25</v>
      </c>
      <c r="L95">
        <v>3158.14</v>
      </c>
      <c r="M95">
        <v>2563.971</v>
      </c>
      <c r="N95">
        <v>2302.721</v>
      </c>
      <c r="O95">
        <v>2409.7559999999999</v>
      </c>
      <c r="P95">
        <v>2836.8180000000002</v>
      </c>
      <c r="R95" s="3">
        <f t="shared" si="6"/>
        <v>2654.2811999999999</v>
      </c>
      <c r="S95" s="3">
        <f t="shared" si="7"/>
        <v>154.71529555522281</v>
      </c>
    </row>
    <row r="96" spans="1:19" x14ac:dyDescent="0.25">
      <c r="A96">
        <v>107.5</v>
      </c>
      <c r="B96">
        <v>2436.6680000000001</v>
      </c>
      <c r="C96">
        <v>2693.3069999999998</v>
      </c>
      <c r="D96">
        <v>2792.42</v>
      </c>
      <c r="E96">
        <v>2345.5070000000001</v>
      </c>
      <c r="F96">
        <v>2401.8119999999999</v>
      </c>
      <c r="H96" s="2">
        <f t="shared" si="4"/>
        <v>2533.9427999999998</v>
      </c>
      <c r="I96" s="2">
        <f t="shared" si="5"/>
        <v>87.930767341926426</v>
      </c>
      <c r="K96">
        <v>107.5</v>
      </c>
      <c r="L96">
        <v>2961.3110000000001</v>
      </c>
      <c r="M96">
        <v>2394.6350000000002</v>
      </c>
      <c r="N96">
        <v>2145.163</v>
      </c>
      <c r="O96">
        <v>2257.84</v>
      </c>
      <c r="P96">
        <v>2638.3319999999999</v>
      </c>
      <c r="R96" s="3">
        <f t="shared" si="6"/>
        <v>2479.4562000000001</v>
      </c>
      <c r="S96" s="3">
        <f t="shared" si="7"/>
        <v>145.85710262904638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BRIGHT!OCT_RAW___\CO06\_dark_profiles_CO06_DARK</vt:lpstr>
      <vt:lpstr>BRIGHT!OCT_RAW___\CO06\_light_profiles_CO06_LIGHT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2019-11-17T03:28:57Z</dcterms:modified>
</cp:coreProperties>
</file>