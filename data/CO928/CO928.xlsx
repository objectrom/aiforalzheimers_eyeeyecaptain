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CO928\"/>
    </mc:Choice>
  </mc:AlternateContent>
  <xr:revisionPtr revIDLastSave="0" documentId="13_ncr:1_{1AF11806-721A-4C11-9A07-AD84809664DD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CO13\_dark_profiles_CO13_DARK" localSheetId="0">BRIGHT!$A$2:$E$96</definedName>
    <definedName name="OCT_RAW___\CO13\_fovea_dark_profiles_CO13_DARK" localSheetId="0">BRIGHT!#REF!</definedName>
    <definedName name="OCT_RAW___\CO13\_fovea_light_profiles_CO13_LIGHT" localSheetId="0">BRIGHT!#REF!</definedName>
    <definedName name="OCT_RAW___\CO13\_light_profiles_CO13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C08CB7-FEA4-4E02-A4DC-85920B44B9B8}" name="[[[OCT RAW]]]\CO13\_dark_profiles_CO13_DARK" type="6" refreshedVersion="6" background="1" saveData="1">
    <textPr codePage="437" sourceFile="E:\[Documents]\[[[OCT RAW]]]\CO13\_dark_profiles_CO13_DARK.txt" space="1" consecutive="1">
      <textFields count="5">
        <textField/>
        <textField/>
        <textField/>
        <textField/>
        <textField/>
      </textFields>
    </textPr>
  </connection>
  <connection id="2" xr16:uid="{55AA8AA7-6049-4D19-9D31-CFAB699B90FA}" name="[[[OCT RAW]]]\CO13\_light_profiles_CO13_LIGHT" type="6" refreshedVersion="6" background="1" saveData="1">
    <textPr codePage="437" sourceFile="E:\[Documents]\[[[OCT RAW]]]\CO13\_light_profiles_CO13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<sst xmlns="http://schemas.openxmlformats.org/spreadsheetml/2006/main" count="12" uniqueCount="8">
  <si>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</si>
  <si>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</si>
  <si>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</si>
  <si>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</si>
  <si>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</si>
  <si>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</si>
  <si>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CO928_DARK</t>
  </si>
  <si>
    <t>CO928_LIGHT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</si>
</sst>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448.02149999999995</c:v>
                </c:pt>
                <c:pt idx="1">
                  <c:v>722.346</c:v>
                </c:pt>
                <c:pt idx="2">
                  <c:v>1230.9087500000001</c:v>
                </c:pt>
                <c:pt idx="3">
                  <c:v>1789.3152500000001</c:v>
                </c:pt>
                <c:pt idx="4">
                  <c:v>2383.4669999999996</c:v>
                </c:pt>
                <c:pt idx="5">
                  <c:v>2815.0864999999999</c:v>
                </c:pt>
                <c:pt idx="6">
                  <c:v>3006.4054999999998</c:v>
                </c:pt>
                <c:pt idx="7">
                  <c:v>3088.7472499999999</c:v>
                </c:pt>
                <c:pt idx="8">
                  <c:v>3132.9584999999997</c:v>
                </c:pt>
                <c:pt idx="9">
                  <c:v>3096.7440000000006</c:v>
                </c:pt>
                <c:pt idx="10">
                  <c:v>2899.6549999999997</c:v>
                </c:pt>
                <c:pt idx="11">
                  <c:v>2506.9437500000004</c:v>
                </c:pt>
                <c:pt idx="12">
                  <c:v>2232.1165000000001</c:v>
                </c:pt>
                <c:pt idx="13">
                  <c:v>2113.0810000000001</c:v>
                </c:pt>
                <c:pt idx="14">
                  <c:v>2081.7239999999997</c:v>
                </c:pt>
                <c:pt idx="15">
                  <c:v>2067.75875</c:v>
                </c:pt>
                <c:pt idx="16">
                  <c:v>2072.3349999999996</c:v>
                </c:pt>
                <c:pt idx="17">
                  <c:v>2079.6600000000003</c:v>
                </c:pt>
                <c:pt idx="18">
                  <c:v>2087.0367500000002</c:v>
                </c:pt>
                <c:pt idx="19">
                  <c:v>2087.8575000000001</c:v>
                </c:pt>
                <c:pt idx="20">
                  <c:v>2085.8270000000002</c:v>
                </c:pt>
                <c:pt idx="21">
                  <c:v>2098.4960000000001</c:v>
                </c:pt>
                <c:pt idx="22">
                  <c:v>2124.68075</c:v>
                </c:pt>
                <c:pt idx="23">
                  <c:v>2148.1512499999999</c:v>
                </c:pt>
                <c:pt idx="24">
                  <c:v>2169.9292500000001</c:v>
                </c:pt>
                <c:pt idx="25">
                  <c:v>2191.4397500000005</c:v>
                </c:pt>
                <c:pt idx="26">
                  <c:v>2208.8404999999998</c:v>
                </c:pt>
                <c:pt idx="27">
                  <c:v>2226.6032500000001</c:v>
                </c:pt>
                <c:pt idx="28">
                  <c:v>2238.6684999999998</c:v>
                </c:pt>
                <c:pt idx="29">
                  <c:v>2241.13625</c:v>
                </c:pt>
                <c:pt idx="30">
                  <c:v>2246.7049999999999</c:v>
                </c:pt>
                <c:pt idx="31">
                  <c:v>2218.5007500000002</c:v>
                </c:pt>
                <c:pt idx="32">
                  <c:v>2115.7379999999998</c:v>
                </c:pt>
                <c:pt idx="33">
                  <c:v>1970.4222500000001</c:v>
                </c:pt>
                <c:pt idx="34">
                  <c:v>1823.03225</c:v>
                </c:pt>
                <c:pt idx="35">
                  <c:v>1738.50775</c:v>
                </c:pt>
                <c:pt idx="36">
                  <c:v>1708.65725</c:v>
                </c:pt>
                <c:pt idx="37">
                  <c:v>1705.92725</c:v>
                </c:pt>
                <c:pt idx="38">
                  <c:v>1713</c:v>
                </c:pt>
                <c:pt idx="39">
                  <c:v>1731.3977500000001</c:v>
                </c:pt>
                <c:pt idx="40">
                  <c:v>1780.2860000000001</c:v>
                </c:pt>
                <c:pt idx="41">
                  <c:v>1862.0365000000002</c:v>
                </c:pt>
                <c:pt idx="42">
                  <c:v>1955.3390000000002</c:v>
                </c:pt>
                <c:pt idx="43">
                  <c:v>2049.9014999999999</c:v>
                </c:pt>
                <c:pt idx="44">
                  <c:v>2094.8057499999995</c:v>
                </c:pt>
                <c:pt idx="45">
                  <c:v>2092.7865000000002</c:v>
                </c:pt>
                <c:pt idx="46">
                  <c:v>2079.355</c:v>
                </c:pt>
                <c:pt idx="47">
                  <c:v>2031.1157499999999</c:v>
                </c:pt>
                <c:pt idx="48">
                  <c:v>1912.2915000000003</c:v>
                </c:pt>
                <c:pt idx="49">
                  <c:v>1773.7212500000001</c:v>
                </c:pt>
                <c:pt idx="50">
                  <c:v>1683.3157499999998</c:v>
                </c:pt>
                <c:pt idx="51">
                  <c:v>1610.566</c:v>
                </c:pt>
                <c:pt idx="52">
                  <c:v>1552.8885</c:v>
                </c:pt>
                <c:pt idx="53">
                  <c:v>1511.0552499999999</c:v>
                </c:pt>
                <c:pt idx="54">
                  <c:v>1475.1982499999999</c:v>
                </c:pt>
                <c:pt idx="55">
                  <c:v>1452.99325</c:v>
                </c:pt>
                <c:pt idx="56">
                  <c:v>1436.2452499999999</c:v>
                </c:pt>
                <c:pt idx="57">
                  <c:v>1414.6544999999999</c:v>
                </c:pt>
                <c:pt idx="58">
                  <c:v>1392.3875</c:v>
                </c:pt>
                <c:pt idx="59">
                  <c:v>1375.2352500000002</c:v>
                </c:pt>
                <c:pt idx="60">
                  <c:v>1361.0104999999999</c:v>
                </c:pt>
                <c:pt idx="61">
                  <c:v>1353.778</c:v>
                </c:pt>
                <c:pt idx="62">
                  <c:v>1366.5464999999999</c:v>
                </c:pt>
                <c:pt idx="63">
                  <c:v>1455.9635000000001</c:v>
                </c:pt>
                <c:pt idx="64">
                  <c:v>1628.50225</c:v>
                </c:pt>
                <c:pt idx="65">
                  <c:v>1706.394</c:v>
                </c:pt>
                <c:pt idx="66">
                  <c:v>1637.2375</c:v>
                </c:pt>
                <c:pt idx="67">
                  <c:v>1526.268</c:v>
                </c:pt>
                <c:pt idx="68">
                  <c:v>1600.086</c:v>
                </c:pt>
                <c:pt idx="69">
                  <c:v>2190.7227499999999</c:v>
                </c:pt>
                <c:pt idx="70">
                  <c:v>3103.0482499999998</c:v>
                </c:pt>
                <c:pt idx="71">
                  <c:v>3771.9539999999997</c:v>
                </c:pt>
                <c:pt idx="72">
                  <c:v>3834.5317500000001</c:v>
                </c:pt>
                <c:pt idx="73">
                  <c:v>3324.3637499999995</c:v>
                </c:pt>
                <c:pt idx="74">
                  <c:v>2700.0699999999997</c:v>
                </c:pt>
                <c:pt idx="75">
                  <c:v>2504.5574999999999</c:v>
                </c:pt>
                <c:pt idx="76">
                  <c:v>2710.1277500000001</c:v>
                </c:pt>
                <c:pt idx="77">
                  <c:v>3068.7427499999999</c:v>
                </c:pt>
                <c:pt idx="78">
                  <c:v>3412.009</c:v>
                </c:pt>
                <c:pt idx="79">
                  <c:v>3614.3892500000002</c:v>
                </c:pt>
                <c:pt idx="80">
                  <c:v>3690.6414999999997</c:v>
                </c:pt>
                <c:pt idx="81">
                  <c:v>3763.3352500000001</c:v>
                </c:pt>
                <c:pt idx="82">
                  <c:v>3939.3804999999998</c:v>
                </c:pt>
                <c:pt idx="83">
                  <c:v>4048.1530000000002</c:v>
                </c:pt>
                <c:pt idx="84">
                  <c:v>3936.7060000000001</c:v>
                </c:pt>
                <c:pt idx="85">
                  <c:v>3597.4444999999996</c:v>
                </c:pt>
                <c:pt idx="86">
                  <c:v>3085.6062499999998</c:v>
                </c:pt>
                <c:pt idx="87">
                  <c:v>2608.1750000000002</c:v>
                </c:pt>
                <c:pt idx="88">
                  <c:v>2362.9907499999999</c:v>
                </c:pt>
                <c:pt idx="89">
                  <c:v>2258.09375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507.50420000000003</c:v>
                </c:pt>
                <c:pt idx="1">
                  <c:v>813.78019999999992</c:v>
                </c:pt>
                <c:pt idx="2">
                  <c:v>1444.0293999999999</c:v>
                </c:pt>
                <c:pt idx="3">
                  <c:v>2094.9937999999997</c:v>
                </c:pt>
                <c:pt idx="4">
                  <c:v>2755.357</c:v>
                </c:pt>
                <c:pt idx="5">
                  <c:v>3242.8334</c:v>
                </c:pt>
                <c:pt idx="6">
                  <c:v>3498.2972</c:v>
                </c:pt>
                <c:pt idx="7">
                  <c:v>3623.3559999999998</c:v>
                </c:pt>
                <c:pt idx="8">
                  <c:v>3666.5559999999996</c:v>
                </c:pt>
                <c:pt idx="9">
                  <c:v>3598.6080000000002</c:v>
                </c:pt>
                <c:pt idx="10">
                  <c:v>3366.7740000000003</c:v>
                </c:pt>
                <c:pt idx="11">
                  <c:v>2909.3090000000002</c:v>
                </c:pt>
                <c:pt idx="12">
                  <c:v>2579.8004000000001</c:v>
                </c:pt>
                <c:pt idx="13">
                  <c:v>2426.7393999999999</c:v>
                </c:pt>
                <c:pt idx="14">
                  <c:v>2381.4934000000003</c:v>
                </c:pt>
                <c:pt idx="15">
                  <c:v>2372.9748000000004</c:v>
                </c:pt>
                <c:pt idx="16">
                  <c:v>2380.7403999999997</c:v>
                </c:pt>
                <c:pt idx="17">
                  <c:v>2390.3635999999997</c:v>
                </c:pt>
                <c:pt idx="18">
                  <c:v>2384.4732000000004</c:v>
                </c:pt>
                <c:pt idx="19">
                  <c:v>2373.6193999999996</c:v>
                </c:pt>
                <c:pt idx="20">
                  <c:v>2361.2889999999998</c:v>
                </c:pt>
                <c:pt idx="21">
                  <c:v>2373.7220000000002</c:v>
                </c:pt>
                <c:pt idx="22">
                  <c:v>2402.0896000000002</c:v>
                </c:pt>
                <c:pt idx="23">
                  <c:v>2437.6192000000001</c:v>
                </c:pt>
                <c:pt idx="24">
                  <c:v>2457.8352</c:v>
                </c:pt>
                <c:pt idx="25">
                  <c:v>2461.768</c:v>
                </c:pt>
                <c:pt idx="26">
                  <c:v>2473.5221999999999</c:v>
                </c:pt>
                <c:pt idx="27">
                  <c:v>2488.7626</c:v>
                </c:pt>
                <c:pt idx="28">
                  <c:v>2500.2356</c:v>
                </c:pt>
                <c:pt idx="29">
                  <c:v>2517.4654</c:v>
                </c:pt>
                <c:pt idx="30">
                  <c:v>2530.7758000000003</c:v>
                </c:pt>
                <c:pt idx="31">
                  <c:v>2502.3006</c:v>
                </c:pt>
                <c:pt idx="32">
                  <c:v>2378.8112000000001</c:v>
                </c:pt>
                <c:pt idx="33">
                  <c:v>2207.759</c:v>
                </c:pt>
                <c:pt idx="34">
                  <c:v>2051.6882000000001</c:v>
                </c:pt>
                <c:pt idx="35">
                  <c:v>1955.6806000000001</c:v>
                </c:pt>
                <c:pt idx="36">
                  <c:v>1909.9962</c:v>
                </c:pt>
                <c:pt idx="37">
                  <c:v>1897.4531999999999</c:v>
                </c:pt>
                <c:pt idx="38">
                  <c:v>1895.3328000000001</c:v>
                </c:pt>
                <c:pt idx="39">
                  <c:v>1903.7962</c:v>
                </c:pt>
                <c:pt idx="40">
                  <c:v>1944.6167999999998</c:v>
                </c:pt>
                <c:pt idx="41">
                  <c:v>2024.4928</c:v>
                </c:pt>
                <c:pt idx="42">
                  <c:v>2128.5469999999996</c:v>
                </c:pt>
                <c:pt idx="43">
                  <c:v>2223.0904</c:v>
                </c:pt>
                <c:pt idx="44">
                  <c:v>2279.1402000000003</c:v>
                </c:pt>
                <c:pt idx="45">
                  <c:v>2269.8129999999996</c:v>
                </c:pt>
                <c:pt idx="46">
                  <c:v>2240.5268000000005</c:v>
                </c:pt>
                <c:pt idx="47">
                  <c:v>2178.0297999999998</c:v>
                </c:pt>
                <c:pt idx="48">
                  <c:v>2042.8278000000003</c:v>
                </c:pt>
                <c:pt idx="49">
                  <c:v>1883.3002000000001</c:v>
                </c:pt>
                <c:pt idx="50">
                  <c:v>1768.0696</c:v>
                </c:pt>
                <c:pt idx="51">
                  <c:v>1693.17</c:v>
                </c:pt>
                <c:pt idx="52">
                  <c:v>1642.6434000000002</c:v>
                </c:pt>
                <c:pt idx="53">
                  <c:v>1602.6770000000001</c:v>
                </c:pt>
                <c:pt idx="54">
                  <c:v>1569.5603999999998</c:v>
                </c:pt>
                <c:pt idx="55">
                  <c:v>1549.5328000000002</c:v>
                </c:pt>
                <c:pt idx="56">
                  <c:v>1535.9198000000001</c:v>
                </c:pt>
                <c:pt idx="57">
                  <c:v>1522.0062</c:v>
                </c:pt>
                <c:pt idx="58">
                  <c:v>1502.6094000000001</c:v>
                </c:pt>
                <c:pt idx="59">
                  <c:v>1486.7259999999999</c:v>
                </c:pt>
                <c:pt idx="60">
                  <c:v>1475.0665999999999</c:v>
                </c:pt>
                <c:pt idx="61">
                  <c:v>1463.0963999999999</c:v>
                </c:pt>
                <c:pt idx="62">
                  <c:v>1466.1100000000001</c:v>
                </c:pt>
                <c:pt idx="63">
                  <c:v>1574.8516</c:v>
                </c:pt>
                <c:pt idx="64">
                  <c:v>1787.4349999999999</c:v>
                </c:pt>
                <c:pt idx="65">
                  <c:v>1888.1471999999999</c:v>
                </c:pt>
                <c:pt idx="66">
                  <c:v>1802.2326</c:v>
                </c:pt>
                <c:pt idx="67">
                  <c:v>1662.2963999999999</c:v>
                </c:pt>
                <c:pt idx="68">
                  <c:v>1752.7465999999999</c:v>
                </c:pt>
                <c:pt idx="69">
                  <c:v>2426.8607999999999</c:v>
                </c:pt>
                <c:pt idx="70">
                  <c:v>3431.4936000000002</c:v>
                </c:pt>
                <c:pt idx="71">
                  <c:v>4159.4687999999996</c:v>
                </c:pt>
                <c:pt idx="72">
                  <c:v>4209.8550000000005</c:v>
                </c:pt>
                <c:pt idx="73">
                  <c:v>3659.3802000000005</c:v>
                </c:pt>
                <c:pt idx="74">
                  <c:v>2980.5194000000001</c:v>
                </c:pt>
                <c:pt idx="75">
                  <c:v>2736.7146000000002</c:v>
                </c:pt>
                <c:pt idx="76">
                  <c:v>2945.2237999999998</c:v>
                </c:pt>
                <c:pt idx="77">
                  <c:v>3323.6309999999999</c:v>
                </c:pt>
                <c:pt idx="78">
                  <c:v>3703.4672</c:v>
                </c:pt>
                <c:pt idx="79">
                  <c:v>3943.2555999999995</c:v>
                </c:pt>
                <c:pt idx="80">
                  <c:v>4030.6655999999994</c:v>
                </c:pt>
                <c:pt idx="81">
                  <c:v>4095.2284</c:v>
                </c:pt>
                <c:pt idx="82">
                  <c:v>4269.1201999999994</c:v>
                </c:pt>
                <c:pt idx="83">
                  <c:v>4396.8032000000003</c:v>
                </c:pt>
                <c:pt idx="84">
                  <c:v>4299.5069999999996</c:v>
                </c:pt>
                <c:pt idx="85">
                  <c:v>3930.9636</c:v>
                </c:pt>
                <c:pt idx="86">
                  <c:v>3383.4940000000001</c:v>
                </c:pt>
                <c:pt idx="87">
                  <c:v>2900.2292000000002</c:v>
                </c:pt>
                <c:pt idx="88">
                  <c:v>2647.2470000000003</c:v>
                </c:pt>
                <c:pt idx="89">
                  <c:v>2524.8890000000001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13\_light_profiles_CO13_LIGHT" connectionId="2" xr16:uid="{958104C9-3246-4FFF-B6D0-582353F722E2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13\_dark_profiles_CO13_DARK" connectionId="1" xr16:uid="{D92B446C-E7F2-42A8-819A-62E3FD45B86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K2" sqref="K2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-2.4470000000000001</v>
      </c>
      <c r="C3">
        <v>-1.9079999999999999</v>
      </c>
      <c r="D3">
        <v>7.4999999999999997E-2</v>
      </c>
      <c r="F3">
        <v>-1.7509999999999999</v>
      </c>
      <c r="K3" t="s">
        <v>0</v>
      </c>
      <c r="L3">
        <v>-0.88900000000000001</v>
      </c>
      <c r="M3">
        <v>-0.53600000000000003</v>
      </c>
      <c r="N3">
        <v>0.40899999999999997</v>
      </c>
      <c r="O3">
        <v>0.36199999999999999</v>
      </c>
      <c r="P3">
        <v>-0.68200000000000005</v>
      </c>
    </row>
    <row r="4" spans="1:19" x14ac:dyDescent="0.25">
      <c r="A4" t="s">
        <v>1</v>
      </c>
      <c r="B4">
        <v>317.90899999999999</v>
      </c>
      <c r="C4">
        <v>318.40899999999999</v>
      </c>
      <c r="D4">
        <v>317.34899999999999</v>
      </c>
      <c r="F4">
        <v>315.82100000000003</v>
      </c>
      <c r="H4" s="2">
        <f>AVERAGE(B4:F4)</f>
        <v>317.37199999999996</v>
      </c>
      <c r="I4" s="2">
        <f>STDEV(B4:F4)/SQRT(COUNT(B4:F4))</f>
        <v>0.56049591137372068</v>
      </c>
      <c r="K4" t="s">
        <v>1</v>
      </c>
      <c r="L4">
        <v>316.44600000000003</v>
      </c>
      <c r="M4">
        <v>316.86700000000002</v>
      </c>
      <c r="N4">
        <v>318.43799999999999</v>
      </c>
      <c r="O4">
        <v>317.89</v>
      </c>
      <c r="P4">
        <v>318.29300000000001</v>
      </c>
      <c r="R4" s="3">
        <f>AVERAGE(L4:P4)</f>
        <v>317.58680000000004</v>
      </c>
      <c r="S4" s="3">
        <f>STDEV(L4:P4)/SQRT(COUNT(L4:P4))</f>
        <v>0.3958994064153098</v>
      </c>
    </row>
    <row r="5" spans="1:19" x14ac:dyDescent="0.25">
      <c r="A5" t="s">
        <v>2</v>
      </c>
      <c r="B5">
        <v>70.765000000000001</v>
      </c>
      <c r="C5">
        <v>70.715999999999994</v>
      </c>
      <c r="D5">
        <v>70.518000000000001</v>
      </c>
      <c r="F5">
        <v>69.356999999999999</v>
      </c>
      <c r="H5" s="2">
        <f t="shared" ref="H5:H68" si="0">AVERAGE(B5:F5)</f>
        <v>70.338999999999999</v>
      </c>
      <c r="I5" s="2">
        <f t="shared" ref="I5:I68" si="1">STDEV(B5:F5)/SQRT(COUNT(B5:F5))</f>
        <v>0.33165871012231807</v>
      </c>
      <c r="K5" t="s">
        <v>2</v>
      </c>
      <c r="L5">
        <v>69.95</v>
      </c>
      <c r="M5">
        <v>70.037999999999997</v>
      </c>
      <c r="N5">
        <v>70.962999999999994</v>
      </c>
      <c r="O5">
        <v>70.239999999999995</v>
      </c>
      <c r="P5">
        <v>70.775999999999996</v>
      </c>
      <c r="R5" s="3">
        <f t="shared" ref="R5:R68" si="2">AVERAGE(L5:P5)</f>
        <v>70.3934</v>
      </c>
      <c r="S5" s="3">
        <f t="shared" ref="S5:S68" si="3">STDEV(L5:P5)/SQRT(COUNT(L5:P5))</f>
        <v>0.20214737198390575</v>
      </c>
    </row>
    <row r="6" spans="1:19" x14ac:dyDescent="0.25">
      <c r="A6" t="s">
        <v>3</v>
      </c>
      <c r="B6">
        <v>33.783000000000001</v>
      </c>
      <c r="C6">
        <v>34.287999999999997</v>
      </c>
      <c r="D6">
        <v>33.767000000000003</v>
      </c>
      <c r="F6">
        <v>33.982999999999997</v>
      </c>
      <c r="H6" s="2">
        <f t="shared" si="0"/>
        <v>33.955249999999999</v>
      </c>
      <c r="I6" s="2">
        <f t="shared" si="1"/>
        <v>0.12131252683324316</v>
      </c>
      <c r="K6" t="s">
        <v>3</v>
      </c>
      <c r="L6">
        <v>33.343000000000004</v>
      </c>
      <c r="M6">
        <v>32.412999999999997</v>
      </c>
      <c r="N6">
        <v>34.203000000000003</v>
      </c>
      <c r="O6">
        <v>36.247999999999998</v>
      </c>
      <c r="P6">
        <v>34.018999999999998</v>
      </c>
      <c r="R6" s="3">
        <f t="shared" si="2"/>
        <v>34.045200000000001</v>
      </c>
      <c r="S6" s="3">
        <f t="shared" si="3"/>
        <v>0.63384054777207166</v>
      </c>
    </row>
    <row r="7" spans="1:19" x14ac:dyDescent="0.25">
      <c r="A7">
        <v>-3.75</v>
      </c>
      <c r="B7">
        <v>422.16399999999999</v>
      </c>
      <c r="C7">
        <v>330.95600000000002</v>
      </c>
      <c r="D7">
        <v>551.38599999999997</v>
      </c>
      <c r="F7">
        <v>487.58</v>
      </c>
      <c r="H7" s="2">
        <f t="shared" si="0"/>
        <v>448.02149999999995</v>
      </c>
      <c r="I7" s="2">
        <f t="shared" si="1"/>
        <v>47.100987586072414</v>
      </c>
      <c r="K7">
        <v>-3.75</v>
      </c>
      <c r="L7">
        <v>524.16200000000003</v>
      </c>
      <c r="M7">
        <v>547.12400000000002</v>
      </c>
      <c r="N7">
        <v>614.55899999999997</v>
      </c>
      <c r="O7">
        <v>453.06799999999998</v>
      </c>
      <c r="P7">
        <v>398.608</v>
      </c>
      <c r="R7" s="3">
        <f t="shared" si="2"/>
        <v>507.50420000000003</v>
      </c>
      <c r="S7" s="3">
        <f t="shared" si="3"/>
        <v>37.503082073877522</v>
      </c>
    </row>
    <row r="8" spans="1:19" x14ac:dyDescent="0.25">
      <c r="A8">
        <v>-2.5</v>
      </c>
      <c r="B8">
        <v>610.452</v>
      </c>
      <c r="C8">
        <v>534.31299999999999</v>
      </c>
      <c r="D8">
        <v>975.11900000000003</v>
      </c>
      <c r="F8">
        <v>769.5</v>
      </c>
      <c r="H8" s="2">
        <f t="shared" si="0"/>
        <v>722.346</v>
      </c>
      <c r="I8" s="2">
        <f t="shared" si="1"/>
        <v>97.465534750324224</v>
      </c>
      <c r="K8">
        <v>-2.5</v>
      </c>
      <c r="L8">
        <v>747.03</v>
      </c>
      <c r="M8">
        <v>741.04200000000003</v>
      </c>
      <c r="N8">
        <v>964.96500000000003</v>
      </c>
      <c r="O8">
        <v>831.74</v>
      </c>
      <c r="P8">
        <v>784.12400000000002</v>
      </c>
      <c r="R8" s="3">
        <f t="shared" si="2"/>
        <v>813.78019999999992</v>
      </c>
      <c r="S8" s="3">
        <f t="shared" si="3"/>
        <v>41.112846717784443</v>
      </c>
    </row>
    <row r="9" spans="1:19" x14ac:dyDescent="0.25">
      <c r="A9">
        <v>-1.25</v>
      </c>
      <c r="B9">
        <v>1039.085</v>
      </c>
      <c r="C9">
        <v>1084.45</v>
      </c>
      <c r="D9">
        <v>1547.559</v>
      </c>
      <c r="F9">
        <v>1252.5409999999999</v>
      </c>
      <c r="H9" s="2">
        <f t="shared" si="0"/>
        <v>1230.9087500000001</v>
      </c>
      <c r="I9" s="2">
        <f t="shared" si="1"/>
        <v>115.10207483676871</v>
      </c>
      <c r="K9">
        <v>-1.25</v>
      </c>
      <c r="L9">
        <v>1348.2239999999999</v>
      </c>
      <c r="M9">
        <v>1380.873</v>
      </c>
      <c r="N9">
        <v>1649.579</v>
      </c>
      <c r="O9">
        <v>1519.2280000000001</v>
      </c>
      <c r="P9">
        <v>1322.2429999999999</v>
      </c>
      <c r="R9" s="3">
        <f t="shared" si="2"/>
        <v>1444.0293999999999</v>
      </c>
      <c r="S9" s="3">
        <f t="shared" si="3"/>
        <v>61.605519337637276</v>
      </c>
    </row>
    <row r="10" spans="1:19" x14ac:dyDescent="0.25">
      <c r="A10">
        <v>0</v>
      </c>
      <c r="B10">
        <v>1488.2729999999999</v>
      </c>
      <c r="C10">
        <v>1659.6980000000001</v>
      </c>
      <c r="D10">
        <v>2198.6999999999998</v>
      </c>
      <c r="F10">
        <v>1810.59</v>
      </c>
      <c r="H10" s="2">
        <f t="shared" si="0"/>
        <v>1789.3152500000001</v>
      </c>
      <c r="I10" s="2">
        <f t="shared" si="1"/>
        <v>151.51335373016593</v>
      </c>
      <c r="K10">
        <v>0</v>
      </c>
      <c r="L10">
        <v>1971.105</v>
      </c>
      <c r="M10">
        <v>2035.5050000000001</v>
      </c>
      <c r="N10">
        <v>2317.326</v>
      </c>
      <c r="O10">
        <v>2243.607</v>
      </c>
      <c r="P10">
        <v>1907.4259999999999</v>
      </c>
      <c r="R10" s="3">
        <f t="shared" si="2"/>
        <v>2094.9937999999997</v>
      </c>
      <c r="S10" s="3">
        <f t="shared" si="3"/>
        <v>79.242199003687418</v>
      </c>
    </row>
    <row r="11" spans="1:19" x14ac:dyDescent="0.25">
      <c r="A11">
        <v>1.25</v>
      </c>
      <c r="B11">
        <v>1962.01</v>
      </c>
      <c r="C11">
        <v>2268.02</v>
      </c>
      <c r="D11">
        <v>2900.0909999999999</v>
      </c>
      <c r="F11">
        <v>2403.7469999999998</v>
      </c>
      <c r="H11" s="2">
        <f t="shared" si="0"/>
        <v>2383.4669999999996</v>
      </c>
      <c r="I11" s="2">
        <f t="shared" si="1"/>
        <v>195.41955899082143</v>
      </c>
      <c r="K11">
        <v>1.25</v>
      </c>
      <c r="L11">
        <v>2597.6990000000001</v>
      </c>
      <c r="M11">
        <v>2685.5590000000002</v>
      </c>
      <c r="N11">
        <v>3027.7579999999998</v>
      </c>
      <c r="O11">
        <v>2913.9119999999998</v>
      </c>
      <c r="P11">
        <v>2551.857</v>
      </c>
      <c r="R11" s="3">
        <f t="shared" si="2"/>
        <v>2755.357</v>
      </c>
      <c r="S11" s="3">
        <f t="shared" si="3"/>
        <v>92.326065819463963</v>
      </c>
    </row>
    <row r="12" spans="1:19" x14ac:dyDescent="0.25">
      <c r="A12">
        <v>2.5</v>
      </c>
      <c r="B12">
        <v>2299.6080000000002</v>
      </c>
      <c r="C12">
        <v>2725.1709999999998</v>
      </c>
      <c r="D12">
        <v>3411.6840000000002</v>
      </c>
      <c r="F12">
        <v>2823.8829999999998</v>
      </c>
      <c r="H12" s="2">
        <f t="shared" si="0"/>
        <v>2815.0864999999999</v>
      </c>
      <c r="I12" s="2">
        <f t="shared" si="1"/>
        <v>229.09401936777752</v>
      </c>
      <c r="K12">
        <v>2.5</v>
      </c>
      <c r="L12">
        <v>3045.9760000000001</v>
      </c>
      <c r="M12">
        <v>3218.5549999999998</v>
      </c>
      <c r="N12">
        <v>3551.6610000000001</v>
      </c>
      <c r="O12">
        <v>3390.3789999999999</v>
      </c>
      <c r="P12">
        <v>3007.596</v>
      </c>
      <c r="R12" s="3">
        <f t="shared" si="2"/>
        <v>3242.8334</v>
      </c>
      <c r="S12" s="3">
        <f t="shared" si="3"/>
        <v>102.91333771703256</v>
      </c>
    </row>
    <row r="13" spans="1:19" x14ac:dyDescent="0.25">
      <c r="A13">
        <v>3.75</v>
      </c>
      <c r="B13">
        <v>2448.5500000000002</v>
      </c>
      <c r="C13">
        <v>2935.9029999999998</v>
      </c>
      <c r="D13">
        <v>3678.0590000000002</v>
      </c>
      <c r="F13">
        <v>2963.11</v>
      </c>
      <c r="H13" s="2">
        <f t="shared" si="0"/>
        <v>3006.4054999999998</v>
      </c>
      <c r="I13" s="2">
        <f t="shared" si="1"/>
        <v>253.17422949571716</v>
      </c>
      <c r="K13">
        <v>3.75</v>
      </c>
      <c r="L13">
        <v>3291.08</v>
      </c>
      <c r="M13">
        <v>3482.4850000000001</v>
      </c>
      <c r="N13">
        <v>3806.518</v>
      </c>
      <c r="O13">
        <v>3668.8609999999999</v>
      </c>
      <c r="P13">
        <v>3242.5419999999999</v>
      </c>
      <c r="R13" s="3">
        <f t="shared" si="2"/>
        <v>3498.2972</v>
      </c>
      <c r="S13" s="3">
        <f t="shared" si="3"/>
        <v>107.86375373469996</v>
      </c>
    </row>
    <row r="14" spans="1:19" x14ac:dyDescent="0.25">
      <c r="A14">
        <v>5</v>
      </c>
      <c r="B14">
        <v>2509.0459999999998</v>
      </c>
      <c r="C14">
        <v>3017.7640000000001</v>
      </c>
      <c r="D14">
        <v>3784.6329999999998</v>
      </c>
      <c r="F14">
        <v>3043.5459999999998</v>
      </c>
      <c r="H14" s="2">
        <f t="shared" si="0"/>
        <v>3088.7472499999999</v>
      </c>
      <c r="I14" s="2">
        <f t="shared" si="1"/>
        <v>262.58209685841564</v>
      </c>
      <c r="K14">
        <v>5</v>
      </c>
      <c r="L14">
        <v>3413.212</v>
      </c>
      <c r="M14">
        <v>3582.5610000000001</v>
      </c>
      <c r="N14">
        <v>3985.6170000000002</v>
      </c>
      <c r="O14">
        <v>3801.1120000000001</v>
      </c>
      <c r="P14">
        <v>3334.2779999999998</v>
      </c>
      <c r="R14" s="3">
        <f t="shared" si="2"/>
        <v>3623.3559999999998</v>
      </c>
      <c r="S14" s="3">
        <f t="shared" si="3"/>
        <v>120.87618675777297</v>
      </c>
    </row>
    <row r="15" spans="1:19" x14ac:dyDescent="0.25">
      <c r="A15">
        <v>6.25</v>
      </c>
      <c r="B15">
        <v>2541.181</v>
      </c>
      <c r="C15">
        <v>3053.306</v>
      </c>
      <c r="D15">
        <v>3827.83</v>
      </c>
      <c r="F15">
        <v>3109.5169999999998</v>
      </c>
      <c r="H15" s="2">
        <f t="shared" si="0"/>
        <v>3132.9584999999997</v>
      </c>
      <c r="I15" s="2">
        <f t="shared" si="1"/>
        <v>264.56584493861601</v>
      </c>
      <c r="K15">
        <v>6.25</v>
      </c>
      <c r="L15">
        <v>3469.3249999999998</v>
      </c>
      <c r="M15">
        <v>3593.482</v>
      </c>
      <c r="N15">
        <v>4070.1759999999999</v>
      </c>
      <c r="O15">
        <v>3844.6869999999999</v>
      </c>
      <c r="P15">
        <v>3355.11</v>
      </c>
      <c r="R15" s="3">
        <f t="shared" si="2"/>
        <v>3666.5559999999996</v>
      </c>
      <c r="S15" s="3">
        <f t="shared" si="3"/>
        <v>129.5913278954267</v>
      </c>
    </row>
    <row r="16" spans="1:19" x14ac:dyDescent="0.25">
      <c r="A16">
        <v>7.5</v>
      </c>
      <c r="B16">
        <v>2502.3200000000002</v>
      </c>
      <c r="C16">
        <v>3014.1109999999999</v>
      </c>
      <c r="D16">
        <v>3769.8969999999999</v>
      </c>
      <c r="F16">
        <v>3100.6480000000001</v>
      </c>
      <c r="H16" s="2">
        <f t="shared" si="0"/>
        <v>3096.7440000000006</v>
      </c>
      <c r="I16" s="2">
        <f t="shared" si="1"/>
        <v>260.33925096080316</v>
      </c>
      <c r="K16">
        <v>7.5</v>
      </c>
      <c r="L16">
        <v>3411.3490000000002</v>
      </c>
      <c r="M16">
        <v>3530.0160000000001</v>
      </c>
      <c r="N16">
        <v>3954.7510000000002</v>
      </c>
      <c r="O16">
        <v>3790.3490000000002</v>
      </c>
      <c r="P16">
        <v>3306.5749999999998</v>
      </c>
      <c r="R16" s="3">
        <f t="shared" si="2"/>
        <v>3598.6080000000002</v>
      </c>
      <c r="S16" s="3">
        <f t="shared" si="3"/>
        <v>120.13669634295763</v>
      </c>
    </row>
    <row r="17" spans="1:19" x14ac:dyDescent="0.25">
      <c r="A17">
        <v>8.75</v>
      </c>
      <c r="B17">
        <v>2356.7379999999998</v>
      </c>
      <c r="C17">
        <v>2827.7080000000001</v>
      </c>
      <c r="D17">
        <v>3490.7930000000001</v>
      </c>
      <c r="F17">
        <v>2923.3809999999999</v>
      </c>
      <c r="H17" s="2">
        <f t="shared" si="0"/>
        <v>2899.6549999999997</v>
      </c>
      <c r="I17" s="2">
        <f t="shared" si="1"/>
        <v>232.72700348584482</v>
      </c>
      <c r="K17">
        <v>8.75</v>
      </c>
      <c r="L17">
        <v>3193.5459999999998</v>
      </c>
      <c r="M17">
        <v>3333.8609999999999</v>
      </c>
      <c r="N17">
        <v>3678.9929999999999</v>
      </c>
      <c r="O17">
        <v>3534.4070000000002</v>
      </c>
      <c r="P17">
        <v>3093.0630000000001</v>
      </c>
      <c r="R17" s="3">
        <f t="shared" si="2"/>
        <v>3366.7740000000003</v>
      </c>
      <c r="S17" s="3">
        <f t="shared" si="3"/>
        <v>107.60818828602217</v>
      </c>
    </row>
    <row r="18" spans="1:19" x14ac:dyDescent="0.25">
      <c r="A18">
        <v>10</v>
      </c>
      <c r="B18">
        <v>2070.7570000000001</v>
      </c>
      <c r="C18">
        <v>2457.9589999999998</v>
      </c>
      <c r="D18">
        <v>2969.4389999999999</v>
      </c>
      <c r="F18">
        <v>2529.62</v>
      </c>
      <c r="H18" s="2">
        <f t="shared" si="0"/>
        <v>2506.9437500000004</v>
      </c>
      <c r="I18" s="2">
        <f t="shared" si="1"/>
        <v>184.18162575628563</v>
      </c>
      <c r="K18">
        <v>10</v>
      </c>
      <c r="L18">
        <v>2778.75</v>
      </c>
      <c r="M18">
        <v>2890.752</v>
      </c>
      <c r="N18">
        <v>3206.4029999999998</v>
      </c>
      <c r="O18">
        <v>2995.1390000000001</v>
      </c>
      <c r="P18">
        <v>2675.5010000000002</v>
      </c>
      <c r="R18" s="3">
        <f t="shared" si="2"/>
        <v>2909.3090000000002</v>
      </c>
      <c r="S18" s="3">
        <f t="shared" si="3"/>
        <v>91.566322774806181</v>
      </c>
    </row>
    <row r="19" spans="1:19" x14ac:dyDescent="0.25">
      <c r="A19">
        <v>11.25</v>
      </c>
      <c r="B19">
        <v>1858.39</v>
      </c>
      <c r="C19">
        <v>2196.643</v>
      </c>
      <c r="D19">
        <v>2618.7840000000001</v>
      </c>
      <c r="F19">
        <v>2254.6489999999999</v>
      </c>
      <c r="H19" s="2">
        <f t="shared" si="0"/>
        <v>2232.1165000000001</v>
      </c>
      <c r="I19" s="2">
        <f t="shared" si="1"/>
        <v>155.71055817258107</v>
      </c>
      <c r="K19">
        <v>11.25</v>
      </c>
      <c r="L19">
        <v>2464.377</v>
      </c>
      <c r="M19">
        <v>2561.6559999999999</v>
      </c>
      <c r="N19">
        <v>2818.259</v>
      </c>
      <c r="O19">
        <v>2653.893</v>
      </c>
      <c r="P19">
        <v>2400.817</v>
      </c>
      <c r="R19" s="3">
        <f t="shared" si="2"/>
        <v>2579.8004000000001</v>
      </c>
      <c r="S19" s="3">
        <f t="shared" si="3"/>
        <v>73.497977959669058</v>
      </c>
    </row>
    <row r="20" spans="1:19" x14ac:dyDescent="0.25">
      <c r="A20">
        <v>12.5</v>
      </c>
      <c r="B20">
        <v>1770.104</v>
      </c>
      <c r="C20">
        <v>2078.5650000000001</v>
      </c>
      <c r="D20">
        <v>2473.0320000000002</v>
      </c>
      <c r="F20">
        <v>2130.623</v>
      </c>
      <c r="H20" s="2">
        <f t="shared" si="0"/>
        <v>2113.0810000000001</v>
      </c>
      <c r="I20" s="2">
        <f t="shared" si="1"/>
        <v>143.96093826393701</v>
      </c>
      <c r="K20">
        <v>12.5</v>
      </c>
      <c r="L20">
        <v>2333.0700000000002</v>
      </c>
      <c r="M20">
        <v>2410.5929999999998</v>
      </c>
      <c r="N20">
        <v>2633.797</v>
      </c>
      <c r="O20">
        <v>2490.6889999999999</v>
      </c>
      <c r="P20">
        <v>2265.5479999999998</v>
      </c>
      <c r="R20" s="3">
        <f t="shared" si="2"/>
        <v>2426.7393999999999</v>
      </c>
      <c r="S20" s="3">
        <f t="shared" si="3"/>
        <v>64.02332825665971</v>
      </c>
    </row>
    <row r="21" spans="1:19" x14ac:dyDescent="0.25">
      <c r="A21">
        <v>13.75</v>
      </c>
      <c r="B21">
        <v>1752.8869999999999</v>
      </c>
      <c r="C21">
        <v>2046.6780000000001</v>
      </c>
      <c r="D21">
        <v>2428.2179999999998</v>
      </c>
      <c r="F21">
        <v>2099.1129999999998</v>
      </c>
      <c r="H21" s="2">
        <f t="shared" si="0"/>
        <v>2081.7239999999997</v>
      </c>
      <c r="I21" s="2">
        <f t="shared" si="1"/>
        <v>138.36017732775326</v>
      </c>
      <c r="K21">
        <v>13.75</v>
      </c>
      <c r="L21">
        <v>2303.5309999999999</v>
      </c>
      <c r="M21">
        <v>2369.1060000000002</v>
      </c>
      <c r="N21">
        <v>2582.04</v>
      </c>
      <c r="O21">
        <v>2440.8069999999998</v>
      </c>
      <c r="P21">
        <v>2211.9830000000002</v>
      </c>
      <c r="R21" s="3">
        <f t="shared" si="2"/>
        <v>2381.4934000000003</v>
      </c>
      <c r="S21" s="3">
        <f t="shared" si="3"/>
        <v>62.730535274776621</v>
      </c>
    </row>
    <row r="22" spans="1:19" x14ac:dyDescent="0.25">
      <c r="A22">
        <v>15</v>
      </c>
      <c r="B22">
        <v>1744.4280000000001</v>
      </c>
      <c r="C22">
        <v>2032.2059999999999</v>
      </c>
      <c r="D22">
        <v>2408.2669999999998</v>
      </c>
      <c r="F22">
        <v>2086.134</v>
      </c>
      <c r="H22" s="2">
        <f t="shared" si="0"/>
        <v>2067.75875</v>
      </c>
      <c r="I22" s="2">
        <f t="shared" si="1"/>
        <v>136.04236168033307</v>
      </c>
      <c r="K22">
        <v>15</v>
      </c>
      <c r="L22">
        <v>2298.8229999999999</v>
      </c>
      <c r="M22">
        <v>2364.5810000000001</v>
      </c>
      <c r="N22">
        <v>2573.8670000000002</v>
      </c>
      <c r="O22">
        <v>2428.2080000000001</v>
      </c>
      <c r="P22">
        <v>2199.395</v>
      </c>
      <c r="R22" s="3">
        <f t="shared" si="2"/>
        <v>2372.9748000000004</v>
      </c>
      <c r="S22" s="3">
        <f t="shared" si="3"/>
        <v>62.891682555326867</v>
      </c>
    </row>
    <row r="23" spans="1:19" x14ac:dyDescent="0.25">
      <c r="A23">
        <v>16.25</v>
      </c>
      <c r="B23">
        <v>1743.2349999999999</v>
      </c>
      <c r="C23">
        <v>2034.08</v>
      </c>
      <c r="D23">
        <v>2414.0639999999999</v>
      </c>
      <c r="F23">
        <v>2097.9609999999998</v>
      </c>
      <c r="H23" s="2">
        <f t="shared" si="0"/>
        <v>2072.3349999999996</v>
      </c>
      <c r="I23" s="2">
        <f t="shared" si="1"/>
        <v>137.60016240966894</v>
      </c>
      <c r="K23">
        <v>16.25</v>
      </c>
      <c r="L23">
        <v>2304.7109999999998</v>
      </c>
      <c r="M23">
        <v>2374.9949999999999</v>
      </c>
      <c r="N23">
        <v>2585.0320000000002</v>
      </c>
      <c r="O23">
        <v>2436.0819999999999</v>
      </c>
      <c r="P23">
        <v>2202.8820000000001</v>
      </c>
      <c r="R23" s="3">
        <f t="shared" si="2"/>
        <v>2380.7403999999997</v>
      </c>
      <c r="S23" s="3">
        <f t="shared" si="3"/>
        <v>64.126765183190102</v>
      </c>
    </row>
    <row r="24" spans="1:19" x14ac:dyDescent="0.25">
      <c r="A24">
        <v>17.5</v>
      </c>
      <c r="B24">
        <v>1752.701</v>
      </c>
      <c r="C24">
        <v>2038.0319999999999</v>
      </c>
      <c r="D24">
        <v>2411.886</v>
      </c>
      <c r="F24">
        <v>2116.0210000000002</v>
      </c>
      <c r="H24" s="2">
        <f t="shared" si="0"/>
        <v>2079.6600000000003</v>
      </c>
      <c r="I24" s="2">
        <f t="shared" si="1"/>
        <v>135.50255700600673</v>
      </c>
      <c r="K24">
        <v>17.5</v>
      </c>
      <c r="L24">
        <v>2310.9</v>
      </c>
      <c r="M24">
        <v>2372.569</v>
      </c>
      <c r="N24">
        <v>2597.8530000000001</v>
      </c>
      <c r="O24">
        <v>2458.2600000000002</v>
      </c>
      <c r="P24">
        <v>2212.2359999999999</v>
      </c>
      <c r="R24" s="3">
        <f t="shared" si="2"/>
        <v>2390.3635999999997</v>
      </c>
      <c r="S24" s="3">
        <f t="shared" si="3"/>
        <v>65.582896261601647</v>
      </c>
    </row>
    <row r="25" spans="1:19" x14ac:dyDescent="0.25">
      <c r="A25">
        <v>18.75</v>
      </c>
      <c r="B25">
        <v>1765.8</v>
      </c>
      <c r="C25">
        <v>2044.31</v>
      </c>
      <c r="D25">
        <v>2417.953</v>
      </c>
      <c r="F25">
        <v>2120.0839999999998</v>
      </c>
      <c r="H25" s="2">
        <f t="shared" si="0"/>
        <v>2087.0367500000002</v>
      </c>
      <c r="I25" s="2">
        <f t="shared" si="1"/>
        <v>134.04486499015474</v>
      </c>
      <c r="K25">
        <v>18.75</v>
      </c>
      <c r="L25">
        <v>2302.1080000000002</v>
      </c>
      <c r="M25">
        <v>2370.4319999999998</v>
      </c>
      <c r="N25">
        <v>2595.364</v>
      </c>
      <c r="O25">
        <v>2458.5300000000002</v>
      </c>
      <c r="P25">
        <v>2195.9319999999998</v>
      </c>
      <c r="R25" s="3">
        <f t="shared" si="2"/>
        <v>2384.4732000000004</v>
      </c>
      <c r="S25" s="3">
        <f t="shared" si="3"/>
        <v>68.003053136164439</v>
      </c>
    </row>
    <row r="26" spans="1:19" x14ac:dyDescent="0.25">
      <c r="A26">
        <v>20</v>
      </c>
      <c r="B26">
        <v>1758.646</v>
      </c>
      <c r="C26">
        <v>2055.5509999999999</v>
      </c>
      <c r="D26">
        <v>2410.4520000000002</v>
      </c>
      <c r="F26">
        <v>2126.7809999999999</v>
      </c>
      <c r="H26" s="2">
        <f t="shared" si="0"/>
        <v>2087.8575000000001</v>
      </c>
      <c r="I26" s="2">
        <f t="shared" si="1"/>
        <v>133.85507460091588</v>
      </c>
      <c r="K26">
        <v>20</v>
      </c>
      <c r="L26">
        <v>2288.84</v>
      </c>
      <c r="M26">
        <v>2368.799</v>
      </c>
      <c r="N26">
        <v>2574.8739999999998</v>
      </c>
      <c r="O26">
        <v>2448.8029999999999</v>
      </c>
      <c r="P26">
        <v>2186.7809999999999</v>
      </c>
      <c r="R26" s="3">
        <f t="shared" si="2"/>
        <v>2373.6193999999996</v>
      </c>
      <c r="S26" s="3">
        <f t="shared" si="3"/>
        <v>66.436194339079918</v>
      </c>
    </row>
    <row r="27" spans="1:19" x14ac:dyDescent="0.25">
      <c r="A27">
        <v>21.25</v>
      </c>
      <c r="B27">
        <v>1743.4359999999999</v>
      </c>
      <c r="C27">
        <v>2058.2310000000002</v>
      </c>
      <c r="D27">
        <v>2401.3409999999999</v>
      </c>
      <c r="F27">
        <v>2140.3000000000002</v>
      </c>
      <c r="H27" s="2">
        <f t="shared" si="0"/>
        <v>2085.8270000000002</v>
      </c>
      <c r="I27" s="2">
        <f t="shared" si="1"/>
        <v>135.55734580550487</v>
      </c>
      <c r="K27">
        <v>21.25</v>
      </c>
      <c r="L27">
        <v>2274.84</v>
      </c>
      <c r="M27">
        <v>2349.4490000000001</v>
      </c>
      <c r="N27">
        <v>2554.8020000000001</v>
      </c>
      <c r="O27">
        <v>2434.6849999999999</v>
      </c>
      <c r="P27">
        <v>2192.6689999999999</v>
      </c>
      <c r="R27" s="3">
        <f t="shared" si="2"/>
        <v>2361.2889999999998</v>
      </c>
      <c r="S27" s="3">
        <f t="shared" si="3"/>
        <v>62.801502205759391</v>
      </c>
    </row>
    <row r="28" spans="1:19" x14ac:dyDescent="0.25">
      <c r="A28">
        <v>22.5</v>
      </c>
      <c r="B28">
        <v>1759.23</v>
      </c>
      <c r="C28">
        <v>2056.5529999999999</v>
      </c>
      <c r="D28">
        <v>2415.9679999999998</v>
      </c>
      <c r="F28">
        <v>2162.2330000000002</v>
      </c>
      <c r="H28" s="2">
        <f t="shared" si="0"/>
        <v>2098.4960000000001</v>
      </c>
      <c r="I28" s="2">
        <f t="shared" si="1"/>
        <v>135.92630048363188</v>
      </c>
      <c r="K28">
        <v>22.5</v>
      </c>
      <c r="L28">
        <v>2285.1329999999998</v>
      </c>
      <c r="M28">
        <v>2364.9549999999999</v>
      </c>
      <c r="N28">
        <v>2570.5169999999998</v>
      </c>
      <c r="O28">
        <v>2440.0360000000001</v>
      </c>
      <c r="P28">
        <v>2207.9690000000001</v>
      </c>
      <c r="R28" s="3">
        <f t="shared" si="2"/>
        <v>2373.7220000000002</v>
      </c>
      <c r="S28" s="3">
        <f t="shared" si="3"/>
        <v>62.659694716779441</v>
      </c>
    </row>
    <row r="29" spans="1:19" x14ac:dyDescent="0.25">
      <c r="A29">
        <v>23.75</v>
      </c>
      <c r="B29">
        <v>1792.579</v>
      </c>
      <c r="C29">
        <v>2067.3009999999999</v>
      </c>
      <c r="D29">
        <v>2454.0830000000001</v>
      </c>
      <c r="F29">
        <v>2184.7600000000002</v>
      </c>
      <c r="H29" s="2">
        <f t="shared" si="0"/>
        <v>2124.68075</v>
      </c>
      <c r="I29" s="2">
        <f t="shared" si="1"/>
        <v>137.14328475744767</v>
      </c>
      <c r="K29">
        <v>23.75</v>
      </c>
      <c r="L29">
        <v>2314.5889999999999</v>
      </c>
      <c r="M29">
        <v>2403.502</v>
      </c>
      <c r="N29">
        <v>2603.6590000000001</v>
      </c>
      <c r="O29">
        <v>2462.8270000000002</v>
      </c>
      <c r="P29">
        <v>2225.8710000000001</v>
      </c>
      <c r="R29" s="3">
        <f t="shared" si="2"/>
        <v>2402.0896000000002</v>
      </c>
      <c r="S29" s="3">
        <f t="shared" si="3"/>
        <v>64.432367500814379</v>
      </c>
    </row>
    <row r="30" spans="1:19" x14ac:dyDescent="0.25">
      <c r="A30">
        <v>25</v>
      </c>
      <c r="B30">
        <v>1822.7429999999999</v>
      </c>
      <c r="C30">
        <v>2083.6840000000002</v>
      </c>
      <c r="D30">
        <v>2493.1410000000001</v>
      </c>
      <c r="F30">
        <v>2193.0369999999998</v>
      </c>
      <c r="H30" s="2">
        <f t="shared" si="0"/>
        <v>2148.1512499999999</v>
      </c>
      <c r="I30" s="2">
        <f t="shared" si="1"/>
        <v>138.76815606397582</v>
      </c>
      <c r="K30">
        <v>25</v>
      </c>
      <c r="L30">
        <v>2349.98</v>
      </c>
      <c r="M30">
        <v>2452.2489999999998</v>
      </c>
      <c r="N30">
        <v>2638.0010000000002</v>
      </c>
      <c r="O30">
        <v>2500.415</v>
      </c>
      <c r="P30">
        <v>2247.451</v>
      </c>
      <c r="R30" s="3">
        <f t="shared" si="2"/>
        <v>2437.6192000000001</v>
      </c>
      <c r="S30" s="3">
        <f t="shared" si="3"/>
        <v>66.390806210197525</v>
      </c>
    </row>
    <row r="31" spans="1:19" x14ac:dyDescent="0.25">
      <c r="A31">
        <v>26.25</v>
      </c>
      <c r="B31">
        <v>1852.2660000000001</v>
      </c>
      <c r="C31">
        <v>2099.3820000000001</v>
      </c>
      <c r="D31">
        <v>2515.58</v>
      </c>
      <c r="F31">
        <v>2212.489</v>
      </c>
      <c r="H31" s="2">
        <f t="shared" si="0"/>
        <v>2169.9292500000001</v>
      </c>
      <c r="I31" s="2">
        <f t="shared" si="1"/>
        <v>137.5901607973081</v>
      </c>
      <c r="K31">
        <v>26.25</v>
      </c>
      <c r="L31">
        <v>2365.1089999999999</v>
      </c>
      <c r="M31">
        <v>2482.8710000000001</v>
      </c>
      <c r="N31">
        <v>2655.07</v>
      </c>
      <c r="O31">
        <v>2524.8629999999998</v>
      </c>
      <c r="P31">
        <v>2261.2629999999999</v>
      </c>
      <c r="R31" s="3">
        <f t="shared" si="2"/>
        <v>2457.8352</v>
      </c>
      <c r="S31" s="3">
        <f t="shared" si="3"/>
        <v>67.549930260807855</v>
      </c>
    </row>
    <row r="32" spans="1:19" x14ac:dyDescent="0.25">
      <c r="A32">
        <v>27.5</v>
      </c>
      <c r="B32">
        <v>1875.5250000000001</v>
      </c>
      <c r="C32">
        <v>2120.2330000000002</v>
      </c>
      <c r="D32">
        <v>2525.2020000000002</v>
      </c>
      <c r="F32">
        <v>2244.799</v>
      </c>
      <c r="H32" s="2">
        <f t="shared" si="0"/>
        <v>2191.4397500000005</v>
      </c>
      <c r="I32" s="2">
        <f t="shared" si="1"/>
        <v>135.12863612090209</v>
      </c>
      <c r="K32">
        <v>27.5</v>
      </c>
      <c r="L32">
        <v>2381.7150000000001</v>
      </c>
      <c r="M32">
        <v>2476.9409999999998</v>
      </c>
      <c r="N32">
        <v>2655.232</v>
      </c>
      <c r="O32">
        <v>2539.4079999999999</v>
      </c>
      <c r="P32">
        <v>2255.5439999999999</v>
      </c>
      <c r="R32" s="3">
        <f t="shared" si="2"/>
        <v>2461.768</v>
      </c>
      <c r="S32" s="3">
        <f t="shared" si="3"/>
        <v>68.052674381687595</v>
      </c>
    </row>
    <row r="33" spans="1:19" x14ac:dyDescent="0.25">
      <c r="A33">
        <v>28.75</v>
      </c>
      <c r="B33">
        <v>1887.498</v>
      </c>
      <c r="C33">
        <v>2143.4780000000001</v>
      </c>
      <c r="D33">
        <v>2531.0749999999998</v>
      </c>
      <c r="F33">
        <v>2273.3110000000001</v>
      </c>
      <c r="H33" s="2">
        <f t="shared" si="0"/>
        <v>2208.8404999999998</v>
      </c>
      <c r="I33" s="2">
        <f t="shared" si="1"/>
        <v>134.01640977662754</v>
      </c>
      <c r="K33">
        <v>28.75</v>
      </c>
      <c r="L33">
        <v>2398.2759999999998</v>
      </c>
      <c r="M33">
        <v>2485.2860000000001</v>
      </c>
      <c r="N33">
        <v>2667.2829999999999</v>
      </c>
      <c r="O33">
        <v>2558.3580000000002</v>
      </c>
      <c r="P33">
        <v>2258.4079999999999</v>
      </c>
      <c r="R33" s="3">
        <f t="shared" si="2"/>
        <v>2473.5221999999999</v>
      </c>
      <c r="S33" s="3">
        <f t="shared" si="3"/>
        <v>69.575447258641489</v>
      </c>
    </row>
    <row r="34" spans="1:19" x14ac:dyDescent="0.25">
      <c r="A34">
        <v>30</v>
      </c>
      <c r="B34">
        <v>1890.0150000000001</v>
      </c>
      <c r="C34">
        <v>2159.7440000000001</v>
      </c>
      <c r="D34">
        <v>2551.7649999999999</v>
      </c>
      <c r="F34">
        <v>2304.8890000000001</v>
      </c>
      <c r="H34" s="2">
        <f t="shared" si="0"/>
        <v>2226.6032500000001</v>
      </c>
      <c r="I34" s="2">
        <f t="shared" si="1"/>
        <v>138.32950747663747</v>
      </c>
      <c r="K34">
        <v>30</v>
      </c>
      <c r="L34">
        <v>2411.5149999999999</v>
      </c>
      <c r="M34">
        <v>2514.5720000000001</v>
      </c>
      <c r="N34">
        <v>2683.6190000000001</v>
      </c>
      <c r="O34">
        <v>2566.5509999999999</v>
      </c>
      <c r="P34">
        <v>2267.556</v>
      </c>
      <c r="R34" s="3">
        <f t="shared" si="2"/>
        <v>2488.7626</v>
      </c>
      <c r="S34" s="3">
        <f t="shared" si="3"/>
        <v>70.564059021997892</v>
      </c>
    </row>
    <row r="35" spans="1:19" x14ac:dyDescent="0.25">
      <c r="A35">
        <v>31.25</v>
      </c>
      <c r="B35">
        <v>1892.576</v>
      </c>
      <c r="C35">
        <v>2179.2139999999999</v>
      </c>
      <c r="D35">
        <v>2558.5500000000002</v>
      </c>
      <c r="F35">
        <v>2324.3339999999998</v>
      </c>
      <c r="H35" s="2">
        <f t="shared" si="0"/>
        <v>2238.6684999999998</v>
      </c>
      <c r="I35" s="2">
        <f t="shared" si="1"/>
        <v>139.33700395653577</v>
      </c>
      <c r="K35">
        <v>31.25</v>
      </c>
      <c r="L35">
        <v>2428.1959999999999</v>
      </c>
      <c r="M35">
        <v>2519.4920000000002</v>
      </c>
      <c r="N35">
        <v>2691.2249999999999</v>
      </c>
      <c r="O35">
        <v>2578.0309999999999</v>
      </c>
      <c r="P35">
        <v>2284.2339999999999</v>
      </c>
      <c r="R35" s="3">
        <f t="shared" si="2"/>
        <v>2500.2356</v>
      </c>
      <c r="S35" s="3">
        <f t="shared" si="3"/>
        <v>68.828148051941653</v>
      </c>
    </row>
    <row r="36" spans="1:19" x14ac:dyDescent="0.25">
      <c r="A36">
        <v>32.5</v>
      </c>
      <c r="B36">
        <v>1903.8520000000001</v>
      </c>
      <c r="C36">
        <v>2177.1550000000002</v>
      </c>
      <c r="D36">
        <v>2557.085</v>
      </c>
      <c r="F36">
        <v>2326.453</v>
      </c>
      <c r="H36" s="2">
        <f t="shared" si="0"/>
        <v>2241.13625</v>
      </c>
      <c r="I36" s="2">
        <f t="shared" si="1"/>
        <v>136.91750134866783</v>
      </c>
      <c r="K36">
        <v>32.5</v>
      </c>
      <c r="L36">
        <v>2443.9430000000002</v>
      </c>
      <c r="M36">
        <v>2529.2260000000001</v>
      </c>
      <c r="N36">
        <v>2705.3319999999999</v>
      </c>
      <c r="O36">
        <v>2599.3780000000002</v>
      </c>
      <c r="P36">
        <v>2309.4479999999999</v>
      </c>
      <c r="R36" s="3">
        <f t="shared" si="2"/>
        <v>2517.4654</v>
      </c>
      <c r="S36" s="3">
        <f t="shared" si="3"/>
        <v>67.38643303781555</v>
      </c>
    </row>
    <row r="37" spans="1:19" x14ac:dyDescent="0.25">
      <c r="A37">
        <v>33.75</v>
      </c>
      <c r="B37">
        <v>1906.8789999999999</v>
      </c>
      <c r="C37">
        <v>2189.9279999999999</v>
      </c>
      <c r="D37">
        <v>2560.1970000000001</v>
      </c>
      <c r="F37">
        <v>2329.8159999999998</v>
      </c>
      <c r="H37" s="2">
        <f t="shared" si="0"/>
        <v>2246.7049999999999</v>
      </c>
      <c r="I37" s="2">
        <f t="shared" si="1"/>
        <v>136.59246269773897</v>
      </c>
      <c r="K37">
        <v>33.75</v>
      </c>
      <c r="L37">
        <v>2460.3339999999998</v>
      </c>
      <c r="M37">
        <v>2545.3510000000001</v>
      </c>
      <c r="N37">
        <v>2723.44</v>
      </c>
      <c r="O37">
        <v>2605.5770000000002</v>
      </c>
      <c r="P37">
        <v>2319.1770000000001</v>
      </c>
      <c r="R37" s="3">
        <f t="shared" si="2"/>
        <v>2530.7758000000003</v>
      </c>
      <c r="S37" s="3">
        <f t="shared" si="3"/>
        <v>68.067337720378063</v>
      </c>
    </row>
    <row r="38" spans="1:19" x14ac:dyDescent="0.25">
      <c r="A38">
        <v>35</v>
      </c>
      <c r="B38">
        <v>1874.6880000000001</v>
      </c>
      <c r="C38">
        <v>2164.87</v>
      </c>
      <c r="D38">
        <v>2529.1309999999999</v>
      </c>
      <c r="F38">
        <v>2305.3139999999999</v>
      </c>
      <c r="H38" s="2">
        <f t="shared" si="0"/>
        <v>2218.5007500000002</v>
      </c>
      <c r="I38" s="2">
        <f t="shared" si="1"/>
        <v>136.96445919737184</v>
      </c>
      <c r="K38">
        <v>35</v>
      </c>
      <c r="L38">
        <v>2437.261</v>
      </c>
      <c r="M38">
        <v>2515.0520000000001</v>
      </c>
      <c r="N38">
        <v>2691.3780000000002</v>
      </c>
      <c r="O38">
        <v>2566.02</v>
      </c>
      <c r="P38">
        <v>2301.7919999999999</v>
      </c>
      <c r="R38" s="3">
        <f t="shared" si="2"/>
        <v>2502.3006</v>
      </c>
      <c r="S38" s="3">
        <f t="shared" si="3"/>
        <v>64.964171499065571</v>
      </c>
    </row>
    <row r="39" spans="1:19" x14ac:dyDescent="0.25">
      <c r="A39">
        <v>36.25</v>
      </c>
      <c r="B39">
        <v>1790.9649999999999</v>
      </c>
      <c r="C39">
        <v>2055.8139999999999</v>
      </c>
      <c r="D39">
        <v>2406.7890000000002</v>
      </c>
      <c r="F39">
        <v>2209.384</v>
      </c>
      <c r="H39" s="2">
        <f t="shared" si="0"/>
        <v>2115.7379999999998</v>
      </c>
      <c r="I39" s="2">
        <f t="shared" si="1"/>
        <v>129.91941259296232</v>
      </c>
      <c r="K39">
        <v>36.25</v>
      </c>
      <c r="L39">
        <v>2312.6950000000002</v>
      </c>
      <c r="M39">
        <v>2396.8539999999998</v>
      </c>
      <c r="N39">
        <v>2555.2310000000002</v>
      </c>
      <c r="O39">
        <v>2436.681</v>
      </c>
      <c r="P39">
        <v>2192.5949999999998</v>
      </c>
      <c r="R39" s="3">
        <f t="shared" si="2"/>
        <v>2378.8112000000001</v>
      </c>
      <c r="S39" s="3">
        <f t="shared" si="3"/>
        <v>60.764392229660352</v>
      </c>
    </row>
    <row r="40" spans="1:19" x14ac:dyDescent="0.25">
      <c r="A40">
        <v>37.5</v>
      </c>
      <c r="B40">
        <v>1676.097</v>
      </c>
      <c r="C40">
        <v>1911.5409999999999</v>
      </c>
      <c r="D40">
        <v>2233.6219999999998</v>
      </c>
      <c r="F40">
        <v>2060.4290000000001</v>
      </c>
      <c r="H40" s="2">
        <f t="shared" si="0"/>
        <v>1970.4222500000001</v>
      </c>
      <c r="I40" s="2">
        <f t="shared" si="1"/>
        <v>118.13469636914085</v>
      </c>
      <c r="K40">
        <v>37.5</v>
      </c>
      <c r="L40">
        <v>2147.6019999999999</v>
      </c>
      <c r="M40">
        <v>2220.9110000000001</v>
      </c>
      <c r="N40">
        <v>2368.0639999999999</v>
      </c>
      <c r="O40">
        <v>2263.663</v>
      </c>
      <c r="P40">
        <v>2038.5550000000001</v>
      </c>
      <c r="R40" s="3">
        <f t="shared" si="2"/>
        <v>2207.759</v>
      </c>
      <c r="S40" s="3">
        <f t="shared" si="3"/>
        <v>55.337502477975974</v>
      </c>
    </row>
    <row r="41" spans="1:19" x14ac:dyDescent="0.25">
      <c r="A41">
        <v>38.75</v>
      </c>
      <c r="B41">
        <v>1553.511</v>
      </c>
      <c r="C41">
        <v>1768.384</v>
      </c>
      <c r="D41">
        <v>2081.895</v>
      </c>
      <c r="F41">
        <v>1888.3389999999999</v>
      </c>
      <c r="H41" s="2">
        <f t="shared" si="0"/>
        <v>1823.03225</v>
      </c>
      <c r="I41" s="2">
        <f t="shared" si="1"/>
        <v>110.64320673631813</v>
      </c>
      <c r="K41">
        <v>38.75</v>
      </c>
      <c r="L41">
        <v>1983.722</v>
      </c>
      <c r="M41">
        <v>2066.9929999999999</v>
      </c>
      <c r="N41">
        <v>2209.5239999999999</v>
      </c>
      <c r="O41">
        <v>2101.3879999999999</v>
      </c>
      <c r="P41">
        <v>1896.8140000000001</v>
      </c>
      <c r="R41" s="3">
        <f t="shared" si="2"/>
        <v>2051.6882000000001</v>
      </c>
      <c r="S41" s="3">
        <f t="shared" si="3"/>
        <v>53.019745827757383</v>
      </c>
    </row>
    <row r="42" spans="1:19" x14ac:dyDescent="0.25">
      <c r="A42">
        <v>40</v>
      </c>
      <c r="B42">
        <v>1488.154</v>
      </c>
      <c r="C42">
        <v>1691.261</v>
      </c>
      <c r="D42">
        <v>1983.606</v>
      </c>
      <c r="F42">
        <v>1791.01</v>
      </c>
      <c r="H42" s="2">
        <f t="shared" si="0"/>
        <v>1738.50775</v>
      </c>
      <c r="I42" s="2">
        <f t="shared" si="1"/>
        <v>103.17416259766323</v>
      </c>
      <c r="K42">
        <v>40</v>
      </c>
      <c r="L42">
        <v>1887.3820000000001</v>
      </c>
      <c r="M42">
        <v>1967.854</v>
      </c>
      <c r="N42">
        <v>2109.002</v>
      </c>
      <c r="O42">
        <v>2005.7650000000001</v>
      </c>
      <c r="P42">
        <v>1808.4</v>
      </c>
      <c r="R42" s="3">
        <f t="shared" si="2"/>
        <v>1955.6806000000001</v>
      </c>
      <c r="S42" s="3">
        <f t="shared" si="3"/>
        <v>51.244689669857479</v>
      </c>
    </row>
    <row r="43" spans="1:19" x14ac:dyDescent="0.25">
      <c r="A43">
        <v>41.25</v>
      </c>
      <c r="B43">
        <v>1464.1510000000001</v>
      </c>
      <c r="C43">
        <v>1663.625</v>
      </c>
      <c r="D43">
        <v>1941.85</v>
      </c>
      <c r="F43">
        <v>1765.0029999999999</v>
      </c>
      <c r="H43" s="2">
        <f t="shared" si="0"/>
        <v>1708.65725</v>
      </c>
      <c r="I43" s="2">
        <f t="shared" si="1"/>
        <v>99.735028962058308</v>
      </c>
      <c r="K43">
        <v>41.25</v>
      </c>
      <c r="L43">
        <v>1847.3230000000001</v>
      </c>
      <c r="M43">
        <v>1912.9059999999999</v>
      </c>
      <c r="N43">
        <v>2057.8710000000001</v>
      </c>
      <c r="O43">
        <v>1963.673</v>
      </c>
      <c r="P43">
        <v>1768.2080000000001</v>
      </c>
      <c r="R43" s="3">
        <f t="shared" si="2"/>
        <v>1909.9962</v>
      </c>
      <c r="S43" s="3">
        <f t="shared" si="3"/>
        <v>49.390508160374289</v>
      </c>
    </row>
    <row r="44" spans="1:19" x14ac:dyDescent="0.25">
      <c r="A44">
        <v>42.5</v>
      </c>
      <c r="B44">
        <v>1466.931</v>
      </c>
      <c r="C44">
        <v>1658.931</v>
      </c>
      <c r="D44">
        <v>1933.5740000000001</v>
      </c>
      <c r="F44">
        <v>1764.2729999999999</v>
      </c>
      <c r="H44" s="2">
        <f t="shared" si="0"/>
        <v>1705.92725</v>
      </c>
      <c r="I44" s="2">
        <f t="shared" si="1"/>
        <v>97.704965907892827</v>
      </c>
      <c r="K44">
        <v>42.5</v>
      </c>
      <c r="L44">
        <v>1840.338</v>
      </c>
      <c r="M44">
        <v>1902.566</v>
      </c>
      <c r="N44">
        <v>2039.5609999999999</v>
      </c>
      <c r="O44">
        <v>1954.568</v>
      </c>
      <c r="P44">
        <v>1750.2329999999999</v>
      </c>
      <c r="R44" s="3">
        <f t="shared" si="2"/>
        <v>1897.4531999999999</v>
      </c>
      <c r="S44" s="3">
        <f t="shared" si="3"/>
        <v>49.203049337820509</v>
      </c>
    </row>
    <row r="45" spans="1:19" x14ac:dyDescent="0.25">
      <c r="A45">
        <v>43.75</v>
      </c>
      <c r="B45">
        <v>1474.33</v>
      </c>
      <c r="C45">
        <v>1655.7080000000001</v>
      </c>
      <c r="D45">
        <v>1942.3109999999999</v>
      </c>
      <c r="F45">
        <v>1779.6510000000001</v>
      </c>
      <c r="H45" s="2">
        <f t="shared" si="0"/>
        <v>1713</v>
      </c>
      <c r="I45" s="2">
        <f t="shared" si="1"/>
        <v>98.85664397078564</v>
      </c>
      <c r="K45">
        <v>43.75</v>
      </c>
      <c r="L45">
        <v>1836.248</v>
      </c>
      <c r="M45">
        <v>1894.9059999999999</v>
      </c>
      <c r="N45">
        <v>2029.0740000000001</v>
      </c>
      <c r="O45">
        <v>1959.018</v>
      </c>
      <c r="P45">
        <v>1757.4179999999999</v>
      </c>
      <c r="R45" s="3">
        <f t="shared" si="2"/>
        <v>1895.3328000000001</v>
      </c>
      <c r="S45" s="3">
        <f t="shared" si="3"/>
        <v>47.145626035084121</v>
      </c>
    </row>
    <row r="46" spans="1:19" x14ac:dyDescent="0.25">
      <c r="A46">
        <v>45</v>
      </c>
      <c r="B46">
        <v>1494.518</v>
      </c>
      <c r="C46">
        <v>1669.37</v>
      </c>
      <c r="D46">
        <v>1955.2380000000001</v>
      </c>
      <c r="F46">
        <v>1806.4649999999999</v>
      </c>
      <c r="H46" s="2">
        <f t="shared" si="0"/>
        <v>1731.3977500000001</v>
      </c>
      <c r="I46" s="2">
        <f t="shared" si="1"/>
        <v>98.191567557483438</v>
      </c>
      <c r="K46">
        <v>45</v>
      </c>
      <c r="L46">
        <v>1847.924</v>
      </c>
      <c r="M46">
        <v>1909.6610000000001</v>
      </c>
      <c r="N46">
        <v>2037.104</v>
      </c>
      <c r="O46">
        <v>1953.616</v>
      </c>
      <c r="P46">
        <v>1770.6759999999999</v>
      </c>
      <c r="R46" s="3">
        <f t="shared" si="2"/>
        <v>1903.7962</v>
      </c>
      <c r="S46" s="3">
        <f t="shared" si="3"/>
        <v>45.348687011202443</v>
      </c>
    </row>
    <row r="47" spans="1:19" x14ac:dyDescent="0.25">
      <c r="A47">
        <v>46.25</v>
      </c>
      <c r="B47">
        <v>1545.0840000000001</v>
      </c>
      <c r="C47">
        <v>1725.826</v>
      </c>
      <c r="D47">
        <v>1995.992</v>
      </c>
      <c r="F47">
        <v>1854.242</v>
      </c>
      <c r="H47" s="2">
        <f t="shared" si="0"/>
        <v>1780.2860000000001</v>
      </c>
      <c r="I47" s="2">
        <f t="shared" si="1"/>
        <v>95.866417814929662</v>
      </c>
      <c r="K47">
        <v>46.25</v>
      </c>
      <c r="L47">
        <v>1900.0070000000001</v>
      </c>
      <c r="M47">
        <v>1959.8979999999999</v>
      </c>
      <c r="N47">
        <v>2083.3589999999999</v>
      </c>
      <c r="O47">
        <v>1983.7650000000001</v>
      </c>
      <c r="P47">
        <v>1796.0550000000001</v>
      </c>
      <c r="R47" s="3">
        <f t="shared" si="2"/>
        <v>1944.6167999999998</v>
      </c>
      <c r="S47" s="3">
        <f t="shared" si="3"/>
        <v>47.474275862197182</v>
      </c>
    </row>
    <row r="48" spans="1:19" x14ac:dyDescent="0.25">
      <c r="A48">
        <v>47.5</v>
      </c>
      <c r="B48">
        <v>1626.433</v>
      </c>
      <c r="C48">
        <v>1814.288</v>
      </c>
      <c r="D48">
        <v>2067.71</v>
      </c>
      <c r="F48">
        <v>1939.7149999999999</v>
      </c>
      <c r="H48" s="2">
        <f t="shared" si="0"/>
        <v>1862.0365000000002</v>
      </c>
      <c r="I48" s="2">
        <f t="shared" si="1"/>
        <v>94.040977960408298</v>
      </c>
      <c r="K48">
        <v>47.5</v>
      </c>
      <c r="L48">
        <v>1985.7349999999999</v>
      </c>
      <c r="M48">
        <v>2034.2719999999999</v>
      </c>
      <c r="N48">
        <v>2177.5439999999999</v>
      </c>
      <c r="O48">
        <v>2058.8029999999999</v>
      </c>
      <c r="P48">
        <v>1866.11</v>
      </c>
      <c r="R48" s="3">
        <f t="shared" si="2"/>
        <v>2024.4928</v>
      </c>
      <c r="S48" s="3">
        <f t="shared" si="3"/>
        <v>50.638310988223125</v>
      </c>
    </row>
    <row r="49" spans="1:19" x14ac:dyDescent="0.25">
      <c r="A49">
        <v>48.75</v>
      </c>
      <c r="B49">
        <v>1708.6669999999999</v>
      </c>
      <c r="C49">
        <v>1918.529</v>
      </c>
      <c r="D49">
        <v>2153.2080000000001</v>
      </c>
      <c r="F49">
        <v>2040.952</v>
      </c>
      <c r="H49" s="2">
        <f t="shared" si="0"/>
        <v>1955.3390000000002</v>
      </c>
      <c r="I49" s="2">
        <f t="shared" si="1"/>
        <v>95.168175096334977</v>
      </c>
      <c r="K49">
        <v>48.75</v>
      </c>
      <c r="L49">
        <v>2080.1550000000002</v>
      </c>
      <c r="M49">
        <v>2139.1619999999998</v>
      </c>
      <c r="N49">
        <v>2294.3710000000001</v>
      </c>
      <c r="O49">
        <v>2170.04</v>
      </c>
      <c r="P49">
        <v>1959.0070000000001</v>
      </c>
      <c r="R49" s="3">
        <f t="shared" si="2"/>
        <v>2128.5469999999996</v>
      </c>
      <c r="S49" s="3">
        <f t="shared" si="3"/>
        <v>54.962506999772117</v>
      </c>
    </row>
    <row r="50" spans="1:19" x14ac:dyDescent="0.25">
      <c r="A50">
        <v>50</v>
      </c>
      <c r="B50">
        <v>1780.546</v>
      </c>
      <c r="C50">
        <v>2015.88</v>
      </c>
      <c r="D50">
        <v>2260.194</v>
      </c>
      <c r="F50">
        <v>2142.9859999999999</v>
      </c>
      <c r="H50" s="2">
        <f t="shared" si="0"/>
        <v>2049.9014999999999</v>
      </c>
      <c r="I50" s="2">
        <f t="shared" si="1"/>
        <v>102.71218182336825</v>
      </c>
      <c r="K50">
        <v>50</v>
      </c>
      <c r="L50">
        <v>2163.2179999999998</v>
      </c>
      <c r="M50">
        <v>2247.1460000000002</v>
      </c>
      <c r="N50">
        <v>2387.6089999999999</v>
      </c>
      <c r="O50">
        <v>2271.373</v>
      </c>
      <c r="P50">
        <v>2046.106</v>
      </c>
      <c r="R50" s="3">
        <f t="shared" si="2"/>
        <v>2223.0904</v>
      </c>
      <c r="S50" s="3">
        <f t="shared" si="3"/>
        <v>56.958069325250136</v>
      </c>
    </row>
    <row r="51" spans="1:19" x14ac:dyDescent="0.25">
      <c r="A51">
        <v>51.25</v>
      </c>
      <c r="B51">
        <v>1806.82</v>
      </c>
      <c r="C51">
        <v>2041.8040000000001</v>
      </c>
      <c r="D51">
        <v>2345.0949999999998</v>
      </c>
      <c r="F51">
        <v>2185.5039999999999</v>
      </c>
      <c r="H51" s="2">
        <f t="shared" si="0"/>
        <v>2094.8057499999995</v>
      </c>
      <c r="I51" s="2">
        <f t="shared" si="1"/>
        <v>114.24238082718028</v>
      </c>
      <c r="K51">
        <v>51.25</v>
      </c>
      <c r="L51">
        <v>2207.902</v>
      </c>
      <c r="M51">
        <v>2299.9659999999999</v>
      </c>
      <c r="N51">
        <v>2440.6170000000002</v>
      </c>
      <c r="O51">
        <v>2327.1039999999998</v>
      </c>
      <c r="P51">
        <v>2120.1120000000001</v>
      </c>
      <c r="R51" s="3">
        <f t="shared" si="2"/>
        <v>2279.1402000000003</v>
      </c>
      <c r="S51" s="3">
        <f t="shared" si="3"/>
        <v>54.3938629483143</v>
      </c>
    </row>
    <row r="52" spans="1:19" x14ac:dyDescent="0.25">
      <c r="A52">
        <v>52.5</v>
      </c>
      <c r="B52">
        <v>1815.864</v>
      </c>
      <c r="C52">
        <v>2031.5609999999999</v>
      </c>
      <c r="D52">
        <v>2348.739</v>
      </c>
      <c r="F52">
        <v>2174.982</v>
      </c>
      <c r="H52" s="2">
        <f t="shared" si="0"/>
        <v>2092.7865000000002</v>
      </c>
      <c r="I52" s="2">
        <f t="shared" si="1"/>
        <v>112.80603387119858</v>
      </c>
      <c r="K52">
        <v>52.5</v>
      </c>
      <c r="L52">
        <v>2205.2730000000001</v>
      </c>
      <c r="M52">
        <v>2284.2260000000001</v>
      </c>
      <c r="N52">
        <v>2434.1590000000001</v>
      </c>
      <c r="O52">
        <v>2315.2939999999999</v>
      </c>
      <c r="P52">
        <v>2110.1129999999998</v>
      </c>
      <c r="R52" s="3">
        <f t="shared" si="2"/>
        <v>2269.8129999999996</v>
      </c>
      <c r="S52" s="3">
        <f t="shared" si="3"/>
        <v>54.293353758079846</v>
      </c>
    </row>
    <row r="53" spans="1:19" x14ac:dyDescent="0.25">
      <c r="A53">
        <v>53.75</v>
      </c>
      <c r="B53">
        <v>1834.0050000000001</v>
      </c>
      <c r="C53">
        <v>2019.559</v>
      </c>
      <c r="D53">
        <v>2295.0369999999998</v>
      </c>
      <c r="F53">
        <v>2168.819</v>
      </c>
      <c r="H53" s="2">
        <f t="shared" si="0"/>
        <v>2079.355</v>
      </c>
      <c r="I53" s="2">
        <f t="shared" si="1"/>
        <v>99.286922828067617</v>
      </c>
      <c r="K53">
        <v>53.75</v>
      </c>
      <c r="L53">
        <v>2210.5410000000002</v>
      </c>
      <c r="M53">
        <v>2260.277</v>
      </c>
      <c r="N53">
        <v>2396.2820000000002</v>
      </c>
      <c r="O53">
        <v>2284.085</v>
      </c>
      <c r="P53">
        <v>2051.4490000000001</v>
      </c>
      <c r="R53" s="3">
        <f t="shared" si="2"/>
        <v>2240.5268000000005</v>
      </c>
      <c r="S53" s="3">
        <f t="shared" si="3"/>
        <v>56.212379494556188</v>
      </c>
    </row>
    <row r="54" spans="1:19" x14ac:dyDescent="0.25">
      <c r="A54">
        <v>55</v>
      </c>
      <c r="B54">
        <v>1800.893</v>
      </c>
      <c r="C54">
        <v>1978.0309999999999</v>
      </c>
      <c r="D54">
        <v>2216.7809999999999</v>
      </c>
      <c r="F54">
        <v>2128.7579999999998</v>
      </c>
      <c r="H54" s="2">
        <f t="shared" si="0"/>
        <v>2031.1157499999999</v>
      </c>
      <c r="I54" s="2">
        <f t="shared" si="1"/>
        <v>91.207683952043368</v>
      </c>
      <c r="K54">
        <v>55</v>
      </c>
      <c r="L54">
        <v>2159.7069999999999</v>
      </c>
      <c r="M54">
        <v>2193.8760000000002</v>
      </c>
      <c r="N54">
        <v>2323.4859999999999</v>
      </c>
      <c r="O54">
        <v>2222.9319999999998</v>
      </c>
      <c r="P54">
        <v>1990.1479999999999</v>
      </c>
      <c r="R54" s="3">
        <f t="shared" si="2"/>
        <v>2178.0297999999998</v>
      </c>
      <c r="S54" s="3">
        <f t="shared" si="3"/>
        <v>54.341563976757229</v>
      </c>
    </row>
    <row r="55" spans="1:19" x14ac:dyDescent="0.25">
      <c r="A55">
        <v>56.25</v>
      </c>
      <c r="B55">
        <v>1693.893</v>
      </c>
      <c r="C55">
        <v>1870.1410000000001</v>
      </c>
      <c r="D55">
        <v>2072.0050000000001</v>
      </c>
      <c r="F55">
        <v>2013.127</v>
      </c>
      <c r="H55" s="2">
        <f t="shared" si="0"/>
        <v>1912.2915000000003</v>
      </c>
      <c r="I55" s="2">
        <f t="shared" si="1"/>
        <v>84.237150155083</v>
      </c>
      <c r="K55">
        <v>56.25</v>
      </c>
      <c r="L55">
        <v>2026.1579999999999</v>
      </c>
      <c r="M55">
        <v>2057.8130000000001</v>
      </c>
      <c r="N55">
        <v>2168.5940000000001</v>
      </c>
      <c r="O55">
        <v>2092.0639999999999</v>
      </c>
      <c r="P55">
        <v>1869.51</v>
      </c>
      <c r="R55" s="3">
        <f t="shared" si="2"/>
        <v>2042.8278000000003</v>
      </c>
      <c r="S55" s="3">
        <f t="shared" si="3"/>
        <v>49.387669868500581</v>
      </c>
    </row>
    <row r="56" spans="1:19" x14ac:dyDescent="0.25">
      <c r="A56">
        <v>57.5</v>
      </c>
      <c r="B56">
        <v>1582.1880000000001</v>
      </c>
      <c r="C56">
        <v>1735.934</v>
      </c>
      <c r="D56">
        <v>1914.5239999999999</v>
      </c>
      <c r="F56">
        <v>1862.239</v>
      </c>
      <c r="H56" s="2">
        <f t="shared" si="0"/>
        <v>1773.7212500000001</v>
      </c>
      <c r="I56" s="2">
        <f t="shared" si="1"/>
        <v>74.034715162747545</v>
      </c>
      <c r="K56">
        <v>57.5</v>
      </c>
      <c r="L56">
        <v>1873.2090000000001</v>
      </c>
      <c r="M56">
        <v>1900.1130000000001</v>
      </c>
      <c r="N56">
        <v>2000.2750000000001</v>
      </c>
      <c r="O56">
        <v>1928.9659999999999</v>
      </c>
      <c r="P56">
        <v>1713.9380000000001</v>
      </c>
      <c r="R56" s="3">
        <f t="shared" si="2"/>
        <v>1883.3002000000001</v>
      </c>
      <c r="S56" s="3">
        <f t="shared" si="3"/>
        <v>47.347928399667062</v>
      </c>
    </row>
    <row r="57" spans="1:19" x14ac:dyDescent="0.25">
      <c r="A57">
        <v>58.75</v>
      </c>
      <c r="B57">
        <v>1507.047</v>
      </c>
      <c r="C57">
        <v>1649.422</v>
      </c>
      <c r="D57">
        <v>1801.2249999999999</v>
      </c>
      <c r="F57">
        <v>1775.569</v>
      </c>
      <c r="H57" s="2">
        <f t="shared" si="0"/>
        <v>1683.3157499999998</v>
      </c>
      <c r="I57" s="2">
        <f t="shared" si="1"/>
        <v>67.473891176976721</v>
      </c>
      <c r="K57">
        <v>58.75</v>
      </c>
      <c r="L57">
        <v>1767.0029999999999</v>
      </c>
      <c r="M57">
        <v>1784.422</v>
      </c>
      <c r="N57">
        <v>1873.0050000000001</v>
      </c>
      <c r="O57">
        <v>1798.3140000000001</v>
      </c>
      <c r="P57">
        <v>1617.604</v>
      </c>
      <c r="R57" s="3">
        <f t="shared" si="2"/>
        <v>1768.0696</v>
      </c>
      <c r="S57" s="3">
        <f t="shared" si="3"/>
        <v>41.73403725330202</v>
      </c>
    </row>
    <row r="58" spans="1:19" x14ac:dyDescent="0.25">
      <c r="A58">
        <v>60</v>
      </c>
      <c r="B58">
        <v>1437.963</v>
      </c>
      <c r="C58">
        <v>1578.413</v>
      </c>
      <c r="D58">
        <v>1716.9179999999999</v>
      </c>
      <c r="F58">
        <v>1708.97</v>
      </c>
      <c r="H58" s="2">
        <f t="shared" si="0"/>
        <v>1610.566</v>
      </c>
      <c r="I58" s="2">
        <f t="shared" si="1"/>
        <v>65.713840588062823</v>
      </c>
      <c r="K58">
        <v>60</v>
      </c>
      <c r="L58">
        <v>1688.7370000000001</v>
      </c>
      <c r="M58">
        <v>1709.7349999999999</v>
      </c>
      <c r="N58">
        <v>1789.288</v>
      </c>
      <c r="O58">
        <v>1724.4179999999999</v>
      </c>
      <c r="P58">
        <v>1553.672</v>
      </c>
      <c r="R58" s="3">
        <f t="shared" si="2"/>
        <v>1693.17</v>
      </c>
      <c r="S58" s="3">
        <f t="shared" si="3"/>
        <v>38.709721095611101</v>
      </c>
    </row>
    <row r="59" spans="1:19" x14ac:dyDescent="0.25">
      <c r="A59">
        <v>61.25</v>
      </c>
      <c r="B59">
        <v>1376.8969999999999</v>
      </c>
      <c r="C59">
        <v>1526.7639999999999</v>
      </c>
      <c r="D59">
        <v>1662.337</v>
      </c>
      <c r="F59">
        <v>1645.556</v>
      </c>
      <c r="H59" s="2">
        <f t="shared" si="0"/>
        <v>1552.8885</v>
      </c>
      <c r="I59" s="2">
        <f t="shared" si="1"/>
        <v>65.968260853863171</v>
      </c>
      <c r="K59">
        <v>61.25</v>
      </c>
      <c r="L59">
        <v>1641.2070000000001</v>
      </c>
      <c r="M59">
        <v>1656.4780000000001</v>
      </c>
      <c r="N59">
        <v>1736.24</v>
      </c>
      <c r="O59">
        <v>1669.8440000000001</v>
      </c>
      <c r="P59">
        <v>1509.4480000000001</v>
      </c>
      <c r="R59" s="3">
        <f t="shared" si="2"/>
        <v>1642.6434000000002</v>
      </c>
      <c r="S59" s="3">
        <f t="shared" si="3"/>
        <v>37.036920873096335</v>
      </c>
    </row>
    <row r="60" spans="1:19" x14ac:dyDescent="0.25">
      <c r="A60">
        <v>62.5</v>
      </c>
      <c r="B60">
        <v>1337.4929999999999</v>
      </c>
      <c r="C60">
        <v>1482.646</v>
      </c>
      <c r="D60">
        <v>1623.86</v>
      </c>
      <c r="F60">
        <v>1600.222</v>
      </c>
      <c r="H60" s="2">
        <f t="shared" si="0"/>
        <v>1511.0552499999999</v>
      </c>
      <c r="I60" s="2">
        <f t="shared" si="1"/>
        <v>65.578554064794432</v>
      </c>
      <c r="K60">
        <v>62.5</v>
      </c>
      <c r="L60">
        <v>1594.866</v>
      </c>
      <c r="M60">
        <v>1621.354</v>
      </c>
      <c r="N60">
        <v>1695.4929999999999</v>
      </c>
      <c r="O60">
        <v>1628.17</v>
      </c>
      <c r="P60">
        <v>1473.502</v>
      </c>
      <c r="R60" s="3">
        <f t="shared" si="2"/>
        <v>1602.6770000000001</v>
      </c>
      <c r="S60" s="3">
        <f t="shared" si="3"/>
        <v>36.304769369877562</v>
      </c>
    </row>
    <row r="61" spans="1:19" x14ac:dyDescent="0.25">
      <c r="A61">
        <v>63.75</v>
      </c>
      <c r="B61">
        <v>1317.586</v>
      </c>
      <c r="C61">
        <v>1436.954</v>
      </c>
      <c r="D61">
        <v>1589.5319999999999</v>
      </c>
      <c r="F61">
        <v>1556.721</v>
      </c>
      <c r="H61" s="2">
        <f t="shared" si="0"/>
        <v>1475.1982499999999</v>
      </c>
      <c r="I61" s="2">
        <f t="shared" si="1"/>
        <v>61.928997761381261</v>
      </c>
      <c r="K61">
        <v>63.75</v>
      </c>
      <c r="L61">
        <v>1557.61</v>
      </c>
      <c r="M61">
        <v>1587.335</v>
      </c>
      <c r="N61">
        <v>1667.7080000000001</v>
      </c>
      <c r="O61">
        <v>1590.8779999999999</v>
      </c>
      <c r="P61">
        <v>1444.271</v>
      </c>
      <c r="R61" s="3">
        <f t="shared" si="2"/>
        <v>1569.5603999999998</v>
      </c>
      <c r="S61" s="3">
        <f t="shared" si="3"/>
        <v>36.224007007232117</v>
      </c>
    </row>
    <row r="62" spans="1:19" x14ac:dyDescent="0.25">
      <c r="A62">
        <v>65</v>
      </c>
      <c r="B62">
        <v>1304.683</v>
      </c>
      <c r="C62">
        <v>1405.4369999999999</v>
      </c>
      <c r="D62">
        <v>1570.0889999999999</v>
      </c>
      <c r="F62">
        <v>1531.7639999999999</v>
      </c>
      <c r="H62" s="2">
        <f t="shared" si="0"/>
        <v>1452.99325</v>
      </c>
      <c r="I62" s="2">
        <f t="shared" si="1"/>
        <v>60.672462790482626</v>
      </c>
      <c r="K62">
        <v>65</v>
      </c>
      <c r="L62">
        <v>1530.7260000000001</v>
      </c>
      <c r="M62">
        <v>1562.604</v>
      </c>
      <c r="N62">
        <v>1653.6220000000001</v>
      </c>
      <c r="O62">
        <v>1571.607</v>
      </c>
      <c r="P62">
        <v>1429.105</v>
      </c>
      <c r="R62" s="3">
        <f t="shared" si="2"/>
        <v>1549.5328000000002</v>
      </c>
      <c r="S62" s="3">
        <f t="shared" si="3"/>
        <v>36.296858590517175</v>
      </c>
    </row>
    <row r="63" spans="1:19" x14ac:dyDescent="0.25">
      <c r="A63">
        <v>66.25</v>
      </c>
      <c r="B63">
        <v>1276.471</v>
      </c>
      <c r="C63">
        <v>1387.3820000000001</v>
      </c>
      <c r="D63">
        <v>1566.7719999999999</v>
      </c>
      <c r="F63">
        <v>1514.356</v>
      </c>
      <c r="H63" s="2">
        <f t="shared" si="0"/>
        <v>1436.2452499999999</v>
      </c>
      <c r="I63" s="2">
        <f t="shared" si="1"/>
        <v>65.226496338240466</v>
      </c>
      <c r="K63">
        <v>66.25</v>
      </c>
      <c r="L63">
        <v>1513.7260000000001</v>
      </c>
      <c r="M63">
        <v>1550.049</v>
      </c>
      <c r="N63">
        <v>1642.133</v>
      </c>
      <c r="O63">
        <v>1559.0609999999999</v>
      </c>
      <c r="P63">
        <v>1414.63</v>
      </c>
      <c r="R63" s="3">
        <f t="shared" si="2"/>
        <v>1535.9198000000001</v>
      </c>
      <c r="S63" s="3">
        <f t="shared" si="3"/>
        <v>36.891851150897786</v>
      </c>
    </row>
    <row r="64" spans="1:19" x14ac:dyDescent="0.25">
      <c r="A64">
        <v>67.5</v>
      </c>
      <c r="B64">
        <v>1241.3800000000001</v>
      </c>
      <c r="C64">
        <v>1374.521</v>
      </c>
      <c r="D64">
        <v>1560.7840000000001</v>
      </c>
      <c r="F64">
        <v>1481.933</v>
      </c>
      <c r="H64" s="2">
        <f t="shared" si="0"/>
        <v>1414.6544999999999</v>
      </c>
      <c r="I64" s="2">
        <f t="shared" si="1"/>
        <v>69.230880335897311</v>
      </c>
      <c r="K64">
        <v>67.5</v>
      </c>
      <c r="L64">
        <v>1499.4760000000001</v>
      </c>
      <c r="M64">
        <v>1542.2339999999999</v>
      </c>
      <c r="N64">
        <v>1625.6690000000001</v>
      </c>
      <c r="O64">
        <v>1547.009</v>
      </c>
      <c r="P64">
        <v>1395.643</v>
      </c>
      <c r="R64" s="3">
        <f t="shared" si="2"/>
        <v>1522.0062</v>
      </c>
      <c r="S64" s="3">
        <f t="shared" si="3"/>
        <v>37.586931392972211</v>
      </c>
    </row>
    <row r="65" spans="1:19" x14ac:dyDescent="0.25">
      <c r="A65">
        <v>68.75</v>
      </c>
      <c r="B65">
        <v>1219.6220000000001</v>
      </c>
      <c r="C65">
        <v>1347.1110000000001</v>
      </c>
      <c r="D65">
        <v>1547.1389999999999</v>
      </c>
      <c r="F65">
        <v>1455.6780000000001</v>
      </c>
      <c r="H65" s="2">
        <f t="shared" si="0"/>
        <v>1392.3875</v>
      </c>
      <c r="I65" s="2">
        <f t="shared" si="1"/>
        <v>70.62317465782742</v>
      </c>
      <c r="K65">
        <v>68.75</v>
      </c>
      <c r="L65">
        <v>1480.11</v>
      </c>
      <c r="M65">
        <v>1520.385</v>
      </c>
      <c r="N65">
        <v>1599.962</v>
      </c>
      <c r="O65">
        <v>1537.204</v>
      </c>
      <c r="P65">
        <v>1375.386</v>
      </c>
      <c r="R65" s="3">
        <f t="shared" si="2"/>
        <v>1502.6094000000001</v>
      </c>
      <c r="S65" s="3">
        <f t="shared" si="3"/>
        <v>37.203698431204394</v>
      </c>
    </row>
    <row r="66" spans="1:19" x14ac:dyDescent="0.25">
      <c r="A66">
        <v>70</v>
      </c>
      <c r="B66">
        <v>1203.7070000000001</v>
      </c>
      <c r="C66">
        <v>1328.192</v>
      </c>
      <c r="D66">
        <v>1531.1089999999999</v>
      </c>
      <c r="F66">
        <v>1437.933</v>
      </c>
      <c r="H66" s="2">
        <f t="shared" si="0"/>
        <v>1375.2352500000002</v>
      </c>
      <c r="I66" s="2">
        <f t="shared" si="1"/>
        <v>70.629692594987944</v>
      </c>
      <c r="K66">
        <v>70</v>
      </c>
      <c r="L66">
        <v>1462.5239999999999</v>
      </c>
      <c r="M66">
        <v>1497.643</v>
      </c>
      <c r="N66">
        <v>1589.6890000000001</v>
      </c>
      <c r="O66">
        <v>1528.816</v>
      </c>
      <c r="P66">
        <v>1354.9580000000001</v>
      </c>
      <c r="R66" s="3">
        <f t="shared" si="2"/>
        <v>1486.7259999999999</v>
      </c>
      <c r="S66" s="3">
        <f t="shared" si="3"/>
        <v>39.013248381799741</v>
      </c>
    </row>
    <row r="67" spans="1:19" x14ac:dyDescent="0.25">
      <c r="A67">
        <v>71.25</v>
      </c>
      <c r="B67">
        <v>1190.8520000000001</v>
      </c>
      <c r="C67">
        <v>1315.508</v>
      </c>
      <c r="D67">
        <v>1517.5229999999999</v>
      </c>
      <c r="F67">
        <v>1420.1590000000001</v>
      </c>
      <c r="H67" s="2">
        <f t="shared" si="0"/>
        <v>1361.0104999999999</v>
      </c>
      <c r="I67" s="2">
        <f t="shared" si="1"/>
        <v>70.130295603374307</v>
      </c>
      <c r="K67">
        <v>71.25</v>
      </c>
      <c r="L67">
        <v>1450.761</v>
      </c>
      <c r="M67">
        <v>1481.952</v>
      </c>
      <c r="N67">
        <v>1589.453</v>
      </c>
      <c r="O67">
        <v>1511.6220000000001</v>
      </c>
      <c r="P67">
        <v>1341.5450000000001</v>
      </c>
      <c r="R67" s="3">
        <f t="shared" si="2"/>
        <v>1475.0665999999999</v>
      </c>
      <c r="S67" s="3">
        <f t="shared" si="3"/>
        <v>40.550421924562002</v>
      </c>
    </row>
    <row r="68" spans="1:19" x14ac:dyDescent="0.25">
      <c r="A68">
        <v>72.5</v>
      </c>
      <c r="B68">
        <v>1183.3330000000001</v>
      </c>
      <c r="C68">
        <v>1307.8440000000001</v>
      </c>
      <c r="D68">
        <v>1511.674</v>
      </c>
      <c r="F68">
        <v>1412.261</v>
      </c>
      <c r="H68" s="2">
        <f t="shared" si="0"/>
        <v>1353.778</v>
      </c>
      <c r="I68" s="2">
        <f t="shared" si="1"/>
        <v>70.423030374776289</v>
      </c>
      <c r="K68">
        <v>72.5</v>
      </c>
      <c r="L68">
        <v>1442.097</v>
      </c>
      <c r="M68">
        <v>1469.665</v>
      </c>
      <c r="N68">
        <v>1575.0709999999999</v>
      </c>
      <c r="O68">
        <v>1493.5050000000001</v>
      </c>
      <c r="P68">
        <v>1335.144</v>
      </c>
      <c r="R68" s="3">
        <f t="shared" si="2"/>
        <v>1463.0963999999999</v>
      </c>
      <c r="S68" s="3">
        <f t="shared" si="3"/>
        <v>38.935158899894056</v>
      </c>
    </row>
    <row r="69" spans="1:19" x14ac:dyDescent="0.25">
      <c r="A69">
        <v>73.75</v>
      </c>
      <c r="B69">
        <v>1197.998</v>
      </c>
      <c r="C69">
        <v>1320.046</v>
      </c>
      <c r="D69">
        <v>1524.6579999999999</v>
      </c>
      <c r="F69">
        <v>1423.4839999999999</v>
      </c>
      <c r="H69" s="2">
        <f t="shared" ref="H69:H96" si="4">AVERAGE(B69:F69)</f>
        <v>1366.5464999999999</v>
      </c>
      <c r="I69" s="2">
        <f t="shared" ref="I69:I96" si="5">STDEV(B69:F69)/SQRT(COUNT(B69:F69))</f>
        <v>70.007153617207777</v>
      </c>
      <c r="K69">
        <v>73.75</v>
      </c>
      <c r="L69">
        <v>1441.922</v>
      </c>
      <c r="M69">
        <v>1467.0650000000001</v>
      </c>
      <c r="N69">
        <v>1583.817</v>
      </c>
      <c r="O69">
        <v>1500.2170000000001</v>
      </c>
      <c r="P69">
        <v>1337.529</v>
      </c>
      <c r="R69" s="3">
        <f t="shared" ref="R69:R96" si="6">AVERAGE(L69:P69)</f>
        <v>1466.1100000000001</v>
      </c>
      <c r="S69" s="3">
        <f t="shared" ref="S69:S96" si="7">STDEV(L69:P69)/SQRT(COUNT(L69:P69))</f>
        <v>40.085702081914448</v>
      </c>
    </row>
    <row r="70" spans="1:19" x14ac:dyDescent="0.25">
      <c r="A70">
        <v>75</v>
      </c>
      <c r="B70">
        <v>1287.6500000000001</v>
      </c>
      <c r="C70">
        <v>1409.816</v>
      </c>
      <c r="D70">
        <v>1606.4770000000001</v>
      </c>
      <c r="F70">
        <v>1519.9110000000001</v>
      </c>
      <c r="H70" s="2">
        <f t="shared" si="4"/>
        <v>1455.9635000000001</v>
      </c>
      <c r="I70" s="2">
        <f t="shared" si="5"/>
        <v>69.042633252336685</v>
      </c>
      <c r="K70">
        <v>75</v>
      </c>
      <c r="L70">
        <v>1535.453</v>
      </c>
      <c r="M70">
        <v>1565.385</v>
      </c>
      <c r="N70">
        <v>1700.03</v>
      </c>
      <c r="O70">
        <v>1650.769</v>
      </c>
      <c r="P70">
        <v>1422.6210000000001</v>
      </c>
      <c r="R70" s="3">
        <f t="shared" si="6"/>
        <v>1574.8516</v>
      </c>
      <c r="S70" s="3">
        <f t="shared" si="7"/>
        <v>48.087994979620412</v>
      </c>
    </row>
    <row r="71" spans="1:19" x14ac:dyDescent="0.25">
      <c r="A71">
        <v>76.25</v>
      </c>
      <c r="B71">
        <v>1423.4469999999999</v>
      </c>
      <c r="C71">
        <v>1573.8789999999999</v>
      </c>
      <c r="D71">
        <v>1819.0239999999999</v>
      </c>
      <c r="F71">
        <v>1697.6590000000001</v>
      </c>
      <c r="H71" s="2">
        <f t="shared" si="4"/>
        <v>1628.50225</v>
      </c>
      <c r="I71" s="2">
        <f t="shared" si="5"/>
        <v>84.711544021830363</v>
      </c>
      <c r="K71">
        <v>76.25</v>
      </c>
      <c r="L71">
        <v>1715.5170000000001</v>
      </c>
      <c r="M71">
        <v>1755.17</v>
      </c>
      <c r="N71">
        <v>1901.6969999999999</v>
      </c>
      <c r="O71">
        <v>1961.425</v>
      </c>
      <c r="P71">
        <v>1603.366</v>
      </c>
      <c r="R71" s="3">
        <f t="shared" si="6"/>
        <v>1787.4349999999999</v>
      </c>
      <c r="S71" s="3">
        <f t="shared" si="7"/>
        <v>64.584421671948078</v>
      </c>
    </row>
    <row r="72" spans="1:19" x14ac:dyDescent="0.25">
      <c r="A72">
        <v>77.5</v>
      </c>
      <c r="B72">
        <v>1486.056</v>
      </c>
      <c r="C72">
        <v>1649.165</v>
      </c>
      <c r="D72">
        <v>1907.3430000000001</v>
      </c>
      <c r="F72">
        <v>1783.0119999999999</v>
      </c>
      <c r="H72" s="2">
        <f t="shared" si="4"/>
        <v>1706.394</v>
      </c>
      <c r="I72" s="2">
        <f t="shared" si="5"/>
        <v>90.404097994320296</v>
      </c>
      <c r="K72">
        <v>77.5</v>
      </c>
      <c r="L72">
        <v>1810.8309999999999</v>
      </c>
      <c r="M72">
        <v>1831.8140000000001</v>
      </c>
      <c r="N72">
        <v>1997.174</v>
      </c>
      <c r="O72">
        <v>2096.2840000000001</v>
      </c>
      <c r="P72">
        <v>1704.633</v>
      </c>
      <c r="R72" s="3">
        <f t="shared" si="6"/>
        <v>1888.1471999999999</v>
      </c>
      <c r="S72" s="3">
        <f t="shared" si="7"/>
        <v>70.013018946050323</v>
      </c>
    </row>
    <row r="73" spans="1:19" x14ac:dyDescent="0.25">
      <c r="A73">
        <v>78.75</v>
      </c>
      <c r="B73">
        <v>1427.72</v>
      </c>
      <c r="C73">
        <v>1578.489</v>
      </c>
      <c r="D73">
        <v>1821.0989999999999</v>
      </c>
      <c r="F73">
        <v>1721.6420000000001</v>
      </c>
      <c r="H73" s="2">
        <f t="shared" si="4"/>
        <v>1637.2375</v>
      </c>
      <c r="I73" s="2">
        <f t="shared" si="5"/>
        <v>85.770109333516245</v>
      </c>
      <c r="K73">
        <v>78.75</v>
      </c>
      <c r="L73">
        <v>1727.827</v>
      </c>
      <c r="M73">
        <v>1771.0160000000001</v>
      </c>
      <c r="N73">
        <v>1905.5070000000001</v>
      </c>
      <c r="O73">
        <v>1970.0139999999999</v>
      </c>
      <c r="P73">
        <v>1636.799</v>
      </c>
      <c r="R73" s="3">
        <f t="shared" si="6"/>
        <v>1802.2326</v>
      </c>
      <c r="S73" s="3">
        <f t="shared" si="7"/>
        <v>60.288948123681827</v>
      </c>
    </row>
    <row r="74" spans="1:19" x14ac:dyDescent="0.25">
      <c r="A74">
        <v>80</v>
      </c>
      <c r="B74">
        <v>1331.4680000000001</v>
      </c>
      <c r="C74">
        <v>1478.086</v>
      </c>
      <c r="D74">
        <v>1689.396</v>
      </c>
      <c r="F74">
        <v>1606.1220000000001</v>
      </c>
      <c r="H74" s="2">
        <f t="shared" si="4"/>
        <v>1526.268</v>
      </c>
      <c r="I74" s="2">
        <f t="shared" si="5"/>
        <v>78.132340094653912</v>
      </c>
      <c r="K74">
        <v>80</v>
      </c>
      <c r="L74">
        <v>1611.836</v>
      </c>
      <c r="M74">
        <v>1661.1</v>
      </c>
      <c r="N74">
        <v>1762.299</v>
      </c>
      <c r="O74">
        <v>1763.502</v>
      </c>
      <c r="P74">
        <v>1512.7449999999999</v>
      </c>
      <c r="R74" s="3">
        <f t="shared" si="6"/>
        <v>1662.2963999999999</v>
      </c>
      <c r="S74" s="3">
        <f t="shared" si="7"/>
        <v>47.516522421785041</v>
      </c>
    </row>
    <row r="75" spans="1:19" x14ac:dyDescent="0.25">
      <c r="A75">
        <v>81.25</v>
      </c>
      <c r="B75">
        <v>1389.8620000000001</v>
      </c>
      <c r="C75">
        <v>1578.671</v>
      </c>
      <c r="D75">
        <v>1760.6179999999999</v>
      </c>
      <c r="F75">
        <v>1671.193</v>
      </c>
      <c r="H75" s="2">
        <f t="shared" si="4"/>
        <v>1600.086</v>
      </c>
      <c r="I75" s="2">
        <f t="shared" si="5"/>
        <v>79.309236995657244</v>
      </c>
      <c r="K75">
        <v>81.25</v>
      </c>
      <c r="L75">
        <v>1697.51</v>
      </c>
      <c r="M75">
        <v>1774.1020000000001</v>
      </c>
      <c r="N75">
        <v>1896.104</v>
      </c>
      <c r="O75">
        <v>1817.568</v>
      </c>
      <c r="P75">
        <v>1578.4490000000001</v>
      </c>
      <c r="R75" s="3">
        <f t="shared" si="6"/>
        <v>1752.7465999999999</v>
      </c>
      <c r="S75" s="3">
        <f t="shared" si="7"/>
        <v>54.147920775963314</v>
      </c>
    </row>
    <row r="76" spans="1:19" x14ac:dyDescent="0.25">
      <c r="A76">
        <v>82.5</v>
      </c>
      <c r="B76">
        <v>1873.78</v>
      </c>
      <c r="C76">
        <v>2187.877</v>
      </c>
      <c r="D76">
        <v>2429.2730000000001</v>
      </c>
      <c r="F76">
        <v>2271.9609999999998</v>
      </c>
      <c r="H76" s="2">
        <f t="shared" si="4"/>
        <v>2190.7227499999999</v>
      </c>
      <c r="I76" s="2">
        <f t="shared" si="5"/>
        <v>116.89264309212322</v>
      </c>
      <c r="K76">
        <v>82.5</v>
      </c>
      <c r="L76">
        <v>2312.165</v>
      </c>
      <c r="M76">
        <v>2399.9209999999998</v>
      </c>
      <c r="N76">
        <v>2691.01</v>
      </c>
      <c r="O76">
        <v>2527.5439999999999</v>
      </c>
      <c r="P76">
        <v>2203.6640000000002</v>
      </c>
      <c r="R76" s="3">
        <f t="shared" si="6"/>
        <v>2426.8607999999999</v>
      </c>
      <c r="S76" s="3">
        <f t="shared" si="7"/>
        <v>84.737712240418659</v>
      </c>
    </row>
    <row r="77" spans="1:19" x14ac:dyDescent="0.25">
      <c r="A77">
        <v>83.75</v>
      </c>
      <c r="B77">
        <v>2622.5549999999998</v>
      </c>
      <c r="C77">
        <v>3077.6019999999999</v>
      </c>
      <c r="D77">
        <v>3429.0390000000002</v>
      </c>
      <c r="F77">
        <v>3282.9969999999998</v>
      </c>
      <c r="H77" s="2">
        <f t="shared" si="4"/>
        <v>3103.0482499999998</v>
      </c>
      <c r="I77" s="2">
        <f t="shared" si="5"/>
        <v>175.63522725779089</v>
      </c>
      <c r="K77">
        <v>83.75</v>
      </c>
      <c r="L77">
        <v>3249.5619999999999</v>
      </c>
      <c r="M77">
        <v>3292.1950000000002</v>
      </c>
      <c r="N77">
        <v>3775.4349999999999</v>
      </c>
      <c r="O77">
        <v>3678.7730000000001</v>
      </c>
      <c r="P77">
        <v>3161.5030000000002</v>
      </c>
      <c r="R77" s="3">
        <f t="shared" si="6"/>
        <v>3431.4936000000002</v>
      </c>
      <c r="S77" s="3">
        <f t="shared" si="7"/>
        <v>123.4586812312524</v>
      </c>
    </row>
    <row r="78" spans="1:19" x14ac:dyDescent="0.25">
      <c r="A78">
        <v>85</v>
      </c>
      <c r="B78">
        <v>3149.444</v>
      </c>
      <c r="C78">
        <v>3708.991</v>
      </c>
      <c r="D78">
        <v>4167.41</v>
      </c>
      <c r="F78">
        <v>4061.971</v>
      </c>
      <c r="H78" s="2">
        <f t="shared" si="4"/>
        <v>3771.9539999999997</v>
      </c>
      <c r="I78" s="2">
        <f t="shared" si="5"/>
        <v>229.48826180838424</v>
      </c>
      <c r="K78">
        <v>85</v>
      </c>
      <c r="L78">
        <v>3937.8989999999999</v>
      </c>
      <c r="M78">
        <v>3958.9810000000002</v>
      </c>
      <c r="N78">
        <v>4496.9579999999996</v>
      </c>
      <c r="O78">
        <v>4565.0309999999999</v>
      </c>
      <c r="P78">
        <v>3838.4749999999999</v>
      </c>
      <c r="R78" s="3">
        <f t="shared" si="6"/>
        <v>4159.4687999999996</v>
      </c>
      <c r="S78" s="3">
        <f t="shared" si="7"/>
        <v>153.41206146271546</v>
      </c>
    </row>
    <row r="79" spans="1:19" x14ac:dyDescent="0.25">
      <c r="A79">
        <v>86.25</v>
      </c>
      <c r="B79">
        <v>3186.1619999999998</v>
      </c>
      <c r="C79">
        <v>3709.29</v>
      </c>
      <c r="D79">
        <v>4230.6970000000001</v>
      </c>
      <c r="F79">
        <v>4211.9780000000001</v>
      </c>
      <c r="H79" s="2">
        <f t="shared" si="4"/>
        <v>3834.5317500000001</v>
      </c>
      <c r="I79" s="2">
        <f t="shared" si="5"/>
        <v>247.56840899785237</v>
      </c>
      <c r="K79">
        <v>86.25</v>
      </c>
      <c r="L79">
        <v>4025.6379999999999</v>
      </c>
      <c r="M79">
        <v>3977.43</v>
      </c>
      <c r="N79">
        <v>4501.0039999999999</v>
      </c>
      <c r="O79">
        <v>4700.393</v>
      </c>
      <c r="P79">
        <v>3844.81</v>
      </c>
      <c r="R79" s="3">
        <f t="shared" si="6"/>
        <v>4209.8550000000005</v>
      </c>
      <c r="S79" s="3">
        <f t="shared" si="7"/>
        <v>165.31944915586914</v>
      </c>
    </row>
    <row r="80" spans="1:19" x14ac:dyDescent="0.25">
      <c r="A80">
        <v>87.5</v>
      </c>
      <c r="B80">
        <v>2776.8150000000001</v>
      </c>
      <c r="C80">
        <v>3171.1990000000001</v>
      </c>
      <c r="D80">
        <v>3663.3919999999998</v>
      </c>
      <c r="F80">
        <v>3686.049</v>
      </c>
      <c r="H80" s="2">
        <f t="shared" si="4"/>
        <v>3324.3637499999995</v>
      </c>
      <c r="I80" s="2">
        <f t="shared" si="5"/>
        <v>217.75855295769787</v>
      </c>
      <c r="K80">
        <v>87.5</v>
      </c>
      <c r="L80">
        <v>3557.6089999999999</v>
      </c>
      <c r="M80">
        <v>3452.42</v>
      </c>
      <c r="N80">
        <v>3841.0540000000001</v>
      </c>
      <c r="O80">
        <v>4156.9229999999998</v>
      </c>
      <c r="P80">
        <v>3288.895</v>
      </c>
      <c r="R80" s="3">
        <f t="shared" si="6"/>
        <v>3659.3802000000005</v>
      </c>
      <c r="S80" s="3">
        <f t="shared" si="7"/>
        <v>153.46064518155782</v>
      </c>
    </row>
    <row r="81" spans="1:19" x14ac:dyDescent="0.25">
      <c r="A81">
        <v>88.75</v>
      </c>
      <c r="B81">
        <v>2293.0619999999999</v>
      </c>
      <c r="C81">
        <v>2582.2449999999999</v>
      </c>
      <c r="D81">
        <v>3003.0909999999999</v>
      </c>
      <c r="F81">
        <v>2921.8820000000001</v>
      </c>
      <c r="H81" s="2">
        <f t="shared" si="4"/>
        <v>2700.0699999999997</v>
      </c>
      <c r="I81" s="2">
        <f t="shared" si="5"/>
        <v>163.44227637354814</v>
      </c>
      <c r="K81">
        <v>88.75</v>
      </c>
      <c r="L81">
        <v>2904.5050000000001</v>
      </c>
      <c r="M81">
        <v>2833.826</v>
      </c>
      <c r="N81">
        <v>3104.489</v>
      </c>
      <c r="O81">
        <v>3367.587</v>
      </c>
      <c r="P81">
        <v>2692.19</v>
      </c>
      <c r="R81" s="3">
        <f t="shared" si="6"/>
        <v>2980.5194000000001</v>
      </c>
      <c r="S81" s="3">
        <f t="shared" si="7"/>
        <v>117.39266889571937</v>
      </c>
    </row>
    <row r="82" spans="1:19" x14ac:dyDescent="0.25">
      <c r="A82">
        <v>90</v>
      </c>
      <c r="B82">
        <v>2138.404</v>
      </c>
      <c r="C82">
        <v>2442.9870000000001</v>
      </c>
      <c r="D82">
        <v>2799.3539999999998</v>
      </c>
      <c r="F82">
        <v>2637.4850000000001</v>
      </c>
      <c r="H82" s="2">
        <f t="shared" si="4"/>
        <v>2504.5574999999999</v>
      </c>
      <c r="I82" s="2">
        <f t="shared" si="5"/>
        <v>142.13667386855744</v>
      </c>
      <c r="K82">
        <v>90</v>
      </c>
      <c r="L82">
        <v>2625.2570000000001</v>
      </c>
      <c r="M82">
        <v>2643.873</v>
      </c>
      <c r="N82">
        <v>2890.125</v>
      </c>
      <c r="O82">
        <v>3015.3380000000002</v>
      </c>
      <c r="P82">
        <v>2508.98</v>
      </c>
      <c r="R82" s="3">
        <f t="shared" si="6"/>
        <v>2736.7146000000002</v>
      </c>
      <c r="S82" s="3">
        <f t="shared" si="7"/>
        <v>93.292860707880564</v>
      </c>
    </row>
    <row r="83" spans="1:19" x14ac:dyDescent="0.25">
      <c r="A83">
        <v>91.25</v>
      </c>
      <c r="B83">
        <v>2283.3310000000001</v>
      </c>
      <c r="C83">
        <v>2711.107</v>
      </c>
      <c r="D83">
        <v>2999.6179999999999</v>
      </c>
      <c r="F83">
        <v>2846.4549999999999</v>
      </c>
      <c r="H83" s="2">
        <f t="shared" si="4"/>
        <v>2710.1277500000001</v>
      </c>
      <c r="I83" s="2">
        <f t="shared" si="5"/>
        <v>153.98759383977168</v>
      </c>
      <c r="K83">
        <v>91.25</v>
      </c>
      <c r="L83">
        <v>2766.8690000000001</v>
      </c>
      <c r="M83">
        <v>2801.56</v>
      </c>
      <c r="N83">
        <v>3158.1129999999998</v>
      </c>
      <c r="O83">
        <v>3290.4630000000002</v>
      </c>
      <c r="P83">
        <v>2709.114</v>
      </c>
      <c r="R83" s="3">
        <f t="shared" si="6"/>
        <v>2945.2237999999998</v>
      </c>
      <c r="S83" s="3">
        <f t="shared" si="7"/>
        <v>116.77103160947067</v>
      </c>
    </row>
    <row r="84" spans="1:19" x14ac:dyDescent="0.25">
      <c r="A84">
        <v>92.5</v>
      </c>
      <c r="B84">
        <v>2542.3490000000002</v>
      </c>
      <c r="C84">
        <v>3105.1129999999998</v>
      </c>
      <c r="D84">
        <v>3378.8989999999999</v>
      </c>
      <c r="F84">
        <v>3248.61</v>
      </c>
      <c r="H84" s="2">
        <f t="shared" si="4"/>
        <v>3068.7427499999999</v>
      </c>
      <c r="I84" s="2">
        <f t="shared" si="5"/>
        <v>184.15625207975503</v>
      </c>
      <c r="K84">
        <v>92.5</v>
      </c>
      <c r="L84">
        <v>3114.779</v>
      </c>
      <c r="M84">
        <v>3122.3879999999999</v>
      </c>
      <c r="N84">
        <v>3578.3890000000001</v>
      </c>
      <c r="O84">
        <v>3768.7240000000002</v>
      </c>
      <c r="P84">
        <v>3033.875</v>
      </c>
      <c r="R84" s="3">
        <f t="shared" si="6"/>
        <v>3323.6309999999999</v>
      </c>
      <c r="S84" s="3">
        <f t="shared" si="7"/>
        <v>146.81380379616903</v>
      </c>
    </row>
    <row r="85" spans="1:19" x14ac:dyDescent="0.25">
      <c r="A85">
        <v>93.75</v>
      </c>
      <c r="B85">
        <v>2807.7750000000001</v>
      </c>
      <c r="C85">
        <v>3415.0059999999999</v>
      </c>
      <c r="D85">
        <v>3761.5259999999998</v>
      </c>
      <c r="F85">
        <v>3663.7289999999998</v>
      </c>
      <c r="H85" s="2">
        <f t="shared" si="4"/>
        <v>3412.009</v>
      </c>
      <c r="I85" s="2">
        <f t="shared" si="5"/>
        <v>214.21033286118396</v>
      </c>
      <c r="K85">
        <v>93.75</v>
      </c>
      <c r="L85">
        <v>3512.0140000000001</v>
      </c>
      <c r="M85">
        <v>3478.2240000000002</v>
      </c>
      <c r="N85">
        <v>3974.576</v>
      </c>
      <c r="O85">
        <v>4191.2790000000005</v>
      </c>
      <c r="P85">
        <v>3361.2429999999999</v>
      </c>
      <c r="R85" s="3">
        <f t="shared" si="6"/>
        <v>3703.4672</v>
      </c>
      <c r="S85" s="3">
        <f t="shared" si="7"/>
        <v>160.61857981858768</v>
      </c>
    </row>
    <row r="86" spans="1:19" x14ac:dyDescent="0.25">
      <c r="A86">
        <v>95</v>
      </c>
      <c r="B86">
        <v>3017.6260000000002</v>
      </c>
      <c r="C86">
        <v>3538.154</v>
      </c>
      <c r="D86">
        <v>4028.8939999999998</v>
      </c>
      <c r="F86">
        <v>3872.8829999999998</v>
      </c>
      <c r="H86" s="2">
        <f t="shared" si="4"/>
        <v>3614.3892500000002</v>
      </c>
      <c r="I86" s="2">
        <f t="shared" si="5"/>
        <v>223.71324585555652</v>
      </c>
      <c r="K86">
        <v>95</v>
      </c>
      <c r="L86">
        <v>3777.605</v>
      </c>
      <c r="M86">
        <v>3798.6759999999999</v>
      </c>
      <c r="N86">
        <v>4225.2860000000001</v>
      </c>
      <c r="O86">
        <v>4342.6170000000002</v>
      </c>
      <c r="P86">
        <v>3572.0940000000001</v>
      </c>
      <c r="R86" s="3">
        <f t="shared" si="6"/>
        <v>3943.2555999999995</v>
      </c>
      <c r="S86" s="3">
        <f t="shared" si="7"/>
        <v>145.79694606973086</v>
      </c>
    </row>
    <row r="87" spans="1:19" x14ac:dyDescent="0.25">
      <c r="A87">
        <v>96.25</v>
      </c>
      <c r="B87">
        <v>3123.768</v>
      </c>
      <c r="C87">
        <v>3555.5659999999998</v>
      </c>
      <c r="D87">
        <v>4165.3980000000001</v>
      </c>
      <c r="F87">
        <v>3917.8339999999998</v>
      </c>
      <c r="H87" s="2">
        <f t="shared" si="4"/>
        <v>3690.6414999999997</v>
      </c>
      <c r="I87" s="2">
        <f t="shared" si="5"/>
        <v>226.6791274854894</v>
      </c>
      <c r="K87">
        <v>96.25</v>
      </c>
      <c r="L87">
        <v>3906.3409999999999</v>
      </c>
      <c r="M87">
        <v>4028.8620000000001</v>
      </c>
      <c r="N87">
        <v>4315.2280000000001</v>
      </c>
      <c r="O87">
        <v>4283.5829999999996</v>
      </c>
      <c r="P87">
        <v>3619.3139999999999</v>
      </c>
      <c r="R87" s="3">
        <f t="shared" si="6"/>
        <v>4030.6655999999994</v>
      </c>
      <c r="S87" s="3">
        <f t="shared" si="7"/>
        <v>128.37697781868835</v>
      </c>
    </row>
    <row r="88" spans="1:19" x14ac:dyDescent="0.25">
      <c r="A88">
        <v>97.5</v>
      </c>
      <c r="B88">
        <v>3244.268</v>
      </c>
      <c r="C88">
        <v>3651.2370000000001</v>
      </c>
      <c r="D88">
        <v>4222.2190000000001</v>
      </c>
      <c r="F88">
        <v>3935.6170000000002</v>
      </c>
      <c r="H88" s="2">
        <f t="shared" si="4"/>
        <v>3763.3352500000001</v>
      </c>
      <c r="I88" s="2">
        <f t="shared" si="5"/>
        <v>208.616898698857</v>
      </c>
      <c r="K88">
        <v>97.5</v>
      </c>
      <c r="L88">
        <v>3988.3780000000002</v>
      </c>
      <c r="M88">
        <v>4133.8370000000004</v>
      </c>
      <c r="N88">
        <v>4437.8630000000003</v>
      </c>
      <c r="O88">
        <v>4238.3239999999996</v>
      </c>
      <c r="P88">
        <v>3677.74</v>
      </c>
      <c r="R88" s="3">
        <f t="shared" si="6"/>
        <v>4095.2284</v>
      </c>
      <c r="S88" s="3">
        <f t="shared" si="7"/>
        <v>127.4909832037545</v>
      </c>
    </row>
    <row r="89" spans="1:19" x14ac:dyDescent="0.25">
      <c r="A89">
        <v>98.75</v>
      </c>
      <c r="B89">
        <v>3411.62</v>
      </c>
      <c r="C89">
        <v>3872.9769999999999</v>
      </c>
      <c r="D89">
        <v>4401.4139999999998</v>
      </c>
      <c r="F89">
        <v>4071.511</v>
      </c>
      <c r="H89" s="2">
        <f t="shared" si="4"/>
        <v>3939.3804999999998</v>
      </c>
      <c r="I89" s="2">
        <f t="shared" si="5"/>
        <v>206.9367846962368</v>
      </c>
      <c r="K89">
        <v>98.75</v>
      </c>
      <c r="L89">
        <v>4155.9089999999997</v>
      </c>
      <c r="M89">
        <v>4333.9570000000003</v>
      </c>
      <c r="N89">
        <v>4680.4889999999996</v>
      </c>
      <c r="O89">
        <v>4334.2640000000001</v>
      </c>
      <c r="P89">
        <v>3840.982</v>
      </c>
      <c r="R89" s="3">
        <f t="shared" si="6"/>
        <v>4269.1201999999994</v>
      </c>
      <c r="S89" s="3">
        <f t="shared" si="7"/>
        <v>136.70971235263423</v>
      </c>
    </row>
    <row r="90" spans="1:19" x14ac:dyDescent="0.25">
      <c r="A90">
        <v>100</v>
      </c>
      <c r="B90">
        <v>3483.9929999999999</v>
      </c>
      <c r="C90">
        <v>3998.1619999999998</v>
      </c>
      <c r="D90">
        <v>4522.1940000000004</v>
      </c>
      <c r="F90">
        <v>4188.2629999999999</v>
      </c>
      <c r="H90" s="2">
        <f t="shared" si="4"/>
        <v>4048.1530000000002</v>
      </c>
      <c r="I90" s="2">
        <f t="shared" si="5"/>
        <v>217.01023160633088</v>
      </c>
      <c r="K90">
        <v>100</v>
      </c>
      <c r="L90">
        <v>4279.8410000000003</v>
      </c>
      <c r="M90">
        <v>4485.71</v>
      </c>
      <c r="N90">
        <v>4807.1409999999996</v>
      </c>
      <c r="O90">
        <v>4471.0349999999999</v>
      </c>
      <c r="P90">
        <v>3940.2890000000002</v>
      </c>
      <c r="R90" s="3">
        <f t="shared" si="6"/>
        <v>4396.8032000000003</v>
      </c>
      <c r="S90" s="3">
        <f t="shared" si="7"/>
        <v>142.10511256756376</v>
      </c>
    </row>
    <row r="91" spans="1:19" x14ac:dyDescent="0.25">
      <c r="A91">
        <v>101.25</v>
      </c>
      <c r="B91">
        <v>3348.2429999999999</v>
      </c>
      <c r="C91">
        <v>3901.672</v>
      </c>
      <c r="D91">
        <v>4398.1360000000004</v>
      </c>
      <c r="F91">
        <v>4098.7730000000001</v>
      </c>
      <c r="H91" s="2">
        <f t="shared" si="4"/>
        <v>3936.7060000000001</v>
      </c>
      <c r="I91" s="2">
        <f t="shared" si="5"/>
        <v>221.11449540038464</v>
      </c>
      <c r="K91">
        <v>101.25</v>
      </c>
      <c r="L91">
        <v>4193.723</v>
      </c>
      <c r="M91">
        <v>4348.8159999999998</v>
      </c>
      <c r="N91">
        <v>4698.7849999999999</v>
      </c>
      <c r="O91">
        <v>4428.9589999999998</v>
      </c>
      <c r="P91">
        <v>3827.252</v>
      </c>
      <c r="R91" s="3">
        <f t="shared" si="6"/>
        <v>4299.5069999999996</v>
      </c>
      <c r="S91" s="3">
        <f t="shared" si="7"/>
        <v>143.67100590411408</v>
      </c>
    </row>
    <row r="92" spans="1:19" x14ac:dyDescent="0.25">
      <c r="A92">
        <v>102.5</v>
      </c>
      <c r="B92">
        <v>3008.1909999999998</v>
      </c>
      <c r="C92">
        <v>3592.1120000000001</v>
      </c>
      <c r="D92">
        <v>4013.7930000000001</v>
      </c>
      <c r="F92">
        <v>3775.6819999999998</v>
      </c>
      <c r="H92" s="2">
        <f t="shared" si="4"/>
        <v>3597.4444999999996</v>
      </c>
      <c r="I92" s="2">
        <f t="shared" si="5"/>
        <v>214.54657665974946</v>
      </c>
      <c r="K92">
        <v>102.5</v>
      </c>
      <c r="L92">
        <v>3847.1419999999998</v>
      </c>
      <c r="M92">
        <v>3947.2</v>
      </c>
      <c r="N92">
        <v>4289.4920000000002</v>
      </c>
      <c r="O92">
        <v>4120.473</v>
      </c>
      <c r="P92">
        <v>3450.511</v>
      </c>
      <c r="R92" s="3">
        <f t="shared" si="6"/>
        <v>3930.9636</v>
      </c>
      <c r="S92" s="3">
        <f t="shared" si="7"/>
        <v>141.87684949511674</v>
      </c>
    </row>
    <row r="93" spans="1:19" x14ac:dyDescent="0.25">
      <c r="A93">
        <v>103.75</v>
      </c>
      <c r="B93">
        <v>2561.3090000000002</v>
      </c>
      <c r="C93">
        <v>3129.386</v>
      </c>
      <c r="D93">
        <v>3424.4229999999998</v>
      </c>
      <c r="F93">
        <v>3227.3069999999998</v>
      </c>
      <c r="H93" s="2">
        <f t="shared" si="4"/>
        <v>3085.6062499999998</v>
      </c>
      <c r="I93" s="2">
        <f t="shared" si="5"/>
        <v>185.2206264383901</v>
      </c>
      <c r="K93">
        <v>103.75</v>
      </c>
      <c r="L93">
        <v>3334.8969999999999</v>
      </c>
      <c r="M93">
        <v>3404.1559999999999</v>
      </c>
      <c r="N93">
        <v>3666.3560000000002</v>
      </c>
      <c r="O93">
        <v>3588.06</v>
      </c>
      <c r="P93">
        <v>2924.0010000000002</v>
      </c>
      <c r="R93" s="3">
        <f t="shared" si="6"/>
        <v>3383.4940000000001</v>
      </c>
      <c r="S93" s="3">
        <f t="shared" si="7"/>
        <v>129.57248224488097</v>
      </c>
    </row>
    <row r="94" spans="1:19" x14ac:dyDescent="0.25">
      <c r="A94">
        <v>105</v>
      </c>
      <c r="B94">
        <v>2193.576</v>
      </c>
      <c r="C94">
        <v>2704.5970000000002</v>
      </c>
      <c r="D94">
        <v>2870.3980000000001</v>
      </c>
      <c r="F94">
        <v>2664.1289999999999</v>
      </c>
      <c r="H94" s="2">
        <f t="shared" si="4"/>
        <v>2608.1750000000002</v>
      </c>
      <c r="I94" s="2">
        <f t="shared" si="5"/>
        <v>145.22433356994046</v>
      </c>
      <c r="K94">
        <v>105</v>
      </c>
      <c r="L94">
        <v>2863.8409999999999</v>
      </c>
      <c r="M94">
        <v>2928.5839999999998</v>
      </c>
      <c r="N94">
        <v>3167.8310000000001</v>
      </c>
      <c r="O94">
        <v>3041.5120000000002</v>
      </c>
      <c r="P94">
        <v>2499.3780000000002</v>
      </c>
      <c r="R94" s="3">
        <f t="shared" si="6"/>
        <v>2900.2292000000002</v>
      </c>
      <c r="S94" s="3">
        <f t="shared" si="7"/>
        <v>112.77883960717099</v>
      </c>
    </row>
    <row r="95" spans="1:19" x14ac:dyDescent="0.25">
      <c r="A95">
        <v>106.25</v>
      </c>
      <c r="B95">
        <v>2015.7429999999999</v>
      </c>
      <c r="C95">
        <v>2482.009</v>
      </c>
      <c r="D95">
        <v>2592.9659999999999</v>
      </c>
      <c r="F95">
        <v>2361.2449999999999</v>
      </c>
      <c r="H95" s="2">
        <f t="shared" si="4"/>
        <v>2362.9907499999999</v>
      </c>
      <c r="I95" s="2">
        <f t="shared" si="5"/>
        <v>125.0459938611756</v>
      </c>
      <c r="K95">
        <v>106.25</v>
      </c>
      <c r="L95">
        <v>2613.2829999999999</v>
      </c>
      <c r="M95">
        <v>2673.8159999999998</v>
      </c>
      <c r="N95">
        <v>2939.1790000000001</v>
      </c>
      <c r="O95">
        <v>2721.0309999999999</v>
      </c>
      <c r="P95">
        <v>2288.9259999999999</v>
      </c>
      <c r="R95" s="3">
        <f t="shared" si="6"/>
        <v>2647.2470000000003</v>
      </c>
      <c r="S95" s="3">
        <f t="shared" si="7"/>
        <v>105.10037473244329</v>
      </c>
    </row>
    <row r="96" spans="1:19" x14ac:dyDescent="0.25">
      <c r="A96">
        <v>107.5</v>
      </c>
      <c r="B96">
        <v>1933.3430000000001</v>
      </c>
      <c r="C96">
        <v>2369.1750000000002</v>
      </c>
      <c r="D96">
        <v>2473.8420000000001</v>
      </c>
      <c r="F96">
        <v>2256.0149999999999</v>
      </c>
      <c r="H96" s="2">
        <f t="shared" si="4"/>
        <v>2258.09375</v>
      </c>
      <c r="I96" s="2">
        <f t="shared" si="5"/>
        <v>117.03052390535771</v>
      </c>
      <c r="K96">
        <v>107.5</v>
      </c>
      <c r="L96">
        <v>2482.8739999999998</v>
      </c>
      <c r="M96">
        <v>2545.9279999999999</v>
      </c>
      <c r="N96">
        <v>2824.4839999999999</v>
      </c>
      <c r="O96">
        <v>2586.0360000000001</v>
      </c>
      <c r="P96">
        <v>2185.123</v>
      </c>
      <c r="R96" s="3">
        <f t="shared" si="6"/>
        <v>2524.8890000000001</v>
      </c>
      <c r="S96" s="3">
        <f t="shared" si="7"/>
        <v>102.74846814819186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BRIGHT!OCT_RAW___\CO13\_dark_profiles_CO13_DARK</vt:lpstr>
      <vt:lpstr>BRIGHT!OCT_RAW___\CO13\_light_profiles_CO13_LIGHT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2019-11-17T03:43:46Z</dcterms:modified>
</cp:coreProperties>
</file>