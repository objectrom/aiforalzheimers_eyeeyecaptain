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AD01_drusen\"/>
    </mc:Choice>
  </mc:AlternateContent>
  <xr:revisionPtr revIDLastSave="0" documentId="13_ncr:1_{71A883F0-C125-487D-835C-49287F7F7559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BRIGHT" sheetId="1" r:id="rId1"/>
  </sheets>
  <definedNames>
    <definedName name="OCT_RAW___\AD01_drusen__make_Excel\_dark_profiles_AD01_DARK" localSheetId="0">BRIGHT!$A$2:$F$96</definedName>
    <definedName name="OCT_RAW___\AD01_drusen__make_Excel\_fovea_dark_profiles_AD01_DARK" localSheetId="0">BRIGHT!#REF!</definedName>
    <definedName name="OCT_RAW___\AD01_drusen__make_Excel\_fovea_light_profiles_AD01_LIGHT" localSheetId="0">BRIGHT!#REF!</definedName>
    <definedName name="OCT_RAW___\AD01_drusen__make_Excel\_light_profiles_AD01_LIGHT" localSheetId="0">BRIGHT!$K$2:$O$96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3A02CA-C7C6-49CD-A8D5-6AB81AD9EB43}" name="[[[OCT RAW]]]\AD01_drusen--make-Excel\_dark_profiles_AD01_DARK" type="6" refreshedVersion="6" background="1" saveData="1">
    <textPr codePage="437" sourceFile="E:\[Documents]\[[[OCT RAW]]]\AD01_drusen--make-Excel\_dark_profiles_AD01_DARK.txt" space="1" consecutive="1">
      <textFields count="6">
        <textField/>
        <textField/>
        <textField/>
        <textField/>
        <textField/>
        <textField/>
      </textFields>
    </textPr>
  </connection>
  <connection id="2" xr16:uid="{1B5C30AE-9D50-4556-ABE2-FF82F4CED2E0}" name="[[[OCT RAW]]]\AD01_drusen--make-Excel\_light_profiles_AD01_LIGHT" type="6" refreshedVersion="6" background="1" saveData="1">
    <textPr codePage="437" sourceFile="E:\[Documents]\[[[OCT RAW]]]\AD01_drusen--make-Excel\_light_profiles_AD01_LIGHT.txt" space="1" consecutive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<sst xmlns="http://schemas.openxmlformats.org/spreadsheetml/2006/main" count="106" uniqueCount="9">
  <si>
    <t>angle</t>
  </si>
  <si>
    <t>whole</t>
  </si>
  <si>
    <t>RPEtoOLM</t>
  </si>
  <si>
    <t>RNFL</t>
  </si>
  <si>
    <t>NA</t>
  </si>
  <si>
    <t>AD433_DARK</t>
  </si>
  <si>
    <t>AD433_LIGHT</t>
  </si>
  <si>
    <t>LIGHT thicknesses for 500microns to 2750 microns, but reflectivity profiles from 1000 microns to 2750 microns</t>
  </si>
  <si>
    <t>DARK thicknesses for 500microns to 2750 microns, but reflectivity profiles from 1000 microns to 2750 microns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</si>
</sst>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BRIGHT!$H$7:$H$96</c:f>
              <c:numCache>
                <c:formatCode>General</c:formatCode>
                <c:ptCount val="90"/>
                <c:pt idx="0">
                  <c:v>633.57846800000004</c:v>
                </c:pt>
                <c:pt idx="1">
                  <c:v>1007.3088</c:v>
                </c:pt>
                <c:pt idx="2">
                  <c:v>1872.1145259999998</c:v>
                </c:pt>
                <c:pt idx="3">
                  <c:v>2838.6315420000001</c:v>
                </c:pt>
                <c:pt idx="4">
                  <c:v>3776.3787620000003</c:v>
                </c:pt>
                <c:pt idx="5">
                  <c:v>4490.2577139999994</c:v>
                </c:pt>
                <c:pt idx="6">
                  <c:v>4880.7193380000008</c:v>
                </c:pt>
                <c:pt idx="7">
                  <c:v>5041.5121099999997</c:v>
                </c:pt>
                <c:pt idx="8">
                  <c:v>5055.3546859999997</c:v>
                </c:pt>
                <c:pt idx="9">
                  <c:v>4897.311036000001</c:v>
                </c:pt>
                <c:pt idx="10">
                  <c:v>4483.9085419999992</c:v>
                </c:pt>
                <c:pt idx="11">
                  <c:v>3828.0161119999998</c:v>
                </c:pt>
                <c:pt idx="12">
                  <c:v>3374.6066420000002</c:v>
                </c:pt>
                <c:pt idx="13">
                  <c:v>3155.918944</c:v>
                </c:pt>
                <c:pt idx="14">
                  <c:v>3067.6762179999996</c:v>
                </c:pt>
                <c:pt idx="15">
                  <c:v>3037.6436059999996</c:v>
                </c:pt>
                <c:pt idx="16">
                  <c:v>3017.7648920000001</c:v>
                </c:pt>
                <c:pt idx="17">
                  <c:v>3001.3771000000002</c:v>
                </c:pt>
                <c:pt idx="18">
                  <c:v>2989.9913559999995</c:v>
                </c:pt>
                <c:pt idx="19">
                  <c:v>3000.2938480000003</c:v>
                </c:pt>
                <c:pt idx="20">
                  <c:v>3050.2527340000001</c:v>
                </c:pt>
                <c:pt idx="21">
                  <c:v>3111.3750979999995</c:v>
                </c:pt>
                <c:pt idx="22">
                  <c:v>3159.8376959999996</c:v>
                </c:pt>
                <c:pt idx="23">
                  <c:v>3175.37417</c:v>
                </c:pt>
                <c:pt idx="24">
                  <c:v>3168.6604480000001</c:v>
                </c:pt>
                <c:pt idx="25">
                  <c:v>3172.3126940000002</c:v>
                </c:pt>
                <c:pt idx="26">
                  <c:v>3192.099314</c:v>
                </c:pt>
                <c:pt idx="27">
                  <c:v>3221.8165519999998</c:v>
                </c:pt>
                <c:pt idx="28">
                  <c:v>3235.4642599999997</c:v>
                </c:pt>
                <c:pt idx="29">
                  <c:v>3257.1742180000001</c:v>
                </c:pt>
                <c:pt idx="30">
                  <c:v>3265.1040520000001</c:v>
                </c:pt>
                <c:pt idx="31">
                  <c:v>3215.6320800000003</c:v>
                </c:pt>
                <c:pt idx="32">
                  <c:v>3053.0682120000001</c:v>
                </c:pt>
                <c:pt idx="33">
                  <c:v>2816.7761219999998</c:v>
                </c:pt>
                <c:pt idx="34">
                  <c:v>2562.4895040000001</c:v>
                </c:pt>
                <c:pt idx="35">
                  <c:v>2438.319434</c:v>
                </c:pt>
                <c:pt idx="36">
                  <c:v>2407.5658699999999</c:v>
                </c:pt>
                <c:pt idx="37">
                  <c:v>2409.1215339999999</c:v>
                </c:pt>
                <c:pt idx="38">
                  <c:v>2422.620848</c:v>
                </c:pt>
                <c:pt idx="39">
                  <c:v>2460.7600119999997</c:v>
                </c:pt>
                <c:pt idx="40">
                  <c:v>2544.9470219999998</c:v>
                </c:pt>
                <c:pt idx="41">
                  <c:v>2657.030076</c:v>
                </c:pt>
                <c:pt idx="42">
                  <c:v>2772.2464360000004</c:v>
                </c:pt>
                <c:pt idx="43">
                  <c:v>2868.4918459999999</c:v>
                </c:pt>
                <c:pt idx="44">
                  <c:v>2906.1645979999998</c:v>
                </c:pt>
                <c:pt idx="45">
                  <c:v>2913.2549800000002</c:v>
                </c:pt>
                <c:pt idx="46">
                  <c:v>2918.9457520000001</c:v>
                </c:pt>
                <c:pt idx="47">
                  <c:v>2863.9474100000002</c:v>
                </c:pt>
                <c:pt idx="48">
                  <c:v>2719.3777359999999</c:v>
                </c:pt>
                <c:pt idx="49">
                  <c:v>2544.9488779999997</c:v>
                </c:pt>
                <c:pt idx="50">
                  <c:v>2405.7331559999998</c:v>
                </c:pt>
                <c:pt idx="51">
                  <c:v>2307.669922</c:v>
                </c:pt>
                <c:pt idx="52">
                  <c:v>2237.4551280000001</c:v>
                </c:pt>
                <c:pt idx="53">
                  <c:v>2194.5490719999998</c:v>
                </c:pt>
                <c:pt idx="54">
                  <c:v>2137.3458020000003</c:v>
                </c:pt>
                <c:pt idx="55">
                  <c:v>2067.1679199999999</c:v>
                </c:pt>
                <c:pt idx="56">
                  <c:v>1992.0330560000002</c:v>
                </c:pt>
                <c:pt idx="57">
                  <c:v>1933.7378160000001</c:v>
                </c:pt>
                <c:pt idx="58">
                  <c:v>1897.5547600000002</c:v>
                </c:pt>
                <c:pt idx="59">
                  <c:v>1868.0682120000001</c:v>
                </c:pt>
                <c:pt idx="60">
                  <c:v>1841.10061</c:v>
                </c:pt>
                <c:pt idx="61">
                  <c:v>1816.941992</c:v>
                </c:pt>
                <c:pt idx="62">
                  <c:v>1806.4110860000001</c:v>
                </c:pt>
                <c:pt idx="63">
                  <c:v>1880.6113279999997</c:v>
                </c:pt>
                <c:pt idx="64">
                  <c:v>2058.3499019999999</c:v>
                </c:pt>
                <c:pt idx="65">
                  <c:v>2155.7293920000002</c:v>
                </c:pt>
                <c:pt idx="66">
                  <c:v>2099.520336</c:v>
                </c:pt>
                <c:pt idx="67">
                  <c:v>2005.3497540000001</c:v>
                </c:pt>
                <c:pt idx="68">
                  <c:v>2105.5049819999999</c:v>
                </c:pt>
                <c:pt idx="69">
                  <c:v>2759.9701180000002</c:v>
                </c:pt>
                <c:pt idx="70">
                  <c:v>3900.9891579999994</c:v>
                </c:pt>
                <c:pt idx="71">
                  <c:v>4955.3908179999999</c:v>
                </c:pt>
                <c:pt idx="72">
                  <c:v>5459.4293960000005</c:v>
                </c:pt>
                <c:pt idx="73">
                  <c:v>5161.1580059999997</c:v>
                </c:pt>
                <c:pt idx="74">
                  <c:v>4441.9627899999996</c:v>
                </c:pt>
                <c:pt idx="75">
                  <c:v>4017.7310559999996</c:v>
                </c:pt>
                <c:pt idx="76">
                  <c:v>4218.7617179999997</c:v>
                </c:pt>
                <c:pt idx="77">
                  <c:v>4553.0754880000004</c:v>
                </c:pt>
                <c:pt idx="78">
                  <c:v>4710.635644</c:v>
                </c:pt>
                <c:pt idx="79">
                  <c:v>4696.5025380000006</c:v>
                </c:pt>
                <c:pt idx="80">
                  <c:v>4761.3142559999997</c:v>
                </c:pt>
                <c:pt idx="81">
                  <c:v>5113.5068360000005</c:v>
                </c:pt>
                <c:pt idx="82">
                  <c:v>5450.2052720000002</c:v>
                </c:pt>
                <c:pt idx="83">
                  <c:v>5562.6638680000005</c:v>
                </c:pt>
                <c:pt idx="84">
                  <c:v>5325.737306</c:v>
                </c:pt>
                <c:pt idx="85">
                  <c:v>4860.3905280000008</c:v>
                </c:pt>
                <c:pt idx="86">
                  <c:v>4282.7834459999995</c:v>
                </c:pt>
                <c:pt idx="87">
                  <c:v>3750.033692</c:v>
                </c:pt>
                <c:pt idx="88">
                  <c:v>3423.5356440000005</c:v>
                </c:pt>
                <c:pt idx="89">
                  <c:v>3252.7661639999997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675.62889250000001</c:v>
                </c:pt>
                <c:pt idx="1">
                  <c:v>1045.9099724999999</c:v>
                </c:pt>
                <c:pt idx="2">
                  <c:v>1955.2477424999997</c:v>
                </c:pt>
                <c:pt idx="3">
                  <c:v>2994.4270025000001</c:v>
                </c:pt>
                <c:pt idx="4">
                  <c:v>3987.0138525000002</c:v>
                </c:pt>
                <c:pt idx="5">
                  <c:v>4649.6369624999998</c:v>
                </c:pt>
                <c:pt idx="6">
                  <c:v>5008.0042725000003</c:v>
                </c:pt>
                <c:pt idx="7">
                  <c:v>5203.6898199999996</c:v>
                </c:pt>
                <c:pt idx="8">
                  <c:v>5273.8496125000001</c:v>
                </c:pt>
                <c:pt idx="9">
                  <c:v>5136.8878174999991</c:v>
                </c:pt>
                <c:pt idx="10">
                  <c:v>4688.7324200000003</c:v>
                </c:pt>
                <c:pt idx="11">
                  <c:v>3992.4561174999999</c:v>
                </c:pt>
                <c:pt idx="12">
                  <c:v>3498.6119374999998</c:v>
                </c:pt>
                <c:pt idx="13">
                  <c:v>3243.6910399999997</c:v>
                </c:pt>
                <c:pt idx="14">
                  <c:v>3166.1013199999998</c:v>
                </c:pt>
                <c:pt idx="15">
                  <c:v>3148.73639</c:v>
                </c:pt>
                <c:pt idx="16">
                  <c:v>3130.84845</c:v>
                </c:pt>
                <c:pt idx="17">
                  <c:v>3101.0191049999999</c:v>
                </c:pt>
                <c:pt idx="18">
                  <c:v>3074.0126950000003</c:v>
                </c:pt>
                <c:pt idx="19">
                  <c:v>3079.0485224999998</c:v>
                </c:pt>
                <c:pt idx="20">
                  <c:v>3124.5468124999998</c:v>
                </c:pt>
                <c:pt idx="21">
                  <c:v>3193.1977549999997</c:v>
                </c:pt>
                <c:pt idx="22">
                  <c:v>3242.1486175</c:v>
                </c:pt>
                <c:pt idx="23">
                  <c:v>3271.3956924999998</c:v>
                </c:pt>
                <c:pt idx="24">
                  <c:v>3255.8592525000004</c:v>
                </c:pt>
                <c:pt idx="25">
                  <c:v>3260.1158450000003</c:v>
                </c:pt>
                <c:pt idx="26">
                  <c:v>3295.551755</c:v>
                </c:pt>
                <c:pt idx="27">
                  <c:v>3335.6104125000002</c:v>
                </c:pt>
                <c:pt idx="28">
                  <c:v>3355.7343150000002</c:v>
                </c:pt>
                <c:pt idx="29">
                  <c:v>3367.8417325</c:v>
                </c:pt>
                <c:pt idx="30">
                  <c:v>3372.4772324999999</c:v>
                </c:pt>
                <c:pt idx="31">
                  <c:v>3310.1397099999999</c:v>
                </c:pt>
                <c:pt idx="32">
                  <c:v>3151.6719975000001</c:v>
                </c:pt>
                <c:pt idx="33">
                  <c:v>2922.9600224999999</c:v>
                </c:pt>
                <c:pt idx="34">
                  <c:v>2672.0043350000001</c:v>
                </c:pt>
                <c:pt idx="35">
                  <c:v>2533.27936</c:v>
                </c:pt>
                <c:pt idx="36">
                  <c:v>2485.9671024999998</c:v>
                </c:pt>
                <c:pt idx="37">
                  <c:v>2486.5268575</c:v>
                </c:pt>
                <c:pt idx="38">
                  <c:v>2498.4625249999999</c:v>
                </c:pt>
                <c:pt idx="39">
                  <c:v>2523.7267475000003</c:v>
                </c:pt>
                <c:pt idx="40">
                  <c:v>2597.5630474999998</c:v>
                </c:pt>
                <c:pt idx="41">
                  <c:v>2697.8883675000002</c:v>
                </c:pt>
                <c:pt idx="42">
                  <c:v>2807.1552725000001</c:v>
                </c:pt>
                <c:pt idx="43">
                  <c:v>2900.1585700000005</c:v>
                </c:pt>
                <c:pt idx="44">
                  <c:v>2945.1524649999997</c:v>
                </c:pt>
                <c:pt idx="45">
                  <c:v>2956.4479949999995</c:v>
                </c:pt>
                <c:pt idx="46">
                  <c:v>2970.4075324999999</c:v>
                </c:pt>
                <c:pt idx="47">
                  <c:v>2917.1945799999999</c:v>
                </c:pt>
                <c:pt idx="48">
                  <c:v>2762.1683949999997</c:v>
                </c:pt>
                <c:pt idx="49">
                  <c:v>2566.752015</c:v>
                </c:pt>
                <c:pt idx="50">
                  <c:v>2415.4223625</c:v>
                </c:pt>
                <c:pt idx="51">
                  <c:v>2312.741575</c:v>
                </c:pt>
                <c:pt idx="52">
                  <c:v>2240.9696350000004</c:v>
                </c:pt>
                <c:pt idx="53">
                  <c:v>2190.3812849999999</c:v>
                </c:pt>
                <c:pt idx="54">
                  <c:v>2142.49298</c:v>
                </c:pt>
                <c:pt idx="55">
                  <c:v>2083.2613550000001</c:v>
                </c:pt>
                <c:pt idx="56">
                  <c:v>2023.6031774999997</c:v>
                </c:pt>
                <c:pt idx="57">
                  <c:v>1977.9984424999998</c:v>
                </c:pt>
                <c:pt idx="58">
                  <c:v>1944.4620650000002</c:v>
                </c:pt>
                <c:pt idx="59">
                  <c:v>1920.0171499999999</c:v>
                </c:pt>
                <c:pt idx="60">
                  <c:v>1890.4284049999999</c:v>
                </c:pt>
                <c:pt idx="61">
                  <c:v>1861.0209974999998</c:v>
                </c:pt>
                <c:pt idx="62">
                  <c:v>1847.9498599999999</c:v>
                </c:pt>
                <c:pt idx="63">
                  <c:v>1934.2557999999999</c:v>
                </c:pt>
                <c:pt idx="64">
                  <c:v>2146.9817499999999</c:v>
                </c:pt>
                <c:pt idx="65">
                  <c:v>2262.1649799999996</c:v>
                </c:pt>
                <c:pt idx="66">
                  <c:v>2187.038575</c:v>
                </c:pt>
                <c:pt idx="67">
                  <c:v>2069.9504700000002</c:v>
                </c:pt>
                <c:pt idx="68">
                  <c:v>2181.8972774999997</c:v>
                </c:pt>
                <c:pt idx="69">
                  <c:v>2832.6493525000005</c:v>
                </c:pt>
                <c:pt idx="70">
                  <c:v>4048.1330575000002</c:v>
                </c:pt>
                <c:pt idx="71">
                  <c:v>5308.9542250000004</c:v>
                </c:pt>
                <c:pt idx="72">
                  <c:v>5971.0176999999994</c:v>
                </c:pt>
                <c:pt idx="73">
                  <c:v>5784.4311500000003</c:v>
                </c:pt>
                <c:pt idx="74">
                  <c:v>4963.3381374999999</c:v>
                </c:pt>
                <c:pt idx="75">
                  <c:v>4298.693115</c:v>
                </c:pt>
                <c:pt idx="76">
                  <c:v>4476.7164275000005</c:v>
                </c:pt>
                <c:pt idx="77">
                  <c:v>4971.8111575000003</c:v>
                </c:pt>
                <c:pt idx="78">
                  <c:v>5221.4992674999994</c:v>
                </c:pt>
                <c:pt idx="79">
                  <c:v>5142.2156999999997</c:v>
                </c:pt>
                <c:pt idx="80">
                  <c:v>5038.1317150000004</c:v>
                </c:pt>
                <c:pt idx="81">
                  <c:v>5219.2149675000001</c:v>
                </c:pt>
                <c:pt idx="82">
                  <c:v>5530.9259025000001</c:v>
                </c:pt>
                <c:pt idx="83">
                  <c:v>5740.9259025000001</c:v>
                </c:pt>
                <c:pt idx="84">
                  <c:v>5599.9141824999997</c:v>
                </c:pt>
                <c:pt idx="85">
                  <c:v>5175.1777325000003</c:v>
                </c:pt>
                <c:pt idx="86">
                  <c:v>4600.3156749999998</c:v>
                </c:pt>
                <c:pt idx="87">
                  <c:v>4006.8455800000002</c:v>
                </c:pt>
                <c:pt idx="88">
                  <c:v>3604.9418974999999</c:v>
                </c:pt>
                <c:pt idx="89">
                  <c:v>3393.8288575000001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D01_drusen--make-Excel\_dark_profiles_AD01_DARK" connectionId="1" xr16:uid="{810332F4-596B-4B36-ABD3-40F744132545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D01_drusen--make-Excel\_light_profiles_AD01_LIGHT" connectionId="2" xr16:uid="{15260F63-15B6-4B09-9032-695AEBCC7B5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D19" sqref="D19"/>
    </sheetView>
  </sheetViews>
  <sheetFormatPr defaultRowHeight="15" x14ac:dyDescent="0.25"/>
  <cols>
    <col min="1" max="1" width="11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4" t="s">
        <v>8</v>
      </c>
      <c r="B1" s="4"/>
      <c r="C1" s="4"/>
      <c r="D1" s="4"/>
      <c r="E1" s="4"/>
      <c r="F1" s="4"/>
      <c r="K1" s="5" t="s">
        <v>7</v>
      </c>
      <c r="L1" s="5"/>
      <c r="M1" s="5"/>
      <c r="N1" s="5"/>
      <c r="O1" s="5"/>
      <c r="P1" s="5"/>
    </row>
    <row r="2" spans="1:19" x14ac:dyDescent="0.25">
      <c r="A2" t="s">
        <v>5</v>
      </c>
      <c r="B2">
        <v>1</v>
      </c>
      <c r="C2">
        <v>2</v>
      </c>
      <c r="D2">
        <v>3</v>
      </c>
      <c r="E2">
        <v>4</v>
      </c>
      <c r="F2">
        <v>5</v>
      </c>
      <c r="K2" t="s">
        <v>6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-3.3149999999999999</v>
      </c>
      <c r="C3">
        <v>-1.105</v>
      </c>
      <c r="D3">
        <v>-1.6259999999999999</v>
      </c>
      <c r="E3">
        <v>-3.371</v>
      </c>
      <c r="F3">
        <v>-2.6040000000000001</v>
      </c>
      <c r="K3" t="s">
        <v>0</v>
      </c>
      <c r="L3" t="s">
        <v>4</v>
      </c>
      <c r="M3">
        <v>-2.375</v>
      </c>
      <c r="N3">
        <v>-1.621</v>
      </c>
      <c r="O3">
        <v>-0.81599999999999995</v>
      </c>
      <c r="P3">
        <v>-1.984</v>
      </c>
    </row>
    <row r="4" spans="1:19" x14ac:dyDescent="0.25">
      <c r="A4" t="s">
        <v>1</v>
      </c>
      <c r="B4">
        <v>306.22000000000003</v>
      </c>
      <c r="C4">
        <v>304.31299999999999</v>
      </c>
      <c r="D4">
        <v>305.67</v>
      </c>
      <c r="E4">
        <v>305.09800000000001</v>
      </c>
      <c r="F4">
        <v>303.96800000000002</v>
      </c>
      <c r="H4" s="2">
        <f>AVERAGE(B4:F4)</f>
        <v>305.05380000000002</v>
      </c>
      <c r="I4" s="2">
        <f>STDEV(B4:F4)/SQRT(COUNT(B4:F4))</f>
        <v>0.41649878751324493</v>
      </c>
      <c r="K4" t="s">
        <v>1</v>
      </c>
      <c r="L4" t="s">
        <v>4</v>
      </c>
      <c r="M4">
        <v>305.72899999999998</v>
      </c>
      <c r="N4">
        <v>305.94299999999998</v>
      </c>
      <c r="O4">
        <v>306.42200000000003</v>
      </c>
      <c r="P4">
        <v>304.33</v>
      </c>
      <c r="R4" s="3">
        <f>AVERAGE(L4:P4)</f>
        <v>305.60599999999999</v>
      </c>
      <c r="S4" s="3">
        <f>STDEV(L4:P4)/SQRT(COUNT(L4:P4))</f>
        <v>0.44932634762127216</v>
      </c>
    </row>
    <row r="5" spans="1:19" x14ac:dyDescent="0.25">
      <c r="A5" t="s">
        <v>2</v>
      </c>
      <c r="B5">
        <v>71.245000000000005</v>
      </c>
      <c r="C5">
        <v>70.66</v>
      </c>
      <c r="D5">
        <v>71.055999999999997</v>
      </c>
      <c r="E5">
        <v>70.516999999999996</v>
      </c>
      <c r="F5">
        <v>70.105000000000004</v>
      </c>
      <c r="H5" s="2">
        <f t="shared" ref="H5:H68" si="0">AVERAGE(B5:F5)</f>
        <v>70.7166</v>
      </c>
      <c r="I5" s="2">
        <f t="shared" ref="I5:I68" si="1">STDEV(B5:F5)/SQRT(COUNT(B5:F5))</f>
        <v>0.20143202327336138</v>
      </c>
      <c r="K5" t="s">
        <v>2</v>
      </c>
      <c r="L5" t="s">
        <v>4</v>
      </c>
      <c r="M5">
        <v>70.411000000000001</v>
      </c>
      <c r="N5">
        <v>70.037000000000006</v>
      </c>
      <c r="O5">
        <v>69.602999999999994</v>
      </c>
      <c r="P5">
        <v>69.908000000000001</v>
      </c>
      <c r="R5" s="3">
        <f t="shared" ref="R5:R68" si="2">AVERAGE(L5:P5)</f>
        <v>69.989750000000001</v>
      </c>
      <c r="S5" s="3">
        <f t="shared" ref="S5:S68" si="3">STDEV(L5:P5)/SQRT(COUNT(L5:P5))</f>
        <v>0.16731774910829739</v>
      </c>
    </row>
    <row r="6" spans="1:19" x14ac:dyDescent="0.25">
      <c r="A6" t="s">
        <v>3</v>
      </c>
      <c r="B6">
        <v>28.678000000000001</v>
      </c>
      <c r="C6">
        <v>30.055</v>
      </c>
      <c r="D6">
        <v>28.593</v>
      </c>
      <c r="E6">
        <v>29.064</v>
      </c>
      <c r="F6">
        <v>28.454999999999998</v>
      </c>
      <c r="H6" s="2">
        <f t="shared" si="0"/>
        <v>28.969000000000005</v>
      </c>
      <c r="I6" s="2">
        <f t="shared" si="1"/>
        <v>0.28971313397911391</v>
      </c>
      <c r="K6" t="s">
        <v>3</v>
      </c>
      <c r="L6" t="s">
        <v>4</v>
      </c>
      <c r="M6">
        <v>30.166</v>
      </c>
      <c r="N6">
        <v>28.847000000000001</v>
      </c>
      <c r="O6">
        <v>31.683</v>
      </c>
      <c r="P6">
        <v>28.472000000000001</v>
      </c>
      <c r="R6" s="3">
        <f t="shared" si="2"/>
        <v>29.792000000000002</v>
      </c>
      <c r="S6" s="3">
        <f t="shared" si="3"/>
        <v>0.72750612826742989</v>
      </c>
    </row>
    <row r="7" spans="1:19" x14ac:dyDescent="0.25">
      <c r="A7">
        <v>-3.75</v>
      </c>
      <c r="B7">
        <v>688.85979999999995</v>
      </c>
      <c r="C7">
        <v>505.87842000000001</v>
      </c>
      <c r="D7">
        <v>690.99036000000001</v>
      </c>
      <c r="E7">
        <v>617.49805000000003</v>
      </c>
      <c r="F7">
        <v>664.66570999999999</v>
      </c>
      <c r="H7" s="2">
        <f t="shared" si="0"/>
        <v>633.57846800000004</v>
      </c>
      <c r="I7" s="2">
        <f t="shared" si="1"/>
        <v>34.557524309574667</v>
      </c>
      <c r="K7">
        <v>-3.75</v>
      </c>
      <c r="L7" t="s">
        <v>4</v>
      </c>
      <c r="M7">
        <v>609.67871000000002</v>
      </c>
      <c r="N7">
        <v>727.93670999999995</v>
      </c>
      <c r="O7">
        <v>679.82128999999998</v>
      </c>
      <c r="P7">
        <v>685.07885999999996</v>
      </c>
      <c r="R7" s="3">
        <f t="shared" si="2"/>
        <v>675.62889250000001</v>
      </c>
      <c r="S7" s="3">
        <f t="shared" si="3"/>
        <v>24.481987300097572</v>
      </c>
    </row>
    <row r="8" spans="1:19" x14ac:dyDescent="0.25">
      <c r="A8">
        <v>-2.5</v>
      </c>
      <c r="B8">
        <v>1124.03198</v>
      </c>
      <c r="C8">
        <v>927.65417000000002</v>
      </c>
      <c r="D8">
        <v>1011.10443</v>
      </c>
      <c r="E8">
        <v>894.26526000000001</v>
      </c>
      <c r="F8">
        <v>1079.4881600000001</v>
      </c>
      <c r="H8" s="2">
        <f t="shared" si="0"/>
        <v>1007.3088</v>
      </c>
      <c r="I8" s="2">
        <f t="shared" si="1"/>
        <v>43.573082047628553</v>
      </c>
      <c r="K8">
        <v>-2.5</v>
      </c>
      <c r="L8" t="s">
        <v>4</v>
      </c>
      <c r="M8">
        <v>956.74176</v>
      </c>
      <c r="N8">
        <v>1179.07458</v>
      </c>
      <c r="O8">
        <v>983.48688000000004</v>
      </c>
      <c r="P8">
        <v>1064.3366699999999</v>
      </c>
      <c r="R8" s="3">
        <f t="shared" si="2"/>
        <v>1045.9099724999999</v>
      </c>
      <c r="S8" s="3">
        <f t="shared" si="3"/>
        <v>49.933262518664392</v>
      </c>
    </row>
    <row r="9" spans="1:19" x14ac:dyDescent="0.25">
      <c r="A9">
        <v>-1.25</v>
      </c>
      <c r="B9">
        <v>2028.3936799999999</v>
      </c>
      <c r="C9">
        <v>1777.3161600000001</v>
      </c>
      <c r="D9">
        <v>1837.3396</v>
      </c>
      <c r="E9">
        <v>1709.0320999999999</v>
      </c>
      <c r="F9">
        <v>2008.49109</v>
      </c>
      <c r="H9" s="2">
        <f t="shared" si="0"/>
        <v>1872.1145259999998</v>
      </c>
      <c r="I9" s="2">
        <f t="shared" si="1"/>
        <v>63.171846786374182</v>
      </c>
      <c r="K9">
        <v>-1.25</v>
      </c>
      <c r="L9" t="s">
        <v>4</v>
      </c>
      <c r="M9">
        <v>1875.0963099999999</v>
      </c>
      <c r="N9">
        <v>2120.3095699999999</v>
      </c>
      <c r="O9">
        <v>1805.12122</v>
      </c>
      <c r="P9">
        <v>2020.46387</v>
      </c>
      <c r="R9" s="3">
        <f t="shared" si="2"/>
        <v>1955.2477424999997</v>
      </c>
      <c r="S9" s="3">
        <f t="shared" si="3"/>
        <v>70.981673147299702</v>
      </c>
    </row>
    <row r="10" spans="1:19" x14ac:dyDescent="0.25">
      <c r="A10">
        <v>0</v>
      </c>
      <c r="B10">
        <v>3033.33203</v>
      </c>
      <c r="C10">
        <v>2710.4304200000001</v>
      </c>
      <c r="D10">
        <v>2776.5944800000002</v>
      </c>
      <c r="E10">
        <v>2594.52466</v>
      </c>
      <c r="F10">
        <v>3078.27612</v>
      </c>
      <c r="H10" s="2">
        <f t="shared" si="0"/>
        <v>2838.6315420000001</v>
      </c>
      <c r="I10" s="2">
        <f t="shared" si="1"/>
        <v>93.597568979020181</v>
      </c>
      <c r="K10">
        <v>0</v>
      </c>
      <c r="L10" t="s">
        <v>4</v>
      </c>
      <c r="M10">
        <v>2870.2622099999999</v>
      </c>
      <c r="N10">
        <v>3177.73828</v>
      </c>
      <c r="O10">
        <v>2834.06763</v>
      </c>
      <c r="P10">
        <v>3095.6398899999999</v>
      </c>
      <c r="R10" s="3">
        <f t="shared" si="2"/>
        <v>2994.4270025000001</v>
      </c>
      <c r="S10" s="3">
        <f t="shared" si="3"/>
        <v>84.152192039151842</v>
      </c>
    </row>
    <row r="11" spans="1:19" x14ac:dyDescent="0.25">
      <c r="A11">
        <v>1.25</v>
      </c>
      <c r="B11">
        <v>4007.9814500000002</v>
      </c>
      <c r="C11">
        <v>3614.7805199999998</v>
      </c>
      <c r="D11">
        <v>3680.3464399999998</v>
      </c>
      <c r="E11">
        <v>3461.2805199999998</v>
      </c>
      <c r="F11">
        <v>4117.5048800000004</v>
      </c>
      <c r="H11" s="2">
        <f t="shared" si="0"/>
        <v>3776.3787620000003</v>
      </c>
      <c r="I11" s="2">
        <f t="shared" si="1"/>
        <v>123.41594999599296</v>
      </c>
      <c r="K11">
        <v>1.25</v>
      </c>
      <c r="L11" t="s">
        <v>4</v>
      </c>
      <c r="M11">
        <v>3819.2866199999999</v>
      </c>
      <c r="N11">
        <v>4182.9731400000001</v>
      </c>
      <c r="O11">
        <v>3810.9978000000001</v>
      </c>
      <c r="P11">
        <v>4134.7978499999999</v>
      </c>
      <c r="R11" s="3">
        <f t="shared" si="2"/>
        <v>3987.0138525000002</v>
      </c>
      <c r="S11" s="3">
        <f t="shared" si="3"/>
        <v>99.730565163669652</v>
      </c>
    </row>
    <row r="12" spans="1:19" x14ac:dyDescent="0.25">
      <c r="A12">
        <v>2.5</v>
      </c>
      <c r="B12">
        <v>4755.3276400000004</v>
      </c>
      <c r="C12">
        <v>4269.4975599999998</v>
      </c>
      <c r="D12">
        <v>4375.8266599999997</v>
      </c>
      <c r="E12">
        <v>4112.33691</v>
      </c>
      <c r="F12">
        <v>4938.2997999999998</v>
      </c>
      <c r="H12" s="2">
        <f t="shared" si="0"/>
        <v>4490.2577139999994</v>
      </c>
      <c r="I12" s="2">
        <f t="shared" si="1"/>
        <v>154.21696117913524</v>
      </c>
      <c r="K12">
        <v>2.5</v>
      </c>
      <c r="L12" t="s">
        <v>4</v>
      </c>
      <c r="M12">
        <v>4541.12158</v>
      </c>
      <c r="N12">
        <v>4924.6997099999999</v>
      </c>
      <c r="O12">
        <v>4307.1987300000001</v>
      </c>
      <c r="P12">
        <v>4825.52783</v>
      </c>
      <c r="R12" s="3">
        <f t="shared" si="2"/>
        <v>4649.6369624999998</v>
      </c>
      <c r="S12" s="3">
        <f t="shared" si="3"/>
        <v>140.1298932089428</v>
      </c>
    </row>
    <row r="13" spans="1:19" x14ac:dyDescent="0.25">
      <c r="A13">
        <v>3.75</v>
      </c>
      <c r="B13">
        <v>5190.7206999999999</v>
      </c>
      <c r="C13">
        <v>4658.5039100000004</v>
      </c>
      <c r="D13">
        <v>4717.4668000000001</v>
      </c>
      <c r="E13">
        <v>4433.2768599999999</v>
      </c>
      <c r="F13">
        <v>5403.62842</v>
      </c>
      <c r="H13" s="2">
        <f t="shared" si="0"/>
        <v>4880.7193380000008</v>
      </c>
      <c r="I13" s="2">
        <f t="shared" si="1"/>
        <v>179.69009588780659</v>
      </c>
      <c r="K13">
        <v>3.75</v>
      </c>
      <c r="L13" t="s">
        <v>4</v>
      </c>
      <c r="M13">
        <v>4885.7558600000002</v>
      </c>
      <c r="N13">
        <v>5421.0800799999997</v>
      </c>
      <c r="O13">
        <v>4466.5639600000004</v>
      </c>
      <c r="P13">
        <v>5258.6171899999999</v>
      </c>
      <c r="R13" s="3">
        <f t="shared" si="2"/>
        <v>5008.0042725000003</v>
      </c>
      <c r="S13" s="3">
        <f t="shared" si="3"/>
        <v>212.43444940312489</v>
      </c>
    </row>
    <row r="14" spans="1:19" x14ac:dyDescent="0.25">
      <c r="A14">
        <v>5</v>
      </c>
      <c r="B14">
        <v>5412.1855500000001</v>
      </c>
      <c r="C14">
        <v>4801.1772499999997</v>
      </c>
      <c r="D14">
        <v>4861.7202100000004</v>
      </c>
      <c r="E14">
        <v>4554.37158</v>
      </c>
      <c r="F14">
        <v>5578.1059599999999</v>
      </c>
      <c r="H14" s="2">
        <f t="shared" si="0"/>
        <v>5041.5121099999997</v>
      </c>
      <c r="I14" s="2">
        <f t="shared" si="1"/>
        <v>194.00046742015422</v>
      </c>
      <c r="K14">
        <v>5</v>
      </c>
      <c r="L14" t="s">
        <v>4</v>
      </c>
      <c r="M14">
        <v>5036.5375999999997</v>
      </c>
      <c r="N14">
        <v>5609.3432599999996</v>
      </c>
      <c r="O14">
        <v>4673.59375</v>
      </c>
      <c r="P14">
        <v>5495.28467</v>
      </c>
      <c r="R14" s="3">
        <f t="shared" si="2"/>
        <v>5203.6898199999996</v>
      </c>
      <c r="S14" s="3">
        <f t="shared" si="3"/>
        <v>215.73980818158583</v>
      </c>
    </row>
    <row r="15" spans="1:19" x14ac:dyDescent="0.25">
      <c r="A15">
        <v>6.25</v>
      </c>
      <c r="B15">
        <v>5402.4111300000004</v>
      </c>
      <c r="C15">
        <v>4874.1049800000001</v>
      </c>
      <c r="D15">
        <v>4853.2919899999997</v>
      </c>
      <c r="E15">
        <v>4551.5288099999998</v>
      </c>
      <c r="F15">
        <v>5595.4365200000002</v>
      </c>
      <c r="H15" s="2">
        <f t="shared" si="0"/>
        <v>5055.3546859999997</v>
      </c>
      <c r="I15" s="2">
        <f t="shared" si="1"/>
        <v>192.30936861029051</v>
      </c>
      <c r="K15">
        <v>6.25</v>
      </c>
      <c r="L15" t="s">
        <v>4</v>
      </c>
      <c r="M15">
        <v>5103.4331099999999</v>
      </c>
      <c r="N15">
        <v>5607.9956099999999</v>
      </c>
      <c r="O15">
        <v>4785.3867200000004</v>
      </c>
      <c r="P15">
        <v>5598.5830100000003</v>
      </c>
      <c r="R15" s="3">
        <f t="shared" si="2"/>
        <v>5273.8496125000001</v>
      </c>
      <c r="S15" s="3">
        <f t="shared" si="3"/>
        <v>200.98571855792841</v>
      </c>
    </row>
    <row r="16" spans="1:19" x14ac:dyDescent="0.25">
      <c r="A16">
        <v>7.5</v>
      </c>
      <c r="B16">
        <v>5215.02441</v>
      </c>
      <c r="C16">
        <v>4732.9545900000003</v>
      </c>
      <c r="D16">
        <v>4721.1831099999999</v>
      </c>
      <c r="E16">
        <v>4395.6987300000001</v>
      </c>
      <c r="F16">
        <v>5421.69434</v>
      </c>
      <c r="H16" s="2">
        <f t="shared" si="0"/>
        <v>4897.311036000001</v>
      </c>
      <c r="I16" s="2">
        <f t="shared" si="1"/>
        <v>185.14435323847582</v>
      </c>
      <c r="K16">
        <v>7.5</v>
      </c>
      <c r="L16" t="s">
        <v>4</v>
      </c>
      <c r="M16">
        <v>4974.5781200000001</v>
      </c>
      <c r="N16">
        <v>5457.6572299999998</v>
      </c>
      <c r="O16">
        <v>4633.2241199999999</v>
      </c>
      <c r="P16">
        <v>5482.0918000000001</v>
      </c>
      <c r="R16" s="3">
        <f t="shared" si="2"/>
        <v>5136.8878174999991</v>
      </c>
      <c r="S16" s="3">
        <f t="shared" si="3"/>
        <v>204.54835687667446</v>
      </c>
    </row>
    <row r="17" spans="1:19" x14ac:dyDescent="0.25">
      <c r="A17">
        <v>8.75</v>
      </c>
      <c r="B17">
        <v>4763.7675799999997</v>
      </c>
      <c r="C17">
        <v>4334.3515600000001</v>
      </c>
      <c r="D17">
        <v>4301.0156200000001</v>
      </c>
      <c r="E17">
        <v>4072.0881300000001</v>
      </c>
      <c r="F17">
        <v>4948.3198199999997</v>
      </c>
      <c r="H17" s="2">
        <f t="shared" si="0"/>
        <v>4483.9085419999992</v>
      </c>
      <c r="I17" s="2">
        <f t="shared" si="1"/>
        <v>161.1539760301269</v>
      </c>
      <c r="K17">
        <v>8.75</v>
      </c>
      <c r="L17" t="s">
        <v>4</v>
      </c>
      <c r="M17">
        <v>4575.0512699999999</v>
      </c>
      <c r="N17">
        <v>4978.21191</v>
      </c>
      <c r="O17">
        <v>4241.5727500000003</v>
      </c>
      <c r="P17">
        <v>4960.09375</v>
      </c>
      <c r="R17" s="3">
        <f t="shared" si="2"/>
        <v>4688.7324200000003</v>
      </c>
      <c r="S17" s="3">
        <f t="shared" si="3"/>
        <v>175.66789710745391</v>
      </c>
    </row>
    <row r="18" spans="1:19" x14ac:dyDescent="0.25">
      <c r="A18">
        <v>10</v>
      </c>
      <c r="B18">
        <v>4083.3544900000002</v>
      </c>
      <c r="C18">
        <v>3690.1286599999999</v>
      </c>
      <c r="D18">
        <v>3635.3652299999999</v>
      </c>
      <c r="E18">
        <v>3520.0217299999999</v>
      </c>
      <c r="F18">
        <v>4211.2104499999996</v>
      </c>
      <c r="H18" s="2">
        <f t="shared" si="0"/>
        <v>3828.0161119999998</v>
      </c>
      <c r="I18" s="2">
        <f t="shared" si="1"/>
        <v>134.72628530708494</v>
      </c>
      <c r="K18">
        <v>10</v>
      </c>
      <c r="L18" t="s">
        <v>4</v>
      </c>
      <c r="M18">
        <v>3927.51685</v>
      </c>
      <c r="N18">
        <v>4204.8300799999997</v>
      </c>
      <c r="O18">
        <v>3630.8247099999999</v>
      </c>
      <c r="P18">
        <v>4206.65283</v>
      </c>
      <c r="R18" s="3">
        <f t="shared" si="2"/>
        <v>3992.4561174999999</v>
      </c>
      <c r="S18" s="3">
        <f t="shared" si="3"/>
        <v>137.22770460917221</v>
      </c>
    </row>
    <row r="19" spans="1:19" x14ac:dyDescent="0.25">
      <c r="A19">
        <v>11.25</v>
      </c>
      <c r="B19">
        <v>3616.3635300000001</v>
      </c>
      <c r="C19">
        <v>3256.3703599999999</v>
      </c>
      <c r="D19">
        <v>3192.5571300000001</v>
      </c>
      <c r="E19">
        <v>3105.5112300000001</v>
      </c>
      <c r="F19">
        <v>3702.2309599999999</v>
      </c>
      <c r="H19" s="2">
        <f t="shared" si="0"/>
        <v>3374.6066420000002</v>
      </c>
      <c r="I19" s="2">
        <f t="shared" si="1"/>
        <v>119.43999970706651</v>
      </c>
      <c r="K19">
        <v>11.25</v>
      </c>
      <c r="L19" t="s">
        <v>4</v>
      </c>
      <c r="M19">
        <v>3454.7436499999999</v>
      </c>
      <c r="N19">
        <v>3674.32251</v>
      </c>
      <c r="O19">
        <v>3177.4499500000002</v>
      </c>
      <c r="P19">
        <v>3687.9316399999998</v>
      </c>
      <c r="R19" s="3">
        <f t="shared" si="2"/>
        <v>3498.6119374999998</v>
      </c>
      <c r="S19" s="3">
        <f t="shared" si="3"/>
        <v>119.64726069649446</v>
      </c>
    </row>
    <row r="20" spans="1:19" x14ac:dyDescent="0.25">
      <c r="A20">
        <v>12.5</v>
      </c>
      <c r="B20">
        <v>3375.7248500000001</v>
      </c>
      <c r="C20">
        <v>3041.9448200000002</v>
      </c>
      <c r="D20">
        <v>2987.4914600000002</v>
      </c>
      <c r="E20">
        <v>2912.9199199999998</v>
      </c>
      <c r="F20">
        <v>3461.5136699999998</v>
      </c>
      <c r="H20" s="2">
        <f t="shared" si="0"/>
        <v>3155.918944</v>
      </c>
      <c r="I20" s="2">
        <f t="shared" si="1"/>
        <v>110.02481921016411</v>
      </c>
      <c r="K20">
        <v>12.5</v>
      </c>
      <c r="L20" t="s">
        <v>4</v>
      </c>
      <c r="M20">
        <v>3191.8391099999999</v>
      </c>
      <c r="N20">
        <v>3409.0996100000002</v>
      </c>
      <c r="O20">
        <v>2937.8544900000002</v>
      </c>
      <c r="P20">
        <v>3435.9709499999999</v>
      </c>
      <c r="R20" s="3">
        <f t="shared" si="2"/>
        <v>3243.6910399999997</v>
      </c>
      <c r="S20" s="3">
        <f t="shared" si="3"/>
        <v>115.67057274132732</v>
      </c>
    </row>
    <row r="21" spans="1:19" x14ac:dyDescent="0.25">
      <c r="A21">
        <v>13.75</v>
      </c>
      <c r="B21">
        <v>3279.7231400000001</v>
      </c>
      <c r="C21">
        <v>2945.0331999999999</v>
      </c>
      <c r="D21">
        <v>2909.4147899999998</v>
      </c>
      <c r="E21">
        <v>2825.6601599999999</v>
      </c>
      <c r="F21">
        <v>3378.5497999999998</v>
      </c>
      <c r="H21" s="2">
        <f t="shared" si="0"/>
        <v>3067.6762179999996</v>
      </c>
      <c r="I21" s="2">
        <f t="shared" si="1"/>
        <v>109.60521039206843</v>
      </c>
      <c r="K21">
        <v>13.75</v>
      </c>
      <c r="L21" t="s">
        <v>4</v>
      </c>
      <c r="M21">
        <v>3090.1867699999998</v>
      </c>
      <c r="N21">
        <v>3361.4680199999998</v>
      </c>
      <c r="O21">
        <v>2859.0266099999999</v>
      </c>
      <c r="P21">
        <v>3353.72388</v>
      </c>
      <c r="R21" s="3">
        <f t="shared" si="2"/>
        <v>3166.1013199999998</v>
      </c>
      <c r="S21" s="3">
        <f t="shared" si="3"/>
        <v>120.21795100050929</v>
      </c>
    </row>
    <row r="22" spans="1:19" x14ac:dyDescent="0.25">
      <c r="A22">
        <v>15</v>
      </c>
      <c r="B22">
        <v>3245.76685</v>
      </c>
      <c r="C22">
        <v>2893.8308099999999</v>
      </c>
      <c r="D22">
        <v>2870.6377000000002</v>
      </c>
      <c r="E22">
        <v>2797.24512</v>
      </c>
      <c r="F22">
        <v>3380.7375499999998</v>
      </c>
      <c r="H22" s="2">
        <f t="shared" si="0"/>
        <v>3037.6436059999996</v>
      </c>
      <c r="I22" s="2">
        <f t="shared" si="1"/>
        <v>115.62725978459169</v>
      </c>
      <c r="K22">
        <v>15</v>
      </c>
      <c r="L22" t="s">
        <v>4</v>
      </c>
      <c r="M22">
        <v>3054.7094699999998</v>
      </c>
      <c r="N22">
        <v>3347.3564500000002</v>
      </c>
      <c r="O22">
        <v>2853.5512699999999</v>
      </c>
      <c r="P22">
        <v>3339.3283700000002</v>
      </c>
      <c r="R22" s="3">
        <f t="shared" si="2"/>
        <v>3148.73639</v>
      </c>
      <c r="S22" s="3">
        <f t="shared" si="3"/>
        <v>119.63505193881133</v>
      </c>
    </row>
    <row r="23" spans="1:19" x14ac:dyDescent="0.25">
      <c r="A23">
        <v>16.25</v>
      </c>
      <c r="B23">
        <v>3214.1286599999999</v>
      </c>
      <c r="C23">
        <v>2860.37988</v>
      </c>
      <c r="D23">
        <v>2859.96045</v>
      </c>
      <c r="E23">
        <v>2785.3659699999998</v>
      </c>
      <c r="F23">
        <v>3368.9895000000001</v>
      </c>
      <c r="H23" s="2">
        <f t="shared" si="0"/>
        <v>3017.7648920000001</v>
      </c>
      <c r="I23" s="2">
        <f t="shared" si="1"/>
        <v>115.23866484644924</v>
      </c>
      <c r="K23">
        <v>16.25</v>
      </c>
      <c r="L23" t="s">
        <v>4</v>
      </c>
      <c r="M23">
        <v>3045.7429200000001</v>
      </c>
      <c r="N23">
        <v>3335.25684</v>
      </c>
      <c r="O23">
        <v>2822.3527800000002</v>
      </c>
      <c r="P23">
        <v>3320.04126</v>
      </c>
      <c r="R23" s="3">
        <f t="shared" si="2"/>
        <v>3130.84845</v>
      </c>
      <c r="S23" s="3">
        <f t="shared" si="3"/>
        <v>122.47082608503744</v>
      </c>
    </row>
    <row r="24" spans="1:19" x14ac:dyDescent="0.25">
      <c r="A24">
        <v>17.5</v>
      </c>
      <c r="B24">
        <v>3179.9138200000002</v>
      </c>
      <c r="C24">
        <v>2866.49829</v>
      </c>
      <c r="D24">
        <v>2841.6091299999998</v>
      </c>
      <c r="E24">
        <v>2780.6206099999999</v>
      </c>
      <c r="F24">
        <v>3338.2436499999999</v>
      </c>
      <c r="H24" s="2">
        <f t="shared" si="0"/>
        <v>3001.3771000000002</v>
      </c>
      <c r="I24" s="2">
        <f t="shared" si="1"/>
        <v>109.04264266774675</v>
      </c>
      <c r="K24">
        <v>17.5</v>
      </c>
      <c r="L24" t="s">
        <v>4</v>
      </c>
      <c r="M24">
        <v>3030.9416500000002</v>
      </c>
      <c r="N24">
        <v>3301.65479</v>
      </c>
      <c r="O24">
        <v>2787.2648899999999</v>
      </c>
      <c r="P24">
        <v>3284.2150900000001</v>
      </c>
      <c r="R24" s="3">
        <f t="shared" si="2"/>
        <v>3101.0191049999999</v>
      </c>
      <c r="S24" s="3">
        <f t="shared" si="3"/>
        <v>121.50720285408418</v>
      </c>
    </row>
    <row r="25" spans="1:19" x14ac:dyDescent="0.25">
      <c r="A25">
        <v>18.75</v>
      </c>
      <c r="B25">
        <v>3170.4631300000001</v>
      </c>
      <c r="C25">
        <v>2876.1240200000002</v>
      </c>
      <c r="D25">
        <v>2826.8325199999999</v>
      </c>
      <c r="E25">
        <v>2778.2539099999999</v>
      </c>
      <c r="F25">
        <v>3298.2831999999999</v>
      </c>
      <c r="H25" s="2">
        <f t="shared" si="0"/>
        <v>2989.9913559999995</v>
      </c>
      <c r="I25" s="2">
        <f t="shared" si="1"/>
        <v>102.9643735227972</v>
      </c>
      <c r="K25">
        <v>18.75</v>
      </c>
      <c r="L25" t="s">
        <v>4</v>
      </c>
      <c r="M25">
        <v>3015.76514</v>
      </c>
      <c r="N25">
        <v>3252.8310499999998</v>
      </c>
      <c r="O25">
        <v>2782.5141600000002</v>
      </c>
      <c r="P25">
        <v>3244.9404300000001</v>
      </c>
      <c r="R25" s="3">
        <f t="shared" si="2"/>
        <v>3074.0126950000003</v>
      </c>
      <c r="S25" s="3">
        <f t="shared" si="3"/>
        <v>111.63798198035782</v>
      </c>
    </row>
    <row r="26" spans="1:19" x14ac:dyDescent="0.25">
      <c r="A26">
        <v>20</v>
      </c>
      <c r="B26">
        <v>3198.2243699999999</v>
      </c>
      <c r="C26">
        <v>2887.2871100000002</v>
      </c>
      <c r="D26">
        <v>2847.02295</v>
      </c>
      <c r="E26">
        <v>2793.7099600000001</v>
      </c>
      <c r="F26">
        <v>3275.2248500000001</v>
      </c>
      <c r="H26" s="2">
        <f t="shared" si="0"/>
        <v>3000.2938480000003</v>
      </c>
      <c r="I26" s="2">
        <f t="shared" si="1"/>
        <v>98.413144749123816</v>
      </c>
      <c r="K26">
        <v>20</v>
      </c>
      <c r="L26" t="s">
        <v>4</v>
      </c>
      <c r="M26">
        <v>3035.9540999999999</v>
      </c>
      <c r="N26">
        <v>3231.1074199999998</v>
      </c>
      <c r="O26">
        <v>2803.8032199999998</v>
      </c>
      <c r="P26">
        <v>3245.32935</v>
      </c>
      <c r="R26" s="3">
        <f t="shared" si="2"/>
        <v>3079.0485224999998</v>
      </c>
      <c r="S26" s="3">
        <f t="shared" si="3"/>
        <v>103.43610253917042</v>
      </c>
    </row>
    <row r="27" spans="1:19" x14ac:dyDescent="0.25">
      <c r="A27">
        <v>21.25</v>
      </c>
      <c r="B27">
        <v>3256.9733900000001</v>
      </c>
      <c r="C27">
        <v>2954.68604</v>
      </c>
      <c r="D27">
        <v>2892.2424299999998</v>
      </c>
      <c r="E27">
        <v>2832.2561000000001</v>
      </c>
      <c r="F27">
        <v>3315.1057099999998</v>
      </c>
      <c r="H27" s="2">
        <f t="shared" si="0"/>
        <v>3050.2527340000001</v>
      </c>
      <c r="I27" s="2">
        <f t="shared" si="1"/>
        <v>98.616253761922749</v>
      </c>
      <c r="K27">
        <v>21.25</v>
      </c>
      <c r="L27" t="s">
        <v>4</v>
      </c>
      <c r="M27">
        <v>3101.43091</v>
      </c>
      <c r="N27">
        <v>3258.27612</v>
      </c>
      <c r="O27">
        <v>2857.1186499999999</v>
      </c>
      <c r="P27">
        <v>3281.36157</v>
      </c>
      <c r="R27" s="3">
        <f t="shared" si="2"/>
        <v>3124.5468124999998</v>
      </c>
      <c r="S27" s="3">
        <f t="shared" si="3"/>
        <v>97.692785003435361</v>
      </c>
    </row>
    <row r="28" spans="1:19" x14ac:dyDescent="0.25">
      <c r="A28">
        <v>22.5</v>
      </c>
      <c r="B28">
        <v>3319.3688999999999</v>
      </c>
      <c r="C28">
        <v>3044.8264199999999</v>
      </c>
      <c r="D28">
        <v>2940.2773400000001</v>
      </c>
      <c r="E28">
        <v>2873.1640600000001</v>
      </c>
      <c r="F28">
        <v>3379.2387699999999</v>
      </c>
      <c r="H28" s="2">
        <f t="shared" si="0"/>
        <v>3111.3750979999995</v>
      </c>
      <c r="I28" s="2">
        <f t="shared" si="1"/>
        <v>101.35581789146352</v>
      </c>
      <c r="K28">
        <v>22.5</v>
      </c>
      <c r="L28" t="s">
        <v>4</v>
      </c>
      <c r="M28">
        <v>3162.2783199999999</v>
      </c>
      <c r="N28">
        <v>3323.34863</v>
      </c>
      <c r="O28">
        <v>2926.72388</v>
      </c>
      <c r="P28">
        <v>3360.4401899999998</v>
      </c>
      <c r="R28" s="3">
        <f t="shared" si="2"/>
        <v>3193.1977549999997</v>
      </c>
      <c r="S28" s="3">
        <f t="shared" si="3"/>
        <v>98.688744649626258</v>
      </c>
    </row>
    <row r="29" spans="1:19" x14ac:dyDescent="0.25">
      <c r="A29">
        <v>23.75</v>
      </c>
      <c r="B29">
        <v>3347.47388</v>
      </c>
      <c r="C29">
        <v>3107.8745100000001</v>
      </c>
      <c r="D29">
        <v>2984.2419399999999</v>
      </c>
      <c r="E29">
        <v>2924.57593</v>
      </c>
      <c r="F29">
        <v>3435.0222199999998</v>
      </c>
      <c r="H29" s="2">
        <f t="shared" si="0"/>
        <v>3159.8376959999996</v>
      </c>
      <c r="I29" s="2">
        <f t="shared" si="1"/>
        <v>99.95398955547229</v>
      </c>
      <c r="K29">
        <v>23.75</v>
      </c>
      <c r="L29" t="s">
        <v>4</v>
      </c>
      <c r="M29">
        <v>3200.3864699999999</v>
      </c>
      <c r="N29">
        <v>3395.4875499999998</v>
      </c>
      <c r="O29">
        <v>2962.8894</v>
      </c>
      <c r="P29">
        <v>3409.8310499999998</v>
      </c>
      <c r="R29" s="3">
        <f t="shared" si="2"/>
        <v>3242.1486175</v>
      </c>
      <c r="S29" s="3">
        <f t="shared" si="3"/>
        <v>104.62632472752756</v>
      </c>
    </row>
    <row r="30" spans="1:19" x14ac:dyDescent="0.25">
      <c r="A30">
        <v>25</v>
      </c>
      <c r="B30">
        <v>3357.2714799999999</v>
      </c>
      <c r="C30">
        <v>3086.1167</v>
      </c>
      <c r="D30">
        <v>3015.2275399999999</v>
      </c>
      <c r="E30">
        <v>2949.26953</v>
      </c>
      <c r="F30">
        <v>3468.9856</v>
      </c>
      <c r="H30" s="2">
        <f t="shared" si="0"/>
        <v>3175.37417</v>
      </c>
      <c r="I30" s="2">
        <f t="shared" si="1"/>
        <v>101.00283424057177</v>
      </c>
      <c r="K30">
        <v>25</v>
      </c>
      <c r="L30" t="s">
        <v>4</v>
      </c>
      <c r="M30">
        <v>3200.2893100000001</v>
      </c>
      <c r="N30">
        <v>3442.4055199999998</v>
      </c>
      <c r="O30">
        <v>2984.0534699999998</v>
      </c>
      <c r="P30">
        <v>3458.8344699999998</v>
      </c>
      <c r="R30" s="3">
        <f t="shared" si="2"/>
        <v>3271.3956924999998</v>
      </c>
      <c r="S30" s="3">
        <f t="shared" si="3"/>
        <v>112.54603757120536</v>
      </c>
    </row>
    <row r="31" spans="1:19" x14ac:dyDescent="0.25">
      <c r="A31">
        <v>26.25</v>
      </c>
      <c r="B31">
        <v>3350.5798300000001</v>
      </c>
      <c r="C31">
        <v>3049.5876499999999</v>
      </c>
      <c r="D31">
        <v>3020.1381799999999</v>
      </c>
      <c r="E31">
        <v>2954.28125</v>
      </c>
      <c r="F31">
        <v>3468.71533</v>
      </c>
      <c r="H31" s="2">
        <f t="shared" si="0"/>
        <v>3168.6604480000001</v>
      </c>
      <c r="I31" s="2">
        <f t="shared" si="1"/>
        <v>101.32206808238561</v>
      </c>
      <c r="K31">
        <v>26.25</v>
      </c>
      <c r="L31" t="s">
        <v>4</v>
      </c>
      <c r="M31">
        <v>3160.52808</v>
      </c>
      <c r="N31">
        <v>3421.74487</v>
      </c>
      <c r="O31">
        <v>2979.83716</v>
      </c>
      <c r="P31">
        <v>3461.3269</v>
      </c>
      <c r="R31" s="3">
        <f t="shared" si="2"/>
        <v>3255.8592525000004</v>
      </c>
      <c r="S31" s="3">
        <f t="shared" si="3"/>
        <v>113.65562761431417</v>
      </c>
    </row>
    <row r="32" spans="1:19" x14ac:dyDescent="0.25">
      <c r="A32">
        <v>27.5</v>
      </c>
      <c r="B32">
        <v>3351.2512200000001</v>
      </c>
      <c r="C32">
        <v>3045.7902800000002</v>
      </c>
      <c r="D32">
        <v>3032.5270999999998</v>
      </c>
      <c r="E32">
        <v>2955.4870599999999</v>
      </c>
      <c r="F32">
        <v>3476.5078100000001</v>
      </c>
      <c r="H32" s="2">
        <f t="shared" si="0"/>
        <v>3172.3126940000002</v>
      </c>
      <c r="I32" s="2">
        <f t="shared" si="1"/>
        <v>101.76319417626601</v>
      </c>
      <c r="K32">
        <v>27.5</v>
      </c>
      <c r="L32" t="s">
        <v>4</v>
      </c>
      <c r="M32">
        <v>3198.43604</v>
      </c>
      <c r="N32">
        <v>3392.4648400000001</v>
      </c>
      <c r="O32">
        <v>2980.6789600000002</v>
      </c>
      <c r="P32">
        <v>3468.8835399999998</v>
      </c>
      <c r="R32" s="3">
        <f t="shared" si="2"/>
        <v>3260.1158450000003</v>
      </c>
      <c r="S32" s="3">
        <f t="shared" si="3"/>
        <v>109.1595079064211</v>
      </c>
    </row>
    <row r="33" spans="1:19" x14ac:dyDescent="0.25">
      <c r="A33">
        <v>28.75</v>
      </c>
      <c r="B33">
        <v>3373.2714799999999</v>
      </c>
      <c r="C33">
        <v>3055.7736799999998</v>
      </c>
      <c r="D33">
        <v>3066.46216</v>
      </c>
      <c r="E33">
        <v>2955.9631300000001</v>
      </c>
      <c r="F33">
        <v>3509.02612</v>
      </c>
      <c r="H33" s="2">
        <f t="shared" si="0"/>
        <v>3192.099314</v>
      </c>
      <c r="I33" s="2">
        <f t="shared" si="1"/>
        <v>105.68718570368326</v>
      </c>
      <c r="K33">
        <v>28.75</v>
      </c>
      <c r="L33" t="s">
        <v>4</v>
      </c>
      <c r="M33">
        <v>3245.4533700000002</v>
      </c>
      <c r="N33">
        <v>3420.5156200000001</v>
      </c>
      <c r="O33">
        <v>3020.8098100000002</v>
      </c>
      <c r="P33">
        <v>3495.4282199999998</v>
      </c>
      <c r="R33" s="3">
        <f t="shared" si="2"/>
        <v>3295.551755</v>
      </c>
      <c r="S33" s="3">
        <f t="shared" si="3"/>
        <v>105.49863875054879</v>
      </c>
    </row>
    <row r="34" spans="1:19" x14ac:dyDescent="0.25">
      <c r="A34">
        <v>30</v>
      </c>
      <c r="B34">
        <v>3428.1801799999998</v>
      </c>
      <c r="C34">
        <v>3095.0383299999999</v>
      </c>
      <c r="D34">
        <v>3086.0336900000002</v>
      </c>
      <c r="E34">
        <v>2960.55737</v>
      </c>
      <c r="F34">
        <v>3539.2731899999999</v>
      </c>
      <c r="H34" s="2">
        <f t="shared" si="0"/>
        <v>3221.8165519999998</v>
      </c>
      <c r="I34" s="2">
        <f t="shared" si="1"/>
        <v>110.93482936780646</v>
      </c>
      <c r="K34">
        <v>30</v>
      </c>
      <c r="L34" t="s">
        <v>4</v>
      </c>
      <c r="M34">
        <v>3269.3544900000002</v>
      </c>
      <c r="N34">
        <v>3469.2282700000001</v>
      </c>
      <c r="O34">
        <v>3067.5512699999999</v>
      </c>
      <c r="P34">
        <v>3536.30762</v>
      </c>
      <c r="R34" s="3">
        <f t="shared" si="2"/>
        <v>3335.6104125000002</v>
      </c>
      <c r="S34" s="3">
        <f t="shared" si="3"/>
        <v>105.82164715743409</v>
      </c>
    </row>
    <row r="35" spans="1:19" x14ac:dyDescent="0.25">
      <c r="A35">
        <v>31.25</v>
      </c>
      <c r="B35">
        <v>3453.2541500000002</v>
      </c>
      <c r="C35">
        <v>3134.0571300000001</v>
      </c>
      <c r="D35">
        <v>3094.1618699999999</v>
      </c>
      <c r="E35">
        <v>2975.8247099999999</v>
      </c>
      <c r="F35">
        <v>3520.0234399999999</v>
      </c>
      <c r="H35" s="2">
        <f t="shared" si="0"/>
        <v>3235.4642599999997</v>
      </c>
      <c r="I35" s="2">
        <f t="shared" si="1"/>
        <v>106.31764445924206</v>
      </c>
      <c r="K35">
        <v>31.25</v>
      </c>
      <c r="L35" t="s">
        <v>4</v>
      </c>
      <c r="M35">
        <v>3277.95093</v>
      </c>
      <c r="N35">
        <v>3489.9043000000001</v>
      </c>
      <c r="O35">
        <v>3093.5563999999999</v>
      </c>
      <c r="P35">
        <v>3561.5256300000001</v>
      </c>
      <c r="R35" s="3">
        <f t="shared" si="2"/>
        <v>3355.7343150000002</v>
      </c>
      <c r="S35" s="3">
        <f t="shared" si="3"/>
        <v>106.12067199660606</v>
      </c>
    </row>
    <row r="36" spans="1:19" x14ac:dyDescent="0.25">
      <c r="A36">
        <v>32.5</v>
      </c>
      <c r="B36">
        <v>3476.0717800000002</v>
      </c>
      <c r="C36">
        <v>3169.99316</v>
      </c>
      <c r="D36">
        <v>3113.3010300000001</v>
      </c>
      <c r="E36">
        <v>3011.81738</v>
      </c>
      <c r="F36">
        <v>3514.6877399999998</v>
      </c>
      <c r="H36" s="2">
        <f t="shared" si="0"/>
        <v>3257.1742180000001</v>
      </c>
      <c r="I36" s="2">
        <f t="shared" si="1"/>
        <v>100.68002922998913</v>
      </c>
      <c r="K36">
        <v>32.5</v>
      </c>
      <c r="L36" t="s">
        <v>4</v>
      </c>
      <c r="M36">
        <v>3285.0578599999999</v>
      </c>
      <c r="N36">
        <v>3493.8640099999998</v>
      </c>
      <c r="O36">
        <v>3101.8864699999999</v>
      </c>
      <c r="P36">
        <v>3590.5585900000001</v>
      </c>
      <c r="R36" s="3">
        <f t="shared" si="2"/>
        <v>3367.8417325</v>
      </c>
      <c r="S36" s="3">
        <f t="shared" si="3"/>
        <v>109.19011869155199</v>
      </c>
    </row>
    <row r="37" spans="1:19" x14ac:dyDescent="0.25">
      <c r="A37">
        <v>33.75</v>
      </c>
      <c r="B37">
        <v>3457.1677199999999</v>
      </c>
      <c r="C37">
        <v>3181.5046400000001</v>
      </c>
      <c r="D37">
        <v>3121.08545</v>
      </c>
      <c r="E37">
        <v>3033.6127900000001</v>
      </c>
      <c r="F37">
        <v>3532.14966</v>
      </c>
      <c r="H37" s="2">
        <f t="shared" si="0"/>
        <v>3265.1040520000001</v>
      </c>
      <c r="I37" s="2">
        <f t="shared" si="1"/>
        <v>97.344808055909326</v>
      </c>
      <c r="K37">
        <v>33.75</v>
      </c>
      <c r="L37" t="s">
        <v>4</v>
      </c>
      <c r="M37">
        <v>3302.8693800000001</v>
      </c>
      <c r="N37">
        <v>3484.45703</v>
      </c>
      <c r="O37">
        <v>3119.1750499999998</v>
      </c>
      <c r="P37">
        <v>3583.4074700000001</v>
      </c>
      <c r="R37" s="3">
        <f t="shared" si="2"/>
        <v>3372.4772324999999</v>
      </c>
      <c r="S37" s="3">
        <f t="shared" si="3"/>
        <v>102.48507571384586</v>
      </c>
    </row>
    <row r="38" spans="1:19" x14ac:dyDescent="0.25">
      <c r="A38">
        <v>35</v>
      </c>
      <c r="B38">
        <v>3383.65967</v>
      </c>
      <c r="C38">
        <v>3140.25659</v>
      </c>
      <c r="D38">
        <v>3066.02783</v>
      </c>
      <c r="E38">
        <v>2981.7775900000001</v>
      </c>
      <c r="F38">
        <v>3506.4387200000001</v>
      </c>
      <c r="H38" s="2">
        <f t="shared" si="0"/>
        <v>3215.6320800000003</v>
      </c>
      <c r="I38" s="2">
        <f t="shared" si="1"/>
        <v>98.881897097815724</v>
      </c>
      <c r="K38">
        <v>35</v>
      </c>
      <c r="L38" t="s">
        <v>4</v>
      </c>
      <c r="M38">
        <v>3263.1394</v>
      </c>
      <c r="N38">
        <v>3410.7580600000001</v>
      </c>
      <c r="O38">
        <v>3070.99512</v>
      </c>
      <c r="P38">
        <v>3495.66626</v>
      </c>
      <c r="R38" s="3">
        <f t="shared" si="2"/>
        <v>3310.1397099999999</v>
      </c>
      <c r="S38" s="3">
        <f t="shared" si="3"/>
        <v>93.069560534934112</v>
      </c>
    </row>
    <row r="39" spans="1:19" x14ac:dyDescent="0.25">
      <c r="A39">
        <v>36.25</v>
      </c>
      <c r="B39">
        <v>3215.78467</v>
      </c>
      <c r="C39">
        <v>2954.3745100000001</v>
      </c>
      <c r="D39">
        <v>2906.5173300000001</v>
      </c>
      <c r="E39">
        <v>2840.2312000000002</v>
      </c>
      <c r="F39">
        <v>3348.4333499999998</v>
      </c>
      <c r="H39" s="2">
        <f t="shared" si="0"/>
        <v>3053.0682120000001</v>
      </c>
      <c r="I39" s="2">
        <f t="shared" si="1"/>
        <v>97.52805031280883</v>
      </c>
      <c r="K39">
        <v>36.25</v>
      </c>
      <c r="L39" t="s">
        <v>4</v>
      </c>
      <c r="M39">
        <v>3107.5927700000002</v>
      </c>
      <c r="N39">
        <v>3251.3535200000001</v>
      </c>
      <c r="O39">
        <v>2910.3161599999999</v>
      </c>
      <c r="P39">
        <v>3337.4255400000002</v>
      </c>
      <c r="R39" s="3">
        <f t="shared" si="2"/>
        <v>3151.6719975000001</v>
      </c>
      <c r="S39" s="3">
        <f t="shared" si="3"/>
        <v>93.379335272648618</v>
      </c>
    </row>
    <row r="40" spans="1:19" x14ac:dyDescent="0.25">
      <c r="A40">
        <v>37.5</v>
      </c>
      <c r="B40">
        <v>2969.2873500000001</v>
      </c>
      <c r="C40">
        <v>2691.4267599999998</v>
      </c>
      <c r="D40">
        <v>2690.6498999999999</v>
      </c>
      <c r="E40">
        <v>2628.9577599999998</v>
      </c>
      <c r="F40">
        <v>3103.5588400000001</v>
      </c>
      <c r="H40" s="2">
        <f t="shared" si="0"/>
        <v>2816.7761219999998</v>
      </c>
      <c r="I40" s="2">
        <f t="shared" si="1"/>
        <v>92.843961985607635</v>
      </c>
      <c r="K40">
        <v>37.5</v>
      </c>
      <c r="L40" t="s">
        <v>4</v>
      </c>
      <c r="M40">
        <v>2876.3527800000002</v>
      </c>
      <c r="N40">
        <v>3022.90308</v>
      </c>
      <c r="O40">
        <v>2700.49487</v>
      </c>
      <c r="P40">
        <v>3092.0893599999999</v>
      </c>
      <c r="R40" s="3">
        <f t="shared" si="2"/>
        <v>2922.9600224999999</v>
      </c>
      <c r="S40" s="3">
        <f t="shared" si="3"/>
        <v>86.725777922877526</v>
      </c>
    </row>
    <row r="41" spans="1:19" x14ac:dyDescent="0.25">
      <c r="A41">
        <v>38.75</v>
      </c>
      <c r="B41">
        <v>2702.4431199999999</v>
      </c>
      <c r="C41">
        <v>2445.9792499999999</v>
      </c>
      <c r="D41">
        <v>2439.6460000000002</v>
      </c>
      <c r="E41">
        <v>2380.93091</v>
      </c>
      <c r="F41">
        <v>2843.4482400000002</v>
      </c>
      <c r="H41" s="2">
        <f t="shared" si="0"/>
        <v>2562.4895040000001</v>
      </c>
      <c r="I41" s="2">
        <f t="shared" si="1"/>
        <v>89.485617499012804</v>
      </c>
      <c r="K41">
        <v>38.75</v>
      </c>
      <c r="L41" t="s">
        <v>4</v>
      </c>
      <c r="M41">
        <v>2627.0275900000001</v>
      </c>
      <c r="N41">
        <v>2770.8271500000001</v>
      </c>
      <c r="O41">
        <v>2465.23657</v>
      </c>
      <c r="P41">
        <v>2824.9260300000001</v>
      </c>
      <c r="R41" s="3">
        <f t="shared" si="2"/>
        <v>2672.0043350000001</v>
      </c>
      <c r="S41" s="3">
        <f t="shared" si="3"/>
        <v>80.584743076304207</v>
      </c>
    </row>
    <row r="42" spans="1:19" x14ac:dyDescent="0.25">
      <c r="A42">
        <v>40</v>
      </c>
      <c r="B42">
        <v>2564.7822299999998</v>
      </c>
      <c r="C42">
        <v>2330.8622999999998</v>
      </c>
      <c r="D42">
        <v>2324.80249</v>
      </c>
      <c r="E42">
        <v>2268.4528799999998</v>
      </c>
      <c r="F42">
        <v>2702.6972700000001</v>
      </c>
      <c r="H42" s="2">
        <f t="shared" si="0"/>
        <v>2438.319434</v>
      </c>
      <c r="I42" s="2">
        <f t="shared" si="1"/>
        <v>83.419499318387366</v>
      </c>
      <c r="K42">
        <v>40</v>
      </c>
      <c r="L42" t="s">
        <v>4</v>
      </c>
      <c r="M42">
        <v>2489.5251499999999</v>
      </c>
      <c r="N42">
        <v>2627.09863</v>
      </c>
      <c r="O42">
        <v>2341.8789099999999</v>
      </c>
      <c r="P42">
        <v>2674.6147500000002</v>
      </c>
      <c r="R42" s="3">
        <f t="shared" si="2"/>
        <v>2533.27936</v>
      </c>
      <c r="S42" s="3">
        <f t="shared" si="3"/>
        <v>74.903443981074545</v>
      </c>
    </row>
    <row r="43" spans="1:19" x14ac:dyDescent="0.25">
      <c r="A43">
        <v>41.25</v>
      </c>
      <c r="B43">
        <v>2534.9741199999999</v>
      </c>
      <c r="C43">
        <v>2311.0625</v>
      </c>
      <c r="D43">
        <v>2298.4438500000001</v>
      </c>
      <c r="E43">
        <v>2246.3955099999998</v>
      </c>
      <c r="F43">
        <v>2646.9533700000002</v>
      </c>
      <c r="H43" s="2">
        <f t="shared" si="0"/>
        <v>2407.5658699999999</v>
      </c>
      <c r="I43" s="2">
        <f t="shared" si="1"/>
        <v>77.696730284188746</v>
      </c>
      <c r="K43">
        <v>41.25</v>
      </c>
      <c r="L43" t="s">
        <v>4</v>
      </c>
      <c r="M43">
        <v>2449.9375</v>
      </c>
      <c r="N43">
        <v>2561.5688500000001</v>
      </c>
      <c r="O43">
        <v>2308.6049800000001</v>
      </c>
      <c r="P43">
        <v>2623.7570799999999</v>
      </c>
      <c r="R43" s="3">
        <f t="shared" si="2"/>
        <v>2485.9671024999998</v>
      </c>
      <c r="S43" s="3">
        <f t="shared" si="3"/>
        <v>69.196072190140256</v>
      </c>
    </row>
    <row r="44" spans="1:19" x14ac:dyDescent="0.25">
      <c r="A44">
        <v>42.5</v>
      </c>
      <c r="B44">
        <v>2536.4313999999999</v>
      </c>
      <c r="C44">
        <v>2322.8247099999999</v>
      </c>
      <c r="D44">
        <v>2296.4453100000001</v>
      </c>
      <c r="E44">
        <v>2258.9035600000002</v>
      </c>
      <c r="F44">
        <v>2631.0026899999998</v>
      </c>
      <c r="H44" s="2">
        <f t="shared" si="0"/>
        <v>2409.1215339999999</v>
      </c>
      <c r="I44" s="2">
        <f t="shared" si="1"/>
        <v>73.534876884674233</v>
      </c>
      <c r="K44">
        <v>42.5</v>
      </c>
      <c r="L44" t="s">
        <v>4</v>
      </c>
      <c r="M44">
        <v>2455.43921</v>
      </c>
      <c r="N44">
        <v>2557.5310100000002</v>
      </c>
      <c r="O44">
        <v>2306.3476599999999</v>
      </c>
      <c r="P44">
        <v>2626.78955</v>
      </c>
      <c r="R44" s="3">
        <f t="shared" si="2"/>
        <v>2486.5268575</v>
      </c>
      <c r="S44" s="3">
        <f t="shared" si="3"/>
        <v>69.60974406074024</v>
      </c>
    </row>
    <row r="45" spans="1:19" x14ac:dyDescent="0.25">
      <c r="A45">
        <v>43.75</v>
      </c>
      <c r="B45">
        <v>2546.53125</v>
      </c>
      <c r="C45">
        <v>2344.79565</v>
      </c>
      <c r="D45">
        <v>2310.5317399999999</v>
      </c>
      <c r="E45">
        <v>2271.9960900000001</v>
      </c>
      <c r="F45">
        <v>2639.2495100000001</v>
      </c>
      <c r="H45" s="2">
        <f t="shared" si="0"/>
        <v>2422.620848</v>
      </c>
      <c r="I45" s="2">
        <f t="shared" si="1"/>
        <v>71.968851672874877</v>
      </c>
      <c r="K45">
        <v>43.75</v>
      </c>
      <c r="L45" t="s">
        <v>4</v>
      </c>
      <c r="M45">
        <v>2474.7214399999998</v>
      </c>
      <c r="N45">
        <v>2572.1735800000001</v>
      </c>
      <c r="O45">
        <v>2320.19263</v>
      </c>
      <c r="P45">
        <v>2626.7624500000002</v>
      </c>
      <c r="R45" s="3">
        <f t="shared" si="2"/>
        <v>2498.4625249999999</v>
      </c>
      <c r="S45" s="3">
        <f t="shared" si="3"/>
        <v>67.229696417398614</v>
      </c>
    </row>
    <row r="46" spans="1:19" x14ac:dyDescent="0.25">
      <c r="A46">
        <v>45</v>
      </c>
      <c r="B46">
        <v>2591.7334000000001</v>
      </c>
      <c r="C46">
        <v>2378.9626499999999</v>
      </c>
      <c r="D46">
        <v>2350.5646999999999</v>
      </c>
      <c r="E46">
        <v>2306.8425299999999</v>
      </c>
      <c r="F46">
        <v>2675.6967800000002</v>
      </c>
      <c r="H46" s="2">
        <f t="shared" si="0"/>
        <v>2460.7600119999997</v>
      </c>
      <c r="I46" s="2">
        <f t="shared" si="1"/>
        <v>72.758590243572357</v>
      </c>
      <c r="K46">
        <v>45</v>
      </c>
      <c r="L46" t="s">
        <v>4</v>
      </c>
      <c r="M46">
        <v>2506.2697800000001</v>
      </c>
      <c r="N46">
        <v>2600.6882300000002</v>
      </c>
      <c r="O46">
        <v>2343.2597700000001</v>
      </c>
      <c r="P46">
        <v>2644.68921</v>
      </c>
      <c r="R46" s="3">
        <f t="shared" si="2"/>
        <v>2523.7267475000003</v>
      </c>
      <c r="S46" s="3">
        <f t="shared" si="3"/>
        <v>66.725846319687889</v>
      </c>
    </row>
    <row r="47" spans="1:19" x14ac:dyDescent="0.25">
      <c r="A47">
        <v>46.25</v>
      </c>
      <c r="B47">
        <v>2688.15137</v>
      </c>
      <c r="C47">
        <v>2445.46191</v>
      </c>
      <c r="D47">
        <v>2426.5666500000002</v>
      </c>
      <c r="E47">
        <v>2406.1093799999999</v>
      </c>
      <c r="F47">
        <v>2758.4458</v>
      </c>
      <c r="H47" s="2">
        <f t="shared" si="0"/>
        <v>2544.9470219999998</v>
      </c>
      <c r="I47" s="2">
        <f t="shared" si="1"/>
        <v>73.917624526979168</v>
      </c>
      <c r="K47">
        <v>46.25</v>
      </c>
      <c r="L47" t="s">
        <v>4</v>
      </c>
      <c r="M47">
        <v>2590.06079</v>
      </c>
      <c r="N47">
        <v>2670.07861</v>
      </c>
      <c r="O47">
        <v>2395.3290999999999</v>
      </c>
      <c r="P47">
        <v>2734.7836900000002</v>
      </c>
      <c r="R47" s="3">
        <f t="shared" si="2"/>
        <v>2597.5630474999998</v>
      </c>
      <c r="S47" s="3">
        <f t="shared" si="3"/>
        <v>73.622270703137872</v>
      </c>
    </row>
    <row r="48" spans="1:19" x14ac:dyDescent="0.25">
      <c r="A48">
        <v>47.5</v>
      </c>
      <c r="B48">
        <v>2815.9887699999999</v>
      </c>
      <c r="C48">
        <v>2537.4147899999998</v>
      </c>
      <c r="D48">
        <v>2529.8498500000001</v>
      </c>
      <c r="E48">
        <v>2522.16284</v>
      </c>
      <c r="F48">
        <v>2879.7341299999998</v>
      </c>
      <c r="H48" s="2">
        <f t="shared" si="0"/>
        <v>2657.030076</v>
      </c>
      <c r="I48" s="2">
        <f t="shared" si="1"/>
        <v>78.592862253124821</v>
      </c>
      <c r="K48">
        <v>47.5</v>
      </c>
      <c r="L48" t="s">
        <v>4</v>
      </c>
      <c r="M48">
        <v>2719.6787100000001</v>
      </c>
      <c r="N48">
        <v>2758.9033199999999</v>
      </c>
      <c r="O48">
        <v>2478.0510300000001</v>
      </c>
      <c r="P48">
        <v>2834.9204100000002</v>
      </c>
      <c r="R48" s="3">
        <f t="shared" si="2"/>
        <v>2697.8883675000002</v>
      </c>
      <c r="S48" s="3">
        <f t="shared" si="3"/>
        <v>77.084304004152528</v>
      </c>
    </row>
    <row r="49" spans="1:19" x14ac:dyDescent="0.25">
      <c r="A49">
        <v>48.75</v>
      </c>
      <c r="B49">
        <v>2940.1208499999998</v>
      </c>
      <c r="C49">
        <v>2638.5354000000002</v>
      </c>
      <c r="D49">
        <v>2642.74854</v>
      </c>
      <c r="E49">
        <v>2634.8894</v>
      </c>
      <c r="F49">
        <v>3004.9379899999999</v>
      </c>
      <c r="H49" s="2">
        <f t="shared" si="0"/>
        <v>2772.2464360000004</v>
      </c>
      <c r="I49" s="2">
        <f t="shared" si="1"/>
        <v>82.414343331153077</v>
      </c>
      <c r="K49">
        <v>48.75</v>
      </c>
      <c r="L49" t="s">
        <v>4</v>
      </c>
      <c r="M49">
        <v>2828.2460900000001</v>
      </c>
      <c r="N49">
        <v>2861.4711900000002</v>
      </c>
      <c r="O49">
        <v>2586.7705099999998</v>
      </c>
      <c r="P49">
        <v>2952.1333</v>
      </c>
      <c r="R49" s="3">
        <f t="shared" si="2"/>
        <v>2807.1552725000001</v>
      </c>
      <c r="S49" s="3">
        <f t="shared" si="3"/>
        <v>77.986704783923145</v>
      </c>
    </row>
    <row r="50" spans="1:19" x14ac:dyDescent="0.25">
      <c r="A50">
        <v>50</v>
      </c>
      <c r="B50">
        <v>3044.24316</v>
      </c>
      <c r="C50">
        <v>2739.21558</v>
      </c>
      <c r="D50">
        <v>2733.4184599999999</v>
      </c>
      <c r="E50">
        <v>2730.5200199999999</v>
      </c>
      <c r="F50">
        <v>3095.0620100000001</v>
      </c>
      <c r="H50" s="2">
        <f t="shared" si="0"/>
        <v>2868.4918459999999</v>
      </c>
      <c r="I50" s="2">
        <f t="shared" si="1"/>
        <v>82.527559310176997</v>
      </c>
      <c r="K50">
        <v>50</v>
      </c>
      <c r="L50" t="s">
        <v>4</v>
      </c>
      <c r="M50">
        <v>2914.6303699999999</v>
      </c>
      <c r="N50">
        <v>2981.1601599999999</v>
      </c>
      <c r="O50">
        <v>2669.4814500000002</v>
      </c>
      <c r="P50">
        <v>3035.3622999999998</v>
      </c>
      <c r="R50" s="3">
        <f t="shared" si="2"/>
        <v>2900.1585700000005</v>
      </c>
      <c r="S50" s="3">
        <f t="shared" si="3"/>
        <v>80.758215719916706</v>
      </c>
    </row>
    <row r="51" spans="1:19" x14ac:dyDescent="0.25">
      <c r="A51">
        <v>51.25</v>
      </c>
      <c r="B51">
        <v>3064.5046400000001</v>
      </c>
      <c r="C51">
        <v>2809.1491700000001</v>
      </c>
      <c r="D51">
        <v>2761.84521</v>
      </c>
      <c r="E51">
        <v>2749.0119599999998</v>
      </c>
      <c r="F51">
        <v>3146.3120100000001</v>
      </c>
      <c r="H51" s="2">
        <f t="shared" si="0"/>
        <v>2906.1645979999998</v>
      </c>
      <c r="I51" s="2">
        <f t="shared" si="1"/>
        <v>82.969686947684806</v>
      </c>
      <c r="K51">
        <v>51.25</v>
      </c>
      <c r="L51" t="s">
        <v>4</v>
      </c>
      <c r="M51">
        <v>2939.9316399999998</v>
      </c>
      <c r="N51">
        <v>3043.2319299999999</v>
      </c>
      <c r="O51">
        <v>2712.83691</v>
      </c>
      <c r="P51">
        <v>3084.6093799999999</v>
      </c>
      <c r="R51" s="3">
        <f t="shared" si="2"/>
        <v>2945.1524649999997</v>
      </c>
      <c r="S51" s="3">
        <f t="shared" si="3"/>
        <v>83.199352313505656</v>
      </c>
    </row>
    <row r="52" spans="1:19" x14ac:dyDescent="0.25">
      <c r="A52">
        <v>52.5</v>
      </c>
      <c r="B52">
        <v>3058.2438999999999</v>
      </c>
      <c r="C52">
        <v>2806.04565</v>
      </c>
      <c r="D52">
        <v>2764.2229000000002</v>
      </c>
      <c r="E52">
        <v>2755.5839799999999</v>
      </c>
      <c r="F52">
        <v>3182.1784699999998</v>
      </c>
      <c r="H52" s="2">
        <f t="shared" si="0"/>
        <v>2913.2549800000002</v>
      </c>
      <c r="I52" s="2">
        <f t="shared" si="1"/>
        <v>87.151068824691308</v>
      </c>
      <c r="K52">
        <v>52.5</v>
      </c>
      <c r="L52" t="s">
        <v>4</v>
      </c>
      <c r="M52">
        <v>2922.4872999999998</v>
      </c>
      <c r="N52">
        <v>3039.1581999999999</v>
      </c>
      <c r="O52">
        <v>2730.1498999999999</v>
      </c>
      <c r="P52">
        <v>3133.99658</v>
      </c>
      <c r="R52" s="3">
        <f t="shared" si="2"/>
        <v>2956.4479949999995</v>
      </c>
      <c r="S52" s="3">
        <f t="shared" si="3"/>
        <v>86.952398209286685</v>
      </c>
    </row>
    <row r="53" spans="1:19" x14ac:dyDescent="0.25">
      <c r="A53">
        <v>53.75</v>
      </c>
      <c r="B53">
        <v>3060.12842</v>
      </c>
      <c r="C53">
        <v>2787.5495599999999</v>
      </c>
      <c r="D53">
        <v>2771.2966299999998</v>
      </c>
      <c r="E53">
        <v>2761.8227499999998</v>
      </c>
      <c r="F53">
        <v>3213.9313999999999</v>
      </c>
      <c r="H53" s="2">
        <f t="shared" si="0"/>
        <v>2918.9457520000001</v>
      </c>
      <c r="I53" s="2">
        <f t="shared" si="1"/>
        <v>92.385588304275558</v>
      </c>
      <c r="K53">
        <v>53.75</v>
      </c>
      <c r="L53" t="s">
        <v>4</v>
      </c>
      <c r="M53">
        <v>2928.4104000000002</v>
      </c>
      <c r="N53">
        <v>3048.48218</v>
      </c>
      <c r="O53">
        <v>2728.1325700000002</v>
      </c>
      <c r="P53">
        <v>3176.6049800000001</v>
      </c>
      <c r="R53" s="3">
        <f t="shared" si="2"/>
        <v>2970.4075324999999</v>
      </c>
      <c r="S53" s="3">
        <f t="shared" si="3"/>
        <v>95.338849431192614</v>
      </c>
    </row>
    <row r="54" spans="1:19" x14ac:dyDescent="0.25">
      <c r="A54">
        <v>55</v>
      </c>
      <c r="B54">
        <v>2991.9035600000002</v>
      </c>
      <c r="C54">
        <v>2728.0354000000002</v>
      </c>
      <c r="D54">
        <v>2711.8933099999999</v>
      </c>
      <c r="E54">
        <v>2728.14111</v>
      </c>
      <c r="F54">
        <v>3159.7636699999998</v>
      </c>
      <c r="H54" s="2">
        <f t="shared" si="0"/>
        <v>2863.9474100000002</v>
      </c>
      <c r="I54" s="2">
        <f t="shared" si="1"/>
        <v>90.530633188979209</v>
      </c>
      <c r="K54">
        <v>55</v>
      </c>
      <c r="L54" t="s">
        <v>4</v>
      </c>
      <c r="M54">
        <v>2883.15796</v>
      </c>
      <c r="N54">
        <v>2995.3071300000001</v>
      </c>
      <c r="O54">
        <v>2671.52124</v>
      </c>
      <c r="P54">
        <v>3118.7919900000002</v>
      </c>
      <c r="R54" s="3">
        <f t="shared" si="2"/>
        <v>2917.1945799999999</v>
      </c>
      <c r="S54" s="3">
        <f t="shared" si="3"/>
        <v>94.981124297581118</v>
      </c>
    </row>
    <row r="55" spans="1:19" x14ac:dyDescent="0.25">
      <c r="A55">
        <v>56.25</v>
      </c>
      <c r="B55">
        <v>2847.2185100000002</v>
      </c>
      <c r="C55">
        <v>2606.9628899999998</v>
      </c>
      <c r="D55">
        <v>2572.3915999999999</v>
      </c>
      <c r="E55">
        <v>2604.8847700000001</v>
      </c>
      <c r="F55">
        <v>2965.43091</v>
      </c>
      <c r="H55" s="2">
        <f t="shared" si="0"/>
        <v>2719.3777359999999</v>
      </c>
      <c r="I55" s="2">
        <f t="shared" si="1"/>
        <v>78.815001418919223</v>
      </c>
      <c r="K55">
        <v>56.25</v>
      </c>
      <c r="L55" t="s">
        <v>4</v>
      </c>
      <c r="M55">
        <v>2753.2045899999998</v>
      </c>
      <c r="N55">
        <v>2826.9445799999999</v>
      </c>
      <c r="O55">
        <v>2522.5124500000002</v>
      </c>
      <c r="P55">
        <v>2946.0119599999998</v>
      </c>
      <c r="R55" s="3">
        <f t="shared" si="2"/>
        <v>2762.1683949999997</v>
      </c>
      <c r="S55" s="3">
        <f t="shared" si="3"/>
        <v>89.214036782795716</v>
      </c>
    </row>
    <row r="56" spans="1:19" x14ac:dyDescent="0.25">
      <c r="A56">
        <v>57.5</v>
      </c>
      <c r="B56">
        <v>2673.3601100000001</v>
      </c>
      <c r="C56">
        <v>2455.9643599999999</v>
      </c>
      <c r="D56">
        <v>2390.6601599999999</v>
      </c>
      <c r="E56">
        <v>2443.1728499999999</v>
      </c>
      <c r="F56">
        <v>2761.58691</v>
      </c>
      <c r="H56" s="2">
        <f t="shared" si="0"/>
        <v>2544.9488779999997</v>
      </c>
      <c r="I56" s="2">
        <f t="shared" si="1"/>
        <v>72.630260303066351</v>
      </c>
      <c r="K56">
        <v>57.5</v>
      </c>
      <c r="L56" t="s">
        <v>4</v>
      </c>
      <c r="M56">
        <v>2561.0578599999999</v>
      </c>
      <c r="N56">
        <v>2634.6813999999999</v>
      </c>
      <c r="O56">
        <v>2325.27783</v>
      </c>
      <c r="P56">
        <v>2745.9909699999998</v>
      </c>
      <c r="R56" s="3">
        <f t="shared" si="2"/>
        <v>2566.752015</v>
      </c>
      <c r="S56" s="3">
        <f t="shared" si="3"/>
        <v>89.014610110994539</v>
      </c>
    </row>
    <row r="57" spans="1:19" x14ac:dyDescent="0.25">
      <c r="A57">
        <v>58.75</v>
      </c>
      <c r="B57">
        <v>2527.0393100000001</v>
      </c>
      <c r="C57">
        <v>2292.0878899999998</v>
      </c>
      <c r="D57">
        <v>2246.2192399999999</v>
      </c>
      <c r="E57">
        <v>2335.2246100000002</v>
      </c>
      <c r="F57">
        <v>2628.0947299999998</v>
      </c>
      <c r="H57" s="2">
        <f t="shared" si="0"/>
        <v>2405.7331559999998</v>
      </c>
      <c r="I57" s="2">
        <f t="shared" si="1"/>
        <v>73.311405501098221</v>
      </c>
      <c r="K57">
        <v>58.75</v>
      </c>
      <c r="L57" t="s">
        <v>4</v>
      </c>
      <c r="M57">
        <v>2423.2836900000002</v>
      </c>
      <c r="N57">
        <v>2479.2834499999999</v>
      </c>
      <c r="O57">
        <v>2158.5661599999999</v>
      </c>
      <c r="P57">
        <v>2600.5561499999999</v>
      </c>
      <c r="R57" s="3">
        <f t="shared" si="2"/>
        <v>2415.4223625</v>
      </c>
      <c r="S57" s="3">
        <f t="shared" si="3"/>
        <v>93.269174527082768</v>
      </c>
    </row>
    <row r="58" spans="1:19" x14ac:dyDescent="0.25">
      <c r="A58">
        <v>60</v>
      </c>
      <c r="B58">
        <v>2421.18579</v>
      </c>
      <c r="C58">
        <v>2192.8449700000001</v>
      </c>
      <c r="D58">
        <v>2159.9970699999999</v>
      </c>
      <c r="E58">
        <v>2257.1093799999999</v>
      </c>
      <c r="F58">
        <v>2507.2123999999999</v>
      </c>
      <c r="H58" s="2">
        <f t="shared" si="0"/>
        <v>2307.669922</v>
      </c>
      <c r="I58" s="2">
        <f t="shared" si="1"/>
        <v>67.175688325883144</v>
      </c>
      <c r="K58">
        <v>60</v>
      </c>
      <c r="L58" t="s">
        <v>4</v>
      </c>
      <c r="M58">
        <v>2344.7363300000002</v>
      </c>
      <c r="N58">
        <v>2364.1977499999998</v>
      </c>
      <c r="O58">
        <v>2066.7094699999998</v>
      </c>
      <c r="P58">
        <v>2475.3227499999998</v>
      </c>
      <c r="R58" s="3">
        <f t="shared" si="2"/>
        <v>2312.741575</v>
      </c>
      <c r="S58" s="3">
        <f t="shared" si="3"/>
        <v>86.907919397607415</v>
      </c>
    </row>
    <row r="59" spans="1:19" x14ac:dyDescent="0.25">
      <c r="A59">
        <v>61.25</v>
      </c>
      <c r="B59">
        <v>2347.23389</v>
      </c>
      <c r="C59">
        <v>2137.5009799999998</v>
      </c>
      <c r="D59">
        <v>2100.6484399999999</v>
      </c>
      <c r="E59">
        <v>2206.1223100000002</v>
      </c>
      <c r="F59">
        <v>2395.7700199999999</v>
      </c>
      <c r="H59" s="2">
        <f t="shared" si="0"/>
        <v>2237.4551280000001</v>
      </c>
      <c r="I59" s="2">
        <f t="shared" si="1"/>
        <v>57.794302782791966</v>
      </c>
      <c r="K59">
        <v>61.25</v>
      </c>
      <c r="L59" t="s">
        <v>4</v>
      </c>
      <c r="M59">
        <v>2277.1543000000001</v>
      </c>
      <c r="N59">
        <v>2282.1406200000001</v>
      </c>
      <c r="O59">
        <v>2003.5955799999999</v>
      </c>
      <c r="P59">
        <v>2400.9880400000002</v>
      </c>
      <c r="R59" s="3">
        <f t="shared" si="2"/>
        <v>2240.9696350000004</v>
      </c>
      <c r="S59" s="3">
        <f t="shared" si="3"/>
        <v>84.141107627266834</v>
      </c>
    </row>
    <row r="60" spans="1:19" x14ac:dyDescent="0.25">
      <c r="A60">
        <v>62.5</v>
      </c>
      <c r="B60">
        <v>2311.3723100000002</v>
      </c>
      <c r="C60">
        <v>2094.2558600000002</v>
      </c>
      <c r="D60">
        <v>2066.2934599999999</v>
      </c>
      <c r="E60">
        <v>2156.3129899999999</v>
      </c>
      <c r="F60">
        <v>2344.5107400000002</v>
      </c>
      <c r="H60" s="2">
        <f t="shared" si="0"/>
        <v>2194.5490719999998</v>
      </c>
      <c r="I60" s="2">
        <f t="shared" si="1"/>
        <v>56.61554519548018</v>
      </c>
      <c r="K60">
        <v>62.5</v>
      </c>
      <c r="L60" t="s">
        <v>4</v>
      </c>
      <c r="M60">
        <v>2224.5773899999999</v>
      </c>
      <c r="N60">
        <v>2231.7902800000002</v>
      </c>
      <c r="O60">
        <v>1960.8906199999999</v>
      </c>
      <c r="P60">
        <v>2344.26685</v>
      </c>
      <c r="R60" s="3">
        <f t="shared" si="2"/>
        <v>2190.3812849999999</v>
      </c>
      <c r="S60" s="3">
        <f t="shared" si="3"/>
        <v>81.256184842341156</v>
      </c>
    </row>
    <row r="61" spans="1:19" x14ac:dyDescent="0.25">
      <c r="A61">
        <v>63.75</v>
      </c>
      <c r="B61">
        <v>2269.34058</v>
      </c>
      <c r="C61">
        <v>2038.65906</v>
      </c>
      <c r="D61">
        <v>2014.39148</v>
      </c>
      <c r="E61">
        <v>2077.12988</v>
      </c>
      <c r="F61">
        <v>2287.2080099999998</v>
      </c>
      <c r="H61" s="2">
        <f t="shared" si="0"/>
        <v>2137.3458020000003</v>
      </c>
      <c r="I61" s="2">
        <f t="shared" si="1"/>
        <v>58.46541644992741</v>
      </c>
      <c r="K61">
        <v>63.75</v>
      </c>
      <c r="L61" t="s">
        <v>4</v>
      </c>
      <c r="M61">
        <v>2169.1652800000002</v>
      </c>
      <c r="N61">
        <v>2179.3920899999998</v>
      </c>
      <c r="O61">
        <v>1934.3501000000001</v>
      </c>
      <c r="P61">
        <v>2287.0644499999999</v>
      </c>
      <c r="R61" s="3">
        <f t="shared" si="2"/>
        <v>2142.49298</v>
      </c>
      <c r="S61" s="3">
        <f t="shared" si="3"/>
        <v>74.328843851011897</v>
      </c>
    </row>
    <row r="62" spans="1:19" x14ac:dyDescent="0.25">
      <c r="A62">
        <v>65</v>
      </c>
      <c r="B62">
        <v>2202.9150399999999</v>
      </c>
      <c r="C62">
        <v>1979.6606400000001</v>
      </c>
      <c r="D62">
        <v>1951.76782</v>
      </c>
      <c r="E62">
        <v>1978.7192399999999</v>
      </c>
      <c r="F62">
        <v>2222.7768599999999</v>
      </c>
      <c r="H62" s="2">
        <f t="shared" si="0"/>
        <v>2067.1679199999999</v>
      </c>
      <c r="I62" s="2">
        <f t="shared" si="1"/>
        <v>59.765917931112185</v>
      </c>
      <c r="K62">
        <v>65</v>
      </c>
      <c r="L62" t="s">
        <v>4</v>
      </c>
      <c r="M62">
        <v>2101.1684599999999</v>
      </c>
      <c r="N62">
        <v>2111.5334499999999</v>
      </c>
      <c r="O62">
        <v>1901.8930700000001</v>
      </c>
      <c r="P62">
        <v>2218.4504400000001</v>
      </c>
      <c r="R62" s="3">
        <f t="shared" si="2"/>
        <v>2083.2613550000001</v>
      </c>
      <c r="S62" s="3">
        <f t="shared" si="3"/>
        <v>66.011690424341054</v>
      </c>
    </row>
    <row r="63" spans="1:19" x14ac:dyDescent="0.25">
      <c r="A63">
        <v>66.25</v>
      </c>
      <c r="B63">
        <v>2104.8002900000001</v>
      </c>
      <c r="C63">
        <v>1906.6447800000001</v>
      </c>
      <c r="D63">
        <v>1887.6271999999999</v>
      </c>
      <c r="E63">
        <v>1898.64355</v>
      </c>
      <c r="F63">
        <v>2162.4494599999998</v>
      </c>
      <c r="H63" s="2">
        <f t="shared" si="0"/>
        <v>1992.0330560000002</v>
      </c>
      <c r="I63" s="2">
        <f t="shared" si="1"/>
        <v>58.596732030280862</v>
      </c>
      <c r="K63">
        <v>66.25</v>
      </c>
      <c r="L63" t="s">
        <v>4</v>
      </c>
      <c r="M63">
        <v>2021.6134</v>
      </c>
      <c r="N63">
        <v>2049.0827599999998</v>
      </c>
      <c r="O63">
        <v>1878.74756</v>
      </c>
      <c r="P63">
        <v>2144.9689899999998</v>
      </c>
      <c r="R63" s="3">
        <f t="shared" si="2"/>
        <v>2023.6031774999997</v>
      </c>
      <c r="S63" s="3">
        <f t="shared" si="3"/>
        <v>55.04996117464966</v>
      </c>
    </row>
    <row r="64" spans="1:19" x14ac:dyDescent="0.25">
      <c r="A64">
        <v>67.5</v>
      </c>
      <c r="B64">
        <v>2031.3903800000001</v>
      </c>
      <c r="C64">
        <v>1845.3728000000001</v>
      </c>
      <c r="D64">
        <v>1818.0523700000001</v>
      </c>
      <c r="E64">
        <v>1849.2058099999999</v>
      </c>
      <c r="F64">
        <v>2124.6677199999999</v>
      </c>
      <c r="H64" s="2">
        <f t="shared" si="0"/>
        <v>1933.7378160000001</v>
      </c>
      <c r="I64" s="2">
        <f t="shared" si="1"/>
        <v>60.962041470289719</v>
      </c>
      <c r="K64">
        <v>67.5</v>
      </c>
      <c r="L64" t="s">
        <v>4</v>
      </c>
      <c r="M64">
        <v>1972.1400100000001</v>
      </c>
      <c r="N64">
        <v>1994.8311799999999</v>
      </c>
      <c r="O64">
        <v>1856.6505099999999</v>
      </c>
      <c r="P64">
        <v>2088.3720699999999</v>
      </c>
      <c r="R64" s="3">
        <f t="shared" si="2"/>
        <v>1977.9984424999998</v>
      </c>
      <c r="S64" s="3">
        <f t="shared" si="3"/>
        <v>47.63167770562837</v>
      </c>
    </row>
    <row r="65" spans="1:19" x14ac:dyDescent="0.25">
      <c r="A65">
        <v>68.75</v>
      </c>
      <c r="B65">
        <v>1987.60364</v>
      </c>
      <c r="C65">
        <v>1817.48901</v>
      </c>
      <c r="D65">
        <v>1792.38184</v>
      </c>
      <c r="E65">
        <v>1816.6777300000001</v>
      </c>
      <c r="F65">
        <v>2073.62158</v>
      </c>
      <c r="H65" s="2">
        <f t="shared" si="0"/>
        <v>1897.5547600000002</v>
      </c>
      <c r="I65" s="2">
        <f t="shared" si="1"/>
        <v>56.178860481579981</v>
      </c>
      <c r="K65">
        <v>68.75</v>
      </c>
      <c r="L65" t="s">
        <v>4</v>
      </c>
      <c r="M65">
        <v>1943.4039299999999</v>
      </c>
      <c r="N65">
        <v>1963.92346</v>
      </c>
      <c r="O65">
        <v>1835.43066</v>
      </c>
      <c r="P65">
        <v>2035.0902100000001</v>
      </c>
      <c r="R65" s="3">
        <f t="shared" si="2"/>
        <v>1944.4620650000002</v>
      </c>
      <c r="S65" s="3">
        <f t="shared" si="3"/>
        <v>41.313005909599575</v>
      </c>
    </row>
    <row r="66" spans="1:19" x14ac:dyDescent="0.25">
      <c r="A66">
        <v>70</v>
      </c>
      <c r="B66">
        <v>1957.9040500000001</v>
      </c>
      <c r="C66">
        <v>1794.20703</v>
      </c>
      <c r="D66">
        <v>1782.36951</v>
      </c>
      <c r="E66">
        <v>1781.90454</v>
      </c>
      <c r="F66">
        <v>2023.9559300000001</v>
      </c>
      <c r="H66" s="2">
        <f t="shared" si="0"/>
        <v>1868.0682120000001</v>
      </c>
      <c r="I66" s="2">
        <f t="shared" si="1"/>
        <v>51.281272661594173</v>
      </c>
      <c r="K66">
        <v>70</v>
      </c>
      <c r="L66" t="s">
        <v>4</v>
      </c>
      <c r="M66">
        <v>1912.66479</v>
      </c>
      <c r="N66">
        <v>1937.34998</v>
      </c>
      <c r="O66">
        <v>1814.2100800000001</v>
      </c>
      <c r="P66">
        <v>2015.84375</v>
      </c>
      <c r="R66" s="3">
        <f t="shared" si="2"/>
        <v>1920.0171499999999</v>
      </c>
      <c r="S66" s="3">
        <f t="shared" si="3"/>
        <v>41.565568205470441</v>
      </c>
    </row>
    <row r="67" spans="1:19" x14ac:dyDescent="0.25">
      <c r="A67">
        <v>71.25</v>
      </c>
      <c r="B67">
        <v>1932.23279</v>
      </c>
      <c r="C67">
        <v>1771.4915800000001</v>
      </c>
      <c r="D67">
        <v>1751.01135</v>
      </c>
      <c r="E67">
        <v>1756.00647</v>
      </c>
      <c r="F67">
        <v>1994.7608600000001</v>
      </c>
      <c r="H67" s="2">
        <f t="shared" si="0"/>
        <v>1841.10061</v>
      </c>
      <c r="I67" s="2">
        <f t="shared" si="1"/>
        <v>51.048531393588107</v>
      </c>
      <c r="K67">
        <v>71.25</v>
      </c>
      <c r="L67" t="s">
        <v>4</v>
      </c>
      <c r="M67">
        <v>1876.98767</v>
      </c>
      <c r="N67">
        <v>1900.4171100000001</v>
      </c>
      <c r="O67">
        <v>1790.76135</v>
      </c>
      <c r="P67">
        <v>1993.5474899999999</v>
      </c>
      <c r="R67" s="3">
        <f t="shared" si="2"/>
        <v>1890.4284049999999</v>
      </c>
      <c r="S67" s="3">
        <f t="shared" si="3"/>
        <v>41.680826056001145</v>
      </c>
    </row>
    <row r="68" spans="1:19" x14ac:dyDescent="0.25">
      <c r="A68">
        <v>72.5</v>
      </c>
      <c r="B68">
        <v>1903.8595</v>
      </c>
      <c r="C68">
        <v>1744.9860799999999</v>
      </c>
      <c r="D68">
        <v>1730.6649199999999</v>
      </c>
      <c r="E68">
        <v>1733.4418900000001</v>
      </c>
      <c r="F68">
        <v>1971.75757</v>
      </c>
      <c r="H68" s="2">
        <f t="shared" si="0"/>
        <v>1816.941992</v>
      </c>
      <c r="I68" s="2">
        <f t="shared" si="1"/>
        <v>50.555004622222853</v>
      </c>
      <c r="K68">
        <v>72.5</v>
      </c>
      <c r="L68" t="s">
        <v>4</v>
      </c>
      <c r="M68">
        <v>1844.7332799999999</v>
      </c>
      <c r="N68">
        <v>1877.01001</v>
      </c>
      <c r="O68">
        <v>1760.33716</v>
      </c>
      <c r="P68">
        <v>1962.0035399999999</v>
      </c>
      <c r="R68" s="3">
        <f t="shared" si="2"/>
        <v>1861.0209974999998</v>
      </c>
      <c r="S68" s="3">
        <f t="shared" si="3"/>
        <v>41.688974647157067</v>
      </c>
    </row>
    <row r="69" spans="1:19" x14ac:dyDescent="0.25">
      <c r="A69">
        <v>73.75</v>
      </c>
      <c r="B69">
        <v>1882.4431199999999</v>
      </c>
      <c r="C69">
        <v>1744.3480199999999</v>
      </c>
      <c r="D69">
        <v>1723.51404</v>
      </c>
      <c r="E69">
        <v>1724.9108900000001</v>
      </c>
      <c r="F69">
        <v>1956.8393599999999</v>
      </c>
      <c r="H69" s="2">
        <f t="shared" ref="H69:H96" si="4">AVERAGE(B69:F69)</f>
        <v>1806.4110860000001</v>
      </c>
      <c r="I69" s="2">
        <f t="shared" ref="I69:I96" si="5">STDEV(B69:F69)/SQRT(COUNT(B69:F69))</f>
        <v>47.841175862263817</v>
      </c>
      <c r="K69">
        <v>73.75</v>
      </c>
      <c r="L69" t="s">
        <v>4</v>
      </c>
      <c r="M69">
        <v>1840.93274</v>
      </c>
      <c r="N69">
        <v>1864.1667500000001</v>
      </c>
      <c r="O69">
        <v>1755.66003</v>
      </c>
      <c r="P69">
        <v>1931.0399199999999</v>
      </c>
      <c r="R69" s="3">
        <f t="shared" ref="R69:R96" si="6">AVERAGE(L69:P69)</f>
        <v>1847.9498599999999</v>
      </c>
      <c r="S69" s="3">
        <f t="shared" ref="S69:S96" si="7">STDEV(L69:P69)/SQRT(COUNT(L69:P69))</f>
        <v>36.209573189281258</v>
      </c>
    </row>
    <row r="70" spans="1:19" x14ac:dyDescent="0.25">
      <c r="A70">
        <v>75</v>
      </c>
      <c r="B70">
        <v>1962.7322999999999</v>
      </c>
      <c r="C70">
        <v>1810.4259</v>
      </c>
      <c r="D70">
        <v>1792.43848</v>
      </c>
      <c r="E70">
        <v>1816.75476</v>
      </c>
      <c r="F70">
        <v>2020.7052000000001</v>
      </c>
      <c r="H70" s="2">
        <f t="shared" si="4"/>
        <v>1880.6113279999997</v>
      </c>
      <c r="I70" s="2">
        <f t="shared" si="5"/>
        <v>46.447956746712812</v>
      </c>
      <c r="K70">
        <v>75</v>
      </c>
      <c r="L70" t="s">
        <v>4</v>
      </c>
      <c r="M70">
        <v>1936.20911</v>
      </c>
      <c r="N70">
        <v>1943.7023899999999</v>
      </c>
      <c r="O70">
        <v>1858.5722699999999</v>
      </c>
      <c r="P70">
        <v>1998.53943</v>
      </c>
      <c r="R70" s="3">
        <f t="shared" si="6"/>
        <v>1934.2557999999999</v>
      </c>
      <c r="S70" s="3">
        <f t="shared" si="7"/>
        <v>28.80022465453759</v>
      </c>
    </row>
    <row r="71" spans="1:19" x14ac:dyDescent="0.25">
      <c r="A71">
        <v>76.25</v>
      </c>
      <c r="B71">
        <v>2145.2407199999998</v>
      </c>
      <c r="C71">
        <v>1967.2442599999999</v>
      </c>
      <c r="D71">
        <v>1968.8342299999999</v>
      </c>
      <c r="E71">
        <v>1987.0255099999999</v>
      </c>
      <c r="F71">
        <v>2223.40479</v>
      </c>
      <c r="H71" s="2">
        <f t="shared" si="4"/>
        <v>2058.3499019999999</v>
      </c>
      <c r="I71" s="2">
        <f t="shared" si="5"/>
        <v>53.006411280813516</v>
      </c>
      <c r="K71">
        <v>76.25</v>
      </c>
      <c r="L71" t="s">
        <v>4</v>
      </c>
      <c r="M71">
        <v>2134.6801799999998</v>
      </c>
      <c r="N71">
        <v>2159.5754400000001</v>
      </c>
      <c r="O71">
        <v>2073.44409</v>
      </c>
      <c r="P71">
        <v>2220.2272899999998</v>
      </c>
      <c r="R71" s="3">
        <f t="shared" si="6"/>
        <v>2146.9817499999999</v>
      </c>
      <c r="S71" s="3">
        <f t="shared" si="7"/>
        <v>30.3900013991008</v>
      </c>
    </row>
    <row r="72" spans="1:19" x14ac:dyDescent="0.25">
      <c r="A72">
        <v>77.5</v>
      </c>
      <c r="B72">
        <v>2236.7580600000001</v>
      </c>
      <c r="C72">
        <v>2074.3693800000001</v>
      </c>
      <c r="D72">
        <v>2056.29736</v>
      </c>
      <c r="E72">
        <v>2077.6210900000001</v>
      </c>
      <c r="F72">
        <v>2333.6010700000002</v>
      </c>
      <c r="H72" s="2">
        <f t="shared" si="4"/>
        <v>2155.7293920000002</v>
      </c>
      <c r="I72" s="2">
        <f t="shared" si="5"/>
        <v>55.141212470348492</v>
      </c>
      <c r="K72">
        <v>77.5</v>
      </c>
      <c r="L72" t="s">
        <v>4</v>
      </c>
      <c r="M72">
        <v>2246.8967299999999</v>
      </c>
      <c r="N72">
        <v>2283.63843</v>
      </c>
      <c r="O72">
        <v>2189.2214399999998</v>
      </c>
      <c r="P72">
        <v>2328.9033199999999</v>
      </c>
      <c r="R72" s="3">
        <f t="shared" si="6"/>
        <v>2262.1649799999996</v>
      </c>
      <c r="S72" s="3">
        <f t="shared" si="7"/>
        <v>29.53669267009569</v>
      </c>
    </row>
    <row r="73" spans="1:19" x14ac:dyDescent="0.25">
      <c r="A73">
        <v>78.75</v>
      </c>
      <c r="B73">
        <v>2176.2458499999998</v>
      </c>
      <c r="C73">
        <v>2021.9765600000001</v>
      </c>
      <c r="D73">
        <v>1998.3607199999999</v>
      </c>
      <c r="E73">
        <v>2019.7258300000001</v>
      </c>
      <c r="F73">
        <v>2281.2927199999999</v>
      </c>
      <c r="H73" s="2">
        <f t="shared" si="4"/>
        <v>2099.520336</v>
      </c>
      <c r="I73" s="2">
        <f t="shared" si="5"/>
        <v>55.471376572515872</v>
      </c>
      <c r="K73">
        <v>78.75</v>
      </c>
      <c r="L73" t="s">
        <v>4</v>
      </c>
      <c r="M73">
        <v>2180.1711399999999</v>
      </c>
      <c r="N73">
        <v>2205.8679200000001</v>
      </c>
      <c r="O73">
        <v>2105.6306199999999</v>
      </c>
      <c r="P73">
        <v>2256.4846200000002</v>
      </c>
      <c r="R73" s="3">
        <f t="shared" si="6"/>
        <v>2187.038575</v>
      </c>
      <c r="S73" s="3">
        <f t="shared" si="7"/>
        <v>31.426785549952378</v>
      </c>
    </row>
    <row r="74" spans="1:19" x14ac:dyDescent="0.25">
      <c r="A74">
        <v>80</v>
      </c>
      <c r="B74">
        <v>2080.8881799999999</v>
      </c>
      <c r="C74">
        <v>1911.8114</v>
      </c>
      <c r="D74">
        <v>1926.4600800000001</v>
      </c>
      <c r="E74">
        <v>1930.2402300000001</v>
      </c>
      <c r="F74">
        <v>2177.34888</v>
      </c>
      <c r="H74" s="2">
        <f t="shared" si="4"/>
        <v>2005.3497540000001</v>
      </c>
      <c r="I74" s="2">
        <f t="shared" si="5"/>
        <v>52.869744691876214</v>
      </c>
      <c r="K74">
        <v>80</v>
      </c>
      <c r="L74" t="s">
        <v>4</v>
      </c>
      <c r="M74">
        <v>2061.3847700000001</v>
      </c>
      <c r="N74">
        <v>2091.0898400000001</v>
      </c>
      <c r="O74">
        <v>1971.3892800000001</v>
      </c>
      <c r="P74">
        <v>2155.9379899999999</v>
      </c>
      <c r="R74" s="3">
        <f t="shared" si="6"/>
        <v>2069.9504700000002</v>
      </c>
      <c r="S74" s="3">
        <f t="shared" si="7"/>
        <v>38.327977108170565</v>
      </c>
    </row>
    <row r="75" spans="1:19" x14ac:dyDescent="0.25">
      <c r="A75">
        <v>81.25</v>
      </c>
      <c r="B75">
        <v>2197.2031200000001</v>
      </c>
      <c r="C75">
        <v>1991.3493699999999</v>
      </c>
      <c r="D75">
        <v>2056.8034699999998</v>
      </c>
      <c r="E75">
        <v>2048.5734900000002</v>
      </c>
      <c r="F75">
        <v>2233.59546</v>
      </c>
      <c r="H75" s="2">
        <f t="shared" si="4"/>
        <v>2105.5049819999999</v>
      </c>
      <c r="I75" s="2">
        <f t="shared" si="5"/>
        <v>46.615584770794371</v>
      </c>
      <c r="K75">
        <v>81.25</v>
      </c>
      <c r="L75" t="s">
        <v>4</v>
      </c>
      <c r="M75">
        <v>2151.0439500000002</v>
      </c>
      <c r="N75">
        <v>2207.9960900000001</v>
      </c>
      <c r="O75">
        <v>2098.7702599999998</v>
      </c>
      <c r="P75">
        <v>2269.7788099999998</v>
      </c>
      <c r="R75" s="3">
        <f t="shared" si="6"/>
        <v>2181.8972774999997</v>
      </c>
      <c r="S75" s="3">
        <f t="shared" si="7"/>
        <v>36.817501074812988</v>
      </c>
    </row>
    <row r="76" spans="1:19" x14ac:dyDescent="0.25">
      <c r="A76">
        <v>82.5</v>
      </c>
      <c r="B76">
        <v>2833.6572299999998</v>
      </c>
      <c r="C76">
        <v>2665.2497600000002</v>
      </c>
      <c r="D76">
        <v>2768.0497999999998</v>
      </c>
      <c r="E76">
        <v>2691.6525900000001</v>
      </c>
      <c r="F76">
        <v>2841.2412100000001</v>
      </c>
      <c r="H76" s="2">
        <f t="shared" si="4"/>
        <v>2759.9701180000002</v>
      </c>
      <c r="I76" s="2">
        <f t="shared" si="5"/>
        <v>35.874289527928646</v>
      </c>
      <c r="K76">
        <v>82.5</v>
      </c>
      <c r="L76" t="s">
        <v>4</v>
      </c>
      <c r="M76">
        <v>2788.1252399999998</v>
      </c>
      <c r="N76">
        <v>2886.9121100000002</v>
      </c>
      <c r="O76">
        <v>2681.5847199999998</v>
      </c>
      <c r="P76">
        <v>2973.97534</v>
      </c>
      <c r="R76" s="3">
        <f t="shared" si="6"/>
        <v>2832.6493525000005</v>
      </c>
      <c r="S76" s="3">
        <f t="shared" si="7"/>
        <v>63.061082412627748</v>
      </c>
    </row>
    <row r="77" spans="1:19" x14ac:dyDescent="0.25">
      <c r="A77">
        <v>83.75</v>
      </c>
      <c r="B77">
        <v>3996.7358399999998</v>
      </c>
      <c r="C77">
        <v>3838.6457500000001</v>
      </c>
      <c r="D77">
        <v>3851.7429200000001</v>
      </c>
      <c r="E77">
        <v>3728.3864699999999</v>
      </c>
      <c r="F77">
        <v>4089.4348100000002</v>
      </c>
      <c r="H77" s="2">
        <f t="shared" si="4"/>
        <v>3900.9891579999994</v>
      </c>
      <c r="I77" s="2">
        <f t="shared" si="5"/>
        <v>63.554217505507339</v>
      </c>
      <c r="K77">
        <v>83.75</v>
      </c>
      <c r="L77" t="s">
        <v>4</v>
      </c>
      <c r="M77">
        <v>3995.6313500000001</v>
      </c>
      <c r="N77">
        <v>4061.6047400000002</v>
      </c>
      <c r="O77">
        <v>3908.1228000000001</v>
      </c>
      <c r="P77">
        <v>4227.1733400000003</v>
      </c>
      <c r="R77" s="3">
        <f t="shared" si="6"/>
        <v>4048.1330575000002</v>
      </c>
      <c r="S77" s="3">
        <f t="shared" si="7"/>
        <v>67.451346961280507</v>
      </c>
    </row>
    <row r="78" spans="1:19" x14ac:dyDescent="0.25">
      <c r="A78">
        <v>85</v>
      </c>
      <c r="B78">
        <v>5093.7099600000001</v>
      </c>
      <c r="C78">
        <v>4951.2802700000002</v>
      </c>
      <c r="D78">
        <v>4725.9877900000001</v>
      </c>
      <c r="E78">
        <v>4734.2519499999999</v>
      </c>
      <c r="F78">
        <v>5271.7241199999999</v>
      </c>
      <c r="H78" s="2">
        <f t="shared" si="4"/>
        <v>4955.3908179999999</v>
      </c>
      <c r="I78" s="2">
        <f t="shared" si="5"/>
        <v>105.05807627179117</v>
      </c>
      <c r="K78">
        <v>85</v>
      </c>
      <c r="L78" t="s">
        <v>4</v>
      </c>
      <c r="M78">
        <v>5234.0004900000004</v>
      </c>
      <c r="N78">
        <v>5299.6567400000004</v>
      </c>
      <c r="O78">
        <v>5139.3183600000002</v>
      </c>
      <c r="P78">
        <v>5562.8413099999998</v>
      </c>
      <c r="R78" s="3">
        <f t="shared" si="6"/>
        <v>5308.9542250000004</v>
      </c>
      <c r="S78" s="3">
        <f t="shared" si="7"/>
        <v>90.801745688923234</v>
      </c>
    </row>
    <row r="79" spans="1:19" x14ac:dyDescent="0.25">
      <c r="A79">
        <v>86.25</v>
      </c>
      <c r="B79">
        <v>5618.0996100000002</v>
      </c>
      <c r="C79">
        <v>5399.3222699999997</v>
      </c>
      <c r="D79">
        <v>5120.2456099999999</v>
      </c>
      <c r="E79">
        <v>5244.3686500000003</v>
      </c>
      <c r="F79">
        <v>5915.1108400000003</v>
      </c>
      <c r="H79" s="2">
        <f t="shared" si="4"/>
        <v>5459.4293960000005</v>
      </c>
      <c r="I79" s="2">
        <f t="shared" si="5"/>
        <v>141.01975871630211</v>
      </c>
      <c r="K79">
        <v>86.25</v>
      </c>
      <c r="L79" t="s">
        <v>4</v>
      </c>
      <c r="M79">
        <v>5864.3955100000003</v>
      </c>
      <c r="N79">
        <v>5999.4770500000004</v>
      </c>
      <c r="O79">
        <v>5860.0830100000003</v>
      </c>
      <c r="P79">
        <v>6160.1152300000003</v>
      </c>
      <c r="R79" s="3">
        <f t="shared" si="6"/>
        <v>5971.0176999999994</v>
      </c>
      <c r="S79" s="3">
        <f t="shared" si="7"/>
        <v>70.853491621982201</v>
      </c>
    </row>
    <row r="80" spans="1:19" x14ac:dyDescent="0.25">
      <c r="A80">
        <v>87.5</v>
      </c>
      <c r="B80">
        <v>5320.5766599999997</v>
      </c>
      <c r="C80">
        <v>5039.3032199999998</v>
      </c>
      <c r="D80">
        <v>4778.4145500000004</v>
      </c>
      <c r="E80">
        <v>4972.7206999999999</v>
      </c>
      <c r="F80">
        <v>5694.7749000000003</v>
      </c>
      <c r="H80" s="2">
        <f t="shared" si="4"/>
        <v>5161.1580059999997</v>
      </c>
      <c r="I80" s="2">
        <f t="shared" si="5"/>
        <v>159.2185694383426</v>
      </c>
      <c r="K80">
        <v>87.5</v>
      </c>
      <c r="L80" t="s">
        <v>4</v>
      </c>
      <c r="M80">
        <v>5673.7407199999998</v>
      </c>
      <c r="N80">
        <v>5845.4174800000001</v>
      </c>
      <c r="O80">
        <v>5795.1152300000003</v>
      </c>
      <c r="P80">
        <v>5823.4511700000003</v>
      </c>
      <c r="R80" s="3">
        <f t="shared" si="6"/>
        <v>5784.4311500000003</v>
      </c>
      <c r="S80" s="3">
        <f t="shared" si="7"/>
        <v>38.306238902974066</v>
      </c>
    </row>
    <row r="81" spans="1:19" x14ac:dyDescent="0.25">
      <c r="A81">
        <v>88.75</v>
      </c>
      <c r="B81">
        <v>4530.3569299999999</v>
      </c>
      <c r="C81">
        <v>4364.2856400000001</v>
      </c>
      <c r="D81">
        <v>4114.9233400000003</v>
      </c>
      <c r="E81">
        <v>4321.5703100000001</v>
      </c>
      <c r="F81">
        <v>4878.6777300000003</v>
      </c>
      <c r="H81" s="2">
        <f t="shared" si="4"/>
        <v>4441.9627899999996</v>
      </c>
      <c r="I81" s="2">
        <f t="shared" si="5"/>
        <v>127.6746555770797</v>
      </c>
      <c r="K81">
        <v>88.75</v>
      </c>
      <c r="L81" t="s">
        <v>4</v>
      </c>
      <c r="M81">
        <v>4812.8872099999999</v>
      </c>
      <c r="N81">
        <v>4977.4555700000001</v>
      </c>
      <c r="O81">
        <v>5192.6831099999999</v>
      </c>
      <c r="P81">
        <v>4870.3266599999997</v>
      </c>
      <c r="R81" s="3">
        <f t="shared" si="6"/>
        <v>4963.3381374999999</v>
      </c>
      <c r="S81" s="3">
        <f t="shared" si="7"/>
        <v>83.708340307164704</v>
      </c>
    </row>
    <row r="82" spans="1:19" x14ac:dyDescent="0.25">
      <c r="A82">
        <v>90</v>
      </c>
      <c r="B82">
        <v>4187.6816399999998</v>
      </c>
      <c r="C82">
        <v>4000.1784699999998</v>
      </c>
      <c r="D82">
        <v>3732.8530300000002</v>
      </c>
      <c r="E82">
        <v>3911.0554200000001</v>
      </c>
      <c r="F82">
        <v>4256.8867200000004</v>
      </c>
      <c r="H82" s="2">
        <f t="shared" si="4"/>
        <v>4017.7310559999996</v>
      </c>
      <c r="I82" s="2">
        <f t="shared" si="5"/>
        <v>94.583800651636565</v>
      </c>
      <c r="K82">
        <v>90</v>
      </c>
      <c r="L82" t="s">
        <v>4</v>
      </c>
      <c r="M82">
        <v>4227.0913099999998</v>
      </c>
      <c r="N82">
        <v>4221.3950199999999</v>
      </c>
      <c r="O82">
        <v>4380.9834000000001</v>
      </c>
      <c r="P82">
        <v>4365.3027300000003</v>
      </c>
      <c r="R82" s="3">
        <f t="shared" si="6"/>
        <v>4298.693115</v>
      </c>
      <c r="S82" s="3">
        <f t="shared" si="7"/>
        <v>43.11838914132867</v>
      </c>
    </row>
    <row r="83" spans="1:19" x14ac:dyDescent="0.25">
      <c r="A83">
        <v>91.25</v>
      </c>
      <c r="B83">
        <v>4408.4355500000001</v>
      </c>
      <c r="C83">
        <v>4202.1298800000004</v>
      </c>
      <c r="D83">
        <v>3921.26953</v>
      </c>
      <c r="E83">
        <v>4102.6923800000004</v>
      </c>
      <c r="F83">
        <v>4459.28125</v>
      </c>
      <c r="H83" s="2">
        <f t="shared" si="4"/>
        <v>4218.7617179999997</v>
      </c>
      <c r="I83" s="2">
        <f t="shared" si="5"/>
        <v>99.014170450271152</v>
      </c>
      <c r="K83">
        <v>91.25</v>
      </c>
      <c r="L83" t="s">
        <v>4</v>
      </c>
      <c r="M83">
        <v>4383.0810499999998</v>
      </c>
      <c r="N83">
        <v>4481.3710899999996</v>
      </c>
      <c r="O83">
        <v>4427.0639600000004</v>
      </c>
      <c r="P83">
        <v>4615.3496100000002</v>
      </c>
      <c r="R83" s="3">
        <f t="shared" si="6"/>
        <v>4476.7164275000005</v>
      </c>
      <c r="S83" s="3">
        <f t="shared" si="7"/>
        <v>50.393267259851072</v>
      </c>
    </row>
    <row r="84" spans="1:19" x14ac:dyDescent="0.25">
      <c r="A84">
        <v>92.5</v>
      </c>
      <c r="B84">
        <v>4739.5366199999999</v>
      </c>
      <c r="C84">
        <v>4487.1230500000001</v>
      </c>
      <c r="D84">
        <v>4218.8432599999996</v>
      </c>
      <c r="E84">
        <v>4422.1757799999996</v>
      </c>
      <c r="F84">
        <v>4897.6987300000001</v>
      </c>
      <c r="H84" s="2">
        <f t="shared" si="4"/>
        <v>4553.0754880000004</v>
      </c>
      <c r="I84" s="2">
        <f t="shared" si="5"/>
        <v>119.73482629122269</v>
      </c>
      <c r="K84">
        <v>92.5</v>
      </c>
      <c r="L84" t="s">
        <v>4</v>
      </c>
      <c r="M84">
        <v>4830.6342800000002</v>
      </c>
      <c r="N84">
        <v>5019.1835899999996</v>
      </c>
      <c r="O84">
        <v>4915.4296899999999</v>
      </c>
      <c r="P84">
        <v>5121.9970700000003</v>
      </c>
      <c r="R84" s="3">
        <f t="shared" si="6"/>
        <v>4971.8111575000003</v>
      </c>
      <c r="S84" s="3">
        <f t="shared" si="7"/>
        <v>63.18605878180216</v>
      </c>
    </row>
    <row r="85" spans="1:19" x14ac:dyDescent="0.25">
      <c r="A85">
        <v>93.75</v>
      </c>
      <c r="B85">
        <v>4868.2177700000002</v>
      </c>
      <c r="C85">
        <v>4651.5131799999999</v>
      </c>
      <c r="D85">
        <v>4335.4326199999996</v>
      </c>
      <c r="E85">
        <v>4580.1581999999999</v>
      </c>
      <c r="F85">
        <v>5117.8564500000002</v>
      </c>
      <c r="H85" s="2">
        <f t="shared" si="4"/>
        <v>4710.635644</v>
      </c>
      <c r="I85" s="2">
        <f t="shared" si="5"/>
        <v>132.65708605930539</v>
      </c>
      <c r="K85">
        <v>93.75</v>
      </c>
      <c r="L85" t="s">
        <v>4</v>
      </c>
      <c r="M85">
        <v>5065.7983400000003</v>
      </c>
      <c r="N85">
        <v>5283.5795900000003</v>
      </c>
      <c r="O85">
        <v>5251.3447299999998</v>
      </c>
      <c r="P85">
        <v>5285.27441</v>
      </c>
      <c r="R85" s="3">
        <f t="shared" si="6"/>
        <v>5221.4992674999994</v>
      </c>
      <c r="S85" s="3">
        <f t="shared" si="7"/>
        <v>52.48393857394089</v>
      </c>
    </row>
    <row r="86" spans="1:19" x14ac:dyDescent="0.25">
      <c r="A86">
        <v>95</v>
      </c>
      <c r="B86">
        <v>4820.2783200000003</v>
      </c>
      <c r="C86">
        <v>4602.3374000000003</v>
      </c>
      <c r="D86">
        <v>4405.4355500000001</v>
      </c>
      <c r="E86">
        <v>4577.8798800000004</v>
      </c>
      <c r="F86">
        <v>5076.5815400000001</v>
      </c>
      <c r="H86" s="2">
        <f t="shared" si="4"/>
        <v>4696.5025380000006</v>
      </c>
      <c r="I86" s="2">
        <f t="shared" si="5"/>
        <v>115.63712459239973</v>
      </c>
      <c r="K86">
        <v>95</v>
      </c>
      <c r="L86" t="s">
        <v>4</v>
      </c>
      <c r="M86">
        <v>4998.3842800000002</v>
      </c>
      <c r="N86">
        <v>5171.0063499999997</v>
      </c>
      <c r="O86">
        <v>5183.5136700000003</v>
      </c>
      <c r="P86">
        <v>5215.9584999999997</v>
      </c>
      <c r="R86" s="3">
        <f t="shared" si="6"/>
        <v>5142.2156999999997</v>
      </c>
      <c r="S86" s="3">
        <f t="shared" si="7"/>
        <v>48.87049364101658</v>
      </c>
    </row>
    <row r="87" spans="1:19" x14ac:dyDescent="0.25">
      <c r="A87">
        <v>96.25</v>
      </c>
      <c r="B87">
        <v>4899.9589800000003</v>
      </c>
      <c r="C87">
        <v>4564.3017600000003</v>
      </c>
      <c r="D87">
        <v>4559.7831999999999</v>
      </c>
      <c r="E87">
        <v>4633.36816</v>
      </c>
      <c r="F87">
        <v>5149.1591799999997</v>
      </c>
      <c r="H87" s="2">
        <f t="shared" si="4"/>
        <v>4761.3142559999997</v>
      </c>
      <c r="I87" s="2">
        <f t="shared" si="5"/>
        <v>115.20523819685198</v>
      </c>
      <c r="K87">
        <v>96.25</v>
      </c>
      <c r="L87" t="s">
        <v>4</v>
      </c>
      <c r="M87">
        <v>4902.5717800000002</v>
      </c>
      <c r="N87">
        <v>5099.6914100000004</v>
      </c>
      <c r="O87">
        <v>4958.8764600000004</v>
      </c>
      <c r="P87">
        <v>5191.3872099999999</v>
      </c>
      <c r="R87" s="3">
        <f t="shared" si="6"/>
        <v>5038.1317150000004</v>
      </c>
      <c r="S87" s="3">
        <f t="shared" si="7"/>
        <v>65.786735123495319</v>
      </c>
    </row>
    <row r="88" spans="1:19" x14ac:dyDescent="0.25">
      <c r="A88">
        <v>97.5</v>
      </c>
      <c r="B88">
        <v>5291.6040000000003</v>
      </c>
      <c r="C88">
        <v>4864.7294899999997</v>
      </c>
      <c r="D88">
        <v>4915.1508800000001</v>
      </c>
      <c r="E88">
        <v>4946.1064500000002</v>
      </c>
      <c r="F88">
        <v>5549.9433600000002</v>
      </c>
      <c r="H88" s="2">
        <f t="shared" si="4"/>
        <v>5113.5068360000005</v>
      </c>
      <c r="I88" s="2">
        <f t="shared" si="5"/>
        <v>132.56198205037376</v>
      </c>
      <c r="K88">
        <v>97.5</v>
      </c>
      <c r="L88" t="s">
        <v>4</v>
      </c>
      <c r="M88">
        <v>5120.2456099999999</v>
      </c>
      <c r="N88">
        <v>5326.7954099999997</v>
      </c>
      <c r="O88">
        <v>4931.1855500000001</v>
      </c>
      <c r="P88">
        <v>5498.6333000000004</v>
      </c>
      <c r="R88" s="3">
        <f t="shared" si="6"/>
        <v>5219.2149675000001</v>
      </c>
      <c r="S88" s="3">
        <f t="shared" si="7"/>
        <v>123.28964379829603</v>
      </c>
    </row>
    <row r="89" spans="1:19" x14ac:dyDescent="0.25">
      <c r="A89">
        <v>98.75</v>
      </c>
      <c r="B89">
        <v>5646.0136700000003</v>
      </c>
      <c r="C89">
        <v>5200.1533200000003</v>
      </c>
      <c r="D89">
        <v>5249.4531200000001</v>
      </c>
      <c r="E89">
        <v>5257.62842</v>
      </c>
      <c r="F89">
        <v>5897.77783</v>
      </c>
      <c r="H89" s="2">
        <f t="shared" si="4"/>
        <v>5450.2052720000002</v>
      </c>
      <c r="I89" s="2">
        <f t="shared" si="5"/>
        <v>137.58186155156153</v>
      </c>
      <c r="K89">
        <v>98.75</v>
      </c>
      <c r="L89" t="s">
        <v>4</v>
      </c>
      <c r="M89">
        <v>5478.1923800000004</v>
      </c>
      <c r="N89">
        <v>5607.0429700000004</v>
      </c>
      <c r="O89">
        <v>5164.5073199999997</v>
      </c>
      <c r="P89">
        <v>5873.9609399999999</v>
      </c>
      <c r="R89" s="3">
        <f t="shared" si="6"/>
        <v>5530.9259025000001</v>
      </c>
      <c r="S89" s="3">
        <f t="shared" si="7"/>
        <v>147.34037886076169</v>
      </c>
    </row>
    <row r="90" spans="1:19" x14ac:dyDescent="0.25">
      <c r="A90">
        <v>100</v>
      </c>
      <c r="B90">
        <v>5786.0893599999999</v>
      </c>
      <c r="C90">
        <v>5277.3027300000003</v>
      </c>
      <c r="D90">
        <v>5342.2822299999998</v>
      </c>
      <c r="E90">
        <v>5395.9174800000001</v>
      </c>
      <c r="F90">
        <v>6011.7275399999999</v>
      </c>
      <c r="H90" s="2">
        <f t="shared" si="4"/>
        <v>5562.6638680000005</v>
      </c>
      <c r="I90" s="2">
        <f t="shared" si="5"/>
        <v>143.07000652562192</v>
      </c>
      <c r="K90">
        <v>100</v>
      </c>
      <c r="L90" t="s">
        <v>4</v>
      </c>
      <c r="M90">
        <v>5729.1289100000004</v>
      </c>
      <c r="N90">
        <v>5797.8320299999996</v>
      </c>
      <c r="O90">
        <v>5399.3427700000002</v>
      </c>
      <c r="P90">
        <v>6037.3999000000003</v>
      </c>
      <c r="R90" s="3">
        <f t="shared" si="6"/>
        <v>5740.9259025000001</v>
      </c>
      <c r="S90" s="3">
        <f t="shared" si="7"/>
        <v>131.64135114685465</v>
      </c>
    </row>
    <row r="91" spans="1:19" x14ac:dyDescent="0.25">
      <c r="A91">
        <v>101.25</v>
      </c>
      <c r="B91">
        <v>5541.3100599999998</v>
      </c>
      <c r="C91">
        <v>5011.0293000000001</v>
      </c>
      <c r="D91">
        <v>5106.7148399999996</v>
      </c>
      <c r="E91">
        <v>5219.1342800000002</v>
      </c>
      <c r="F91">
        <v>5750.4980500000001</v>
      </c>
      <c r="H91" s="2">
        <f t="shared" si="4"/>
        <v>5325.737306</v>
      </c>
      <c r="I91" s="2">
        <f t="shared" si="5"/>
        <v>138.79291709524514</v>
      </c>
      <c r="K91">
        <v>101.25</v>
      </c>
      <c r="L91" t="s">
        <v>4</v>
      </c>
      <c r="M91">
        <v>5639.0473599999996</v>
      </c>
      <c r="N91">
        <v>5654.4516599999997</v>
      </c>
      <c r="O91">
        <v>5308.1240200000002</v>
      </c>
      <c r="P91">
        <v>5798.0336900000002</v>
      </c>
      <c r="R91" s="3">
        <f t="shared" si="6"/>
        <v>5599.9141824999997</v>
      </c>
      <c r="S91" s="3">
        <f t="shared" si="7"/>
        <v>103.64144128401227</v>
      </c>
    </row>
    <row r="92" spans="1:19" x14ac:dyDescent="0.25">
      <c r="A92">
        <v>102.5</v>
      </c>
      <c r="B92">
        <v>5053.8125</v>
      </c>
      <c r="C92">
        <v>4518.4438499999997</v>
      </c>
      <c r="D92">
        <v>4668.15967</v>
      </c>
      <c r="E92">
        <v>4779.12842</v>
      </c>
      <c r="F92">
        <v>5282.4081999999999</v>
      </c>
      <c r="H92" s="2">
        <f t="shared" si="4"/>
        <v>4860.3905280000008</v>
      </c>
      <c r="I92" s="2">
        <f t="shared" si="5"/>
        <v>137.1121326309098</v>
      </c>
      <c r="K92">
        <v>102.5</v>
      </c>
      <c r="L92" t="s">
        <v>4</v>
      </c>
      <c r="M92">
        <v>5265.4589800000003</v>
      </c>
      <c r="N92">
        <v>5224.7377900000001</v>
      </c>
      <c r="O92">
        <v>4927.5112300000001</v>
      </c>
      <c r="P92">
        <v>5283.0029299999997</v>
      </c>
      <c r="R92" s="3">
        <f t="shared" si="6"/>
        <v>5175.1777325000003</v>
      </c>
      <c r="S92" s="3">
        <f t="shared" si="7"/>
        <v>83.452517750143429</v>
      </c>
    </row>
    <row r="93" spans="1:19" x14ac:dyDescent="0.25">
      <c r="A93">
        <v>103.75</v>
      </c>
      <c r="B93">
        <v>4436.1020500000004</v>
      </c>
      <c r="C93">
        <v>3916.0827599999998</v>
      </c>
      <c r="D93">
        <v>4170.2334000000001</v>
      </c>
      <c r="E93">
        <v>4193.5200199999999</v>
      </c>
      <c r="F93">
        <v>4697.9790000000003</v>
      </c>
      <c r="H93" s="2">
        <f t="shared" si="4"/>
        <v>4282.7834459999995</v>
      </c>
      <c r="I93" s="2">
        <f t="shared" si="5"/>
        <v>132.47618797025495</v>
      </c>
      <c r="K93">
        <v>103.75</v>
      </c>
      <c r="L93" t="s">
        <v>4</v>
      </c>
      <c r="M93">
        <v>4703.0893599999999</v>
      </c>
      <c r="N93">
        <v>4652.7592800000002</v>
      </c>
      <c r="O93">
        <v>4414.8344699999998</v>
      </c>
      <c r="P93">
        <v>4630.5795900000003</v>
      </c>
      <c r="R93" s="3">
        <f t="shared" si="6"/>
        <v>4600.3156749999998</v>
      </c>
      <c r="S93" s="3">
        <f t="shared" si="7"/>
        <v>63.660521514026911</v>
      </c>
    </row>
    <row r="94" spans="1:19" x14ac:dyDescent="0.25">
      <c r="A94">
        <v>105</v>
      </c>
      <c r="B94">
        <v>3851.2563500000001</v>
      </c>
      <c r="C94">
        <v>3418.1850599999998</v>
      </c>
      <c r="D94">
        <v>3716.4169900000002</v>
      </c>
      <c r="E94">
        <v>3662.3129899999999</v>
      </c>
      <c r="F94">
        <v>4101.9970700000003</v>
      </c>
      <c r="H94" s="2">
        <f t="shared" si="4"/>
        <v>3750.033692</v>
      </c>
      <c r="I94" s="2">
        <f t="shared" si="5"/>
        <v>112.48839156080891</v>
      </c>
      <c r="K94">
        <v>105</v>
      </c>
      <c r="L94" t="s">
        <v>4</v>
      </c>
      <c r="M94">
        <v>4109.0986300000004</v>
      </c>
      <c r="N94">
        <v>4071.6140099999998</v>
      </c>
      <c r="O94">
        <v>3855.0080600000001</v>
      </c>
      <c r="P94">
        <v>3991.6616199999999</v>
      </c>
      <c r="R94" s="3">
        <f t="shared" si="6"/>
        <v>4006.8455800000002</v>
      </c>
      <c r="S94" s="3">
        <f t="shared" si="7"/>
        <v>56.225602768370742</v>
      </c>
    </row>
    <row r="95" spans="1:19" x14ac:dyDescent="0.25">
      <c r="A95">
        <v>106.25</v>
      </c>
      <c r="B95">
        <v>3505.07251</v>
      </c>
      <c r="C95">
        <v>3152.3811000000001</v>
      </c>
      <c r="D95">
        <v>3412.6904300000001</v>
      </c>
      <c r="E95">
        <v>3338.38184</v>
      </c>
      <c r="F95">
        <v>3709.1523400000001</v>
      </c>
      <c r="H95" s="2">
        <f t="shared" si="4"/>
        <v>3423.5356440000005</v>
      </c>
      <c r="I95" s="2">
        <f t="shared" si="5"/>
        <v>91.956167081192135</v>
      </c>
      <c r="K95">
        <v>106.25</v>
      </c>
      <c r="L95" t="s">
        <v>4</v>
      </c>
      <c r="M95">
        <v>3714.8364299999998</v>
      </c>
      <c r="N95">
        <v>3656.3479000000002</v>
      </c>
      <c r="O95">
        <v>3418.20264</v>
      </c>
      <c r="P95">
        <v>3630.3806199999999</v>
      </c>
      <c r="R95" s="3">
        <f t="shared" si="6"/>
        <v>3604.9418974999999</v>
      </c>
      <c r="S95" s="3">
        <f t="shared" si="7"/>
        <v>64.703209773876281</v>
      </c>
    </row>
    <row r="96" spans="1:19" x14ac:dyDescent="0.25">
      <c r="A96">
        <v>107.5</v>
      </c>
      <c r="B96">
        <v>3336.52295</v>
      </c>
      <c r="C96">
        <v>2993.9602100000002</v>
      </c>
      <c r="D96">
        <v>3243.29907</v>
      </c>
      <c r="E96">
        <v>3171.1608900000001</v>
      </c>
      <c r="F96">
        <v>3518.8877000000002</v>
      </c>
      <c r="H96" s="2">
        <f t="shared" si="4"/>
        <v>3252.7661639999997</v>
      </c>
      <c r="I96" s="2">
        <f t="shared" si="5"/>
        <v>87.05327092169459</v>
      </c>
      <c r="K96">
        <v>107.5</v>
      </c>
      <c r="L96" t="s">
        <v>4</v>
      </c>
      <c r="M96">
        <v>3517.0615200000002</v>
      </c>
      <c r="N96">
        <v>3417.6750499999998</v>
      </c>
      <c r="O96">
        <v>3189.4633800000001</v>
      </c>
      <c r="P96">
        <v>3451.1154799999999</v>
      </c>
      <c r="R96" s="3">
        <f t="shared" si="6"/>
        <v>3393.8288575000001</v>
      </c>
      <c r="S96" s="3">
        <f t="shared" si="7"/>
        <v>71.181654656031554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BRIGHT!OCT_RAW___\AD01_drusen__make_Excel\_dark_profiles_AD01_DARK</vt:lpstr>
      <vt:lpstr>BRIGHT!OCT_RAW___\AD01_drusen__make_Excel\_light_profiles_AD01_LIGHT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2019-11-16T23:33:33Z</dcterms:modified>
</cp:coreProperties>
</file>