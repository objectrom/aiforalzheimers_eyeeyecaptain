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942\"/>
    </mc:Choice>
  </mc:AlternateContent>
  <xr:revisionPtr revIDLastSave="0" documentId="13_ncr:1_{3820F722-A811-4459-A6DE-ED652F098DBD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5\_dark_profiles_CO05_DARK" localSheetId="0">BRIGHT!$A$2:$F$96</definedName>
    <definedName name="OCT_RAW___\CO05\_fovea_dark_profiles_CO05_DARK" localSheetId="0">BRIGHT!#REF!</definedName>
    <definedName name="OCT_RAW___\CO05\_fovea_light_profiles_CO05_LIGHT" localSheetId="0">BRIGHT!#REF!</definedName>
    <definedName name="OCT_RAW___\CO05\_light_profiles_CO05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905922-3904-4B1A-A80E-AE96FCEB26A3}" name="[[[OCT RAW]]]\CO05\_dark_profiles_CO05_DARK" type="6" refreshedVersion="6" background="1" saveData="1">
    <textPr codePage="437" sourceFile="E:\[Documents]\[[[OCT RAW]]]\CO05\_dark_profiles_CO05_DARK.txt" space="1" consecutive="1">
      <textFields count="6">
        <textField/>
        <textField/>
        <textField/>
        <textField/>
        <textField/>
        <textField/>
      </textFields>
    </textPr>
  </connection>
  <connection id="2" xr16:uid="{E4341ADF-249B-422F-9A6E-E5A8781FE3E7}" name="[[[OCT RAW]]]\CO05\_light_profiles_CO05_LIGHT" type="6" refreshedVersion="6" background="1" saveData="1">
    <textPr codePage="437" sourceFile="E:\[Documents]\[[[OCT RAW]]]\CO05\_light_profiles_CO05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<sst xmlns="http://schemas.openxmlformats.org/spreadsheetml/2006/main" count="12" uniqueCount="8">
  <si>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</si>
  <si>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</si>
  <si>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</si>
  <si>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</si>
  <si>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</si>
  <si>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</si>
  <si>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CO942_DARK</t>
  </si>
  <si>
    <t>CO942_LIGHT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</si>
</sst>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1144.0196000000001</c:v>
                </c:pt>
                <c:pt idx="1">
                  <c:v>1348.3478</c:v>
                </c:pt>
                <c:pt idx="2">
                  <c:v>1743.4459999999999</c:v>
                </c:pt>
                <c:pt idx="3">
                  <c:v>2251.2417999999998</c:v>
                </c:pt>
                <c:pt idx="4">
                  <c:v>2808.7069999999999</c:v>
                </c:pt>
                <c:pt idx="5">
                  <c:v>3125.1658000000002</c:v>
                </c:pt>
                <c:pt idx="6">
                  <c:v>3283.3270000000002</c:v>
                </c:pt>
                <c:pt idx="7">
                  <c:v>3366.4546</c:v>
                </c:pt>
                <c:pt idx="8">
                  <c:v>3361.9784</c:v>
                </c:pt>
                <c:pt idx="9">
                  <c:v>3276.9957999999997</c:v>
                </c:pt>
                <c:pt idx="10">
                  <c:v>3094.614</c:v>
                </c:pt>
                <c:pt idx="11">
                  <c:v>2744.3252000000002</c:v>
                </c:pt>
                <c:pt idx="12">
                  <c:v>2495.2709999999997</c:v>
                </c:pt>
                <c:pt idx="13">
                  <c:v>2352.0965999999999</c:v>
                </c:pt>
                <c:pt idx="14">
                  <c:v>2289.2375999999999</c:v>
                </c:pt>
                <c:pt idx="15">
                  <c:v>2269.1716000000001</c:v>
                </c:pt>
                <c:pt idx="16">
                  <c:v>2267.1702</c:v>
                </c:pt>
                <c:pt idx="17">
                  <c:v>2260.8413999999998</c:v>
                </c:pt>
                <c:pt idx="18">
                  <c:v>2261.4955999999997</c:v>
                </c:pt>
                <c:pt idx="19">
                  <c:v>2273.3915999999999</c:v>
                </c:pt>
                <c:pt idx="20">
                  <c:v>2289.7828</c:v>
                </c:pt>
                <c:pt idx="21">
                  <c:v>2302.7619999999997</c:v>
                </c:pt>
                <c:pt idx="22">
                  <c:v>2309.3088000000002</c:v>
                </c:pt>
                <c:pt idx="23">
                  <c:v>2323.1528000000003</c:v>
                </c:pt>
                <c:pt idx="24">
                  <c:v>2349.8955999999998</c:v>
                </c:pt>
                <c:pt idx="25">
                  <c:v>2377.1954000000001</c:v>
                </c:pt>
                <c:pt idx="26">
                  <c:v>2385.1951999999997</c:v>
                </c:pt>
                <c:pt idx="27">
                  <c:v>2392.2143999999998</c:v>
                </c:pt>
                <c:pt idx="28">
                  <c:v>2406.4168</c:v>
                </c:pt>
                <c:pt idx="29">
                  <c:v>2406.0075999999999</c:v>
                </c:pt>
                <c:pt idx="30">
                  <c:v>2398.3163999999997</c:v>
                </c:pt>
                <c:pt idx="31">
                  <c:v>2371.0937999999996</c:v>
                </c:pt>
                <c:pt idx="32">
                  <c:v>2265.1806000000001</c:v>
                </c:pt>
                <c:pt idx="33">
                  <c:v>2092.6109999999999</c:v>
                </c:pt>
                <c:pt idx="34">
                  <c:v>1916.1080000000002</c:v>
                </c:pt>
                <c:pt idx="35">
                  <c:v>1825.9752000000001</c:v>
                </c:pt>
                <c:pt idx="36">
                  <c:v>1798.3670000000002</c:v>
                </c:pt>
                <c:pt idx="37">
                  <c:v>1801.3542000000002</c:v>
                </c:pt>
                <c:pt idx="38">
                  <c:v>1828.3430000000001</c:v>
                </c:pt>
                <c:pt idx="39">
                  <c:v>1905.9</c:v>
                </c:pt>
                <c:pt idx="40">
                  <c:v>2019.6572000000001</c:v>
                </c:pt>
                <c:pt idx="41">
                  <c:v>2114.1113999999998</c:v>
                </c:pt>
                <c:pt idx="42">
                  <c:v>2169.2248</c:v>
                </c:pt>
                <c:pt idx="43">
                  <c:v>2186.7731999999996</c:v>
                </c:pt>
                <c:pt idx="44">
                  <c:v>2201.3476000000001</c:v>
                </c:pt>
                <c:pt idx="45">
                  <c:v>2224.8750000000005</c:v>
                </c:pt>
                <c:pt idx="46">
                  <c:v>2224.2272000000003</c:v>
                </c:pt>
                <c:pt idx="47">
                  <c:v>2176.9992000000002</c:v>
                </c:pt>
                <c:pt idx="48">
                  <c:v>2083.5198</c:v>
                </c:pt>
                <c:pt idx="49">
                  <c:v>1950.5876000000001</c:v>
                </c:pt>
                <c:pt idx="50">
                  <c:v>1861.2804000000001</c:v>
                </c:pt>
                <c:pt idx="51">
                  <c:v>1779.9554000000001</c:v>
                </c:pt>
                <c:pt idx="52">
                  <c:v>1709.0594000000001</c:v>
                </c:pt>
                <c:pt idx="53">
                  <c:v>1643.7259999999999</c:v>
                </c:pt>
                <c:pt idx="54">
                  <c:v>1583.127</c:v>
                </c:pt>
                <c:pt idx="55">
                  <c:v>1527.7974000000002</c:v>
                </c:pt>
                <c:pt idx="56">
                  <c:v>1466.3976</c:v>
                </c:pt>
                <c:pt idx="57">
                  <c:v>1408.9926</c:v>
                </c:pt>
                <c:pt idx="58">
                  <c:v>1366.6438000000001</c:v>
                </c:pt>
                <c:pt idx="59">
                  <c:v>1343.5539999999999</c:v>
                </c:pt>
                <c:pt idx="60">
                  <c:v>1338.3432</c:v>
                </c:pt>
                <c:pt idx="61">
                  <c:v>1345.0744</c:v>
                </c:pt>
                <c:pt idx="62">
                  <c:v>1374.3795999999998</c:v>
                </c:pt>
                <c:pt idx="63">
                  <c:v>1436.7398000000001</c:v>
                </c:pt>
                <c:pt idx="64">
                  <c:v>1520.7061999999999</c:v>
                </c:pt>
                <c:pt idx="65">
                  <c:v>1558.511</c:v>
                </c:pt>
                <c:pt idx="66">
                  <c:v>1521.1468</c:v>
                </c:pt>
                <c:pt idx="67">
                  <c:v>1491.1736000000001</c:v>
                </c:pt>
                <c:pt idx="68">
                  <c:v>1682.5876000000001</c:v>
                </c:pt>
                <c:pt idx="69">
                  <c:v>2280.9854</c:v>
                </c:pt>
                <c:pt idx="70">
                  <c:v>3099.1456000000003</c:v>
                </c:pt>
                <c:pt idx="71">
                  <c:v>3706.8681999999999</c:v>
                </c:pt>
                <c:pt idx="72">
                  <c:v>3791.3751999999999</c:v>
                </c:pt>
                <c:pt idx="73">
                  <c:v>3390.9175999999998</c:v>
                </c:pt>
                <c:pt idx="74">
                  <c:v>2880.2948000000001</c:v>
                </c:pt>
                <c:pt idx="75">
                  <c:v>2696.5128</c:v>
                </c:pt>
                <c:pt idx="76">
                  <c:v>2821.3293999999996</c:v>
                </c:pt>
                <c:pt idx="77">
                  <c:v>3006.0072</c:v>
                </c:pt>
                <c:pt idx="78">
                  <c:v>3192.5688</c:v>
                </c:pt>
                <c:pt idx="79">
                  <c:v>3370.232</c:v>
                </c:pt>
                <c:pt idx="80">
                  <c:v>3496.5641999999998</c:v>
                </c:pt>
                <c:pt idx="81">
                  <c:v>3651.0948000000003</c:v>
                </c:pt>
                <c:pt idx="82">
                  <c:v>3852.0377999999996</c:v>
                </c:pt>
                <c:pt idx="83">
                  <c:v>3937.1313999999998</c:v>
                </c:pt>
                <c:pt idx="84">
                  <c:v>3805.4720000000002</c:v>
                </c:pt>
                <c:pt idx="85">
                  <c:v>3542.7344000000003</c:v>
                </c:pt>
                <c:pt idx="86">
                  <c:v>3186.7806</c:v>
                </c:pt>
                <c:pt idx="87">
                  <c:v>2809.1125999999999</c:v>
                </c:pt>
                <c:pt idx="88">
                  <c:v>2566.2601999999997</c:v>
                </c:pt>
                <c:pt idx="89">
                  <c:v>2456.5680000000002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1003.4919999999998</c:v>
                </c:pt>
                <c:pt idx="1">
                  <c:v>1195.9869999999996</c:v>
                </c:pt>
                <c:pt idx="2">
                  <c:v>1552.0283999999999</c:v>
                </c:pt>
                <c:pt idx="3">
                  <c:v>1994.2696000000001</c:v>
                </c:pt>
                <c:pt idx="4">
                  <c:v>2496.8094000000001</c:v>
                </c:pt>
                <c:pt idx="5">
                  <c:v>2793.9356000000002</c:v>
                </c:pt>
                <c:pt idx="6">
                  <c:v>2925.4182000000001</c:v>
                </c:pt>
                <c:pt idx="7">
                  <c:v>3008.2334000000001</c:v>
                </c:pt>
                <c:pt idx="8">
                  <c:v>3011.9981999999995</c:v>
                </c:pt>
                <c:pt idx="9">
                  <c:v>2952.1761999999999</c:v>
                </c:pt>
                <c:pt idx="10">
                  <c:v>2767.2512000000002</c:v>
                </c:pt>
                <c:pt idx="11">
                  <c:v>2434.5675999999999</c:v>
                </c:pt>
                <c:pt idx="12">
                  <c:v>2201.3509999999997</c:v>
                </c:pt>
                <c:pt idx="13">
                  <c:v>2073.3733999999999</c:v>
                </c:pt>
                <c:pt idx="14">
                  <c:v>2021.5128</c:v>
                </c:pt>
                <c:pt idx="15">
                  <c:v>2005.4023999999997</c:v>
                </c:pt>
                <c:pt idx="16">
                  <c:v>1998.5004000000001</c:v>
                </c:pt>
                <c:pt idx="17">
                  <c:v>1994.6184000000001</c:v>
                </c:pt>
                <c:pt idx="18">
                  <c:v>1991.3596000000002</c:v>
                </c:pt>
                <c:pt idx="19">
                  <c:v>2003.1328000000001</c:v>
                </c:pt>
                <c:pt idx="20">
                  <c:v>2021.5416</c:v>
                </c:pt>
                <c:pt idx="21">
                  <c:v>2032.9814000000001</c:v>
                </c:pt>
                <c:pt idx="22">
                  <c:v>2037.8256000000001</c:v>
                </c:pt>
                <c:pt idx="23">
                  <c:v>2054.819</c:v>
                </c:pt>
                <c:pt idx="24">
                  <c:v>2087.4425999999999</c:v>
                </c:pt>
                <c:pt idx="25">
                  <c:v>2118.3251999999998</c:v>
                </c:pt>
                <c:pt idx="26">
                  <c:v>2125.8861999999999</c:v>
                </c:pt>
                <c:pt idx="27">
                  <c:v>2139.7988</c:v>
                </c:pt>
                <c:pt idx="28">
                  <c:v>2163.8263999999999</c:v>
                </c:pt>
                <c:pt idx="29">
                  <c:v>2164.7942000000003</c:v>
                </c:pt>
                <c:pt idx="30">
                  <c:v>2154.9348</c:v>
                </c:pt>
                <c:pt idx="31">
                  <c:v>2126.1795999999999</c:v>
                </c:pt>
                <c:pt idx="32">
                  <c:v>2031.3181999999997</c:v>
                </c:pt>
                <c:pt idx="33">
                  <c:v>1876.3718000000001</c:v>
                </c:pt>
                <c:pt idx="34">
                  <c:v>1721.3732</c:v>
                </c:pt>
                <c:pt idx="35">
                  <c:v>1633.5920000000001</c:v>
                </c:pt>
                <c:pt idx="36">
                  <c:v>1605.3813999999998</c:v>
                </c:pt>
                <c:pt idx="37">
                  <c:v>1611.9121999999998</c:v>
                </c:pt>
                <c:pt idx="38">
                  <c:v>1636.4272000000001</c:v>
                </c:pt>
                <c:pt idx="39">
                  <c:v>1693.3193999999999</c:v>
                </c:pt>
                <c:pt idx="40">
                  <c:v>1801.0536</c:v>
                </c:pt>
                <c:pt idx="41">
                  <c:v>1894.0735999999997</c:v>
                </c:pt>
                <c:pt idx="42">
                  <c:v>1944.4046000000003</c:v>
                </c:pt>
                <c:pt idx="43">
                  <c:v>1959.4492000000002</c:v>
                </c:pt>
                <c:pt idx="44">
                  <c:v>1965.1383999999998</c:v>
                </c:pt>
                <c:pt idx="45">
                  <c:v>1985.2392</c:v>
                </c:pt>
                <c:pt idx="46">
                  <c:v>1976.4044000000001</c:v>
                </c:pt>
                <c:pt idx="47">
                  <c:v>1921.4928</c:v>
                </c:pt>
                <c:pt idx="48">
                  <c:v>1838.1237999999998</c:v>
                </c:pt>
                <c:pt idx="49">
                  <c:v>1721.6368000000002</c:v>
                </c:pt>
                <c:pt idx="50">
                  <c:v>1638.6110000000001</c:v>
                </c:pt>
                <c:pt idx="51">
                  <c:v>1569.0001999999999</c:v>
                </c:pt>
                <c:pt idx="52">
                  <c:v>1507.5398</c:v>
                </c:pt>
                <c:pt idx="53">
                  <c:v>1451.9436000000001</c:v>
                </c:pt>
                <c:pt idx="54">
                  <c:v>1403.1166000000001</c:v>
                </c:pt>
                <c:pt idx="55">
                  <c:v>1360.181</c:v>
                </c:pt>
                <c:pt idx="56">
                  <c:v>1321.8324</c:v>
                </c:pt>
                <c:pt idx="57">
                  <c:v>1284.6554000000001</c:v>
                </c:pt>
                <c:pt idx="58">
                  <c:v>1250.9926</c:v>
                </c:pt>
                <c:pt idx="59">
                  <c:v>1232.5162</c:v>
                </c:pt>
                <c:pt idx="60">
                  <c:v>1227.0441999999998</c:v>
                </c:pt>
                <c:pt idx="61">
                  <c:v>1236.3478</c:v>
                </c:pt>
                <c:pt idx="62">
                  <c:v>1266.2180000000001</c:v>
                </c:pt>
                <c:pt idx="63">
                  <c:v>1334.3933999999999</c:v>
                </c:pt>
                <c:pt idx="64">
                  <c:v>1420.5268000000001</c:v>
                </c:pt>
                <c:pt idx="65">
                  <c:v>1458.077</c:v>
                </c:pt>
                <c:pt idx="66">
                  <c:v>1421.6722</c:v>
                </c:pt>
                <c:pt idx="67">
                  <c:v>1415.8152</c:v>
                </c:pt>
                <c:pt idx="68">
                  <c:v>1658.7657999999999</c:v>
                </c:pt>
                <c:pt idx="69">
                  <c:v>2281.9331999999999</c:v>
                </c:pt>
                <c:pt idx="70">
                  <c:v>3111.538</c:v>
                </c:pt>
                <c:pt idx="71">
                  <c:v>3734.8245999999999</c:v>
                </c:pt>
                <c:pt idx="72">
                  <c:v>3841.6815999999999</c:v>
                </c:pt>
                <c:pt idx="73">
                  <c:v>3447.3976000000002</c:v>
                </c:pt>
                <c:pt idx="74">
                  <c:v>2915.9666000000002</c:v>
                </c:pt>
                <c:pt idx="75">
                  <c:v>2731.0121999999997</c:v>
                </c:pt>
                <c:pt idx="76">
                  <c:v>2933.0281999999997</c:v>
                </c:pt>
                <c:pt idx="77">
                  <c:v>3183.7287999999999</c:v>
                </c:pt>
                <c:pt idx="78">
                  <c:v>3343.4343999999996</c:v>
                </c:pt>
                <c:pt idx="79">
                  <c:v>3393.3616000000002</c:v>
                </c:pt>
                <c:pt idx="80">
                  <c:v>3380.8014000000003</c:v>
                </c:pt>
                <c:pt idx="81">
                  <c:v>3437.0924</c:v>
                </c:pt>
                <c:pt idx="82">
                  <c:v>3618.4154000000003</c:v>
                </c:pt>
                <c:pt idx="83">
                  <c:v>3721.2100000000005</c:v>
                </c:pt>
                <c:pt idx="84">
                  <c:v>3605.4358000000002</c:v>
                </c:pt>
                <c:pt idx="85">
                  <c:v>3354.8789999999999</c:v>
                </c:pt>
                <c:pt idx="86">
                  <c:v>3019.1019999999999</c:v>
                </c:pt>
                <c:pt idx="87">
                  <c:v>2657.6733999999997</c:v>
                </c:pt>
                <c:pt idx="88">
                  <c:v>2418.2828</c:v>
                </c:pt>
                <c:pt idx="89">
                  <c:v>2316.7724000000003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5\_light_profiles_CO05_LIGHT" connectionId="2" xr16:uid="{906FD142-FB26-4F29-B0B1-077A8DDF66B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5\_dark_profiles_CO05_DARK" connectionId="1" xr16:uid="{FC8A02A3-0A2A-4D59-8FAE-88A1DAB480B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-3.3170000000000002</v>
      </c>
      <c r="C3">
        <v>-3.9470000000000001</v>
      </c>
      <c r="D3">
        <v>-5.5919999999999996</v>
      </c>
      <c r="E3">
        <v>-3.2389999999999999</v>
      </c>
      <c r="F3">
        <v>-2.2930000000000001</v>
      </c>
      <c r="K3" t="s">
        <v>0</v>
      </c>
      <c r="L3">
        <v>-1.57</v>
      </c>
      <c r="M3">
        <v>-3.5819999999999999</v>
      </c>
      <c r="N3">
        <v>-4.2430000000000003</v>
      </c>
      <c r="O3">
        <v>-1.448</v>
      </c>
      <c r="P3">
        <v>-3.6360000000000001</v>
      </c>
    </row>
    <row r="4" spans="1:19" x14ac:dyDescent="0.25">
      <c r="A4" t="s">
        <v>1</v>
      </c>
      <c r="B4">
        <v>317.40199999999999</v>
      </c>
      <c r="C4">
        <v>317.178</v>
      </c>
      <c r="D4">
        <v>316.69</v>
      </c>
      <c r="E4">
        <v>316.76299999999998</v>
      </c>
      <c r="F4">
        <v>317.07100000000003</v>
      </c>
      <c r="H4" s="2">
        <f>AVERAGE(B4:F4)</f>
        <v>317.02079999999995</v>
      </c>
      <c r="I4" s="2">
        <f>STDEV(B4:F4)/SQRT(COUNT(B4:F4))</f>
        <v>0.13199143911633154</v>
      </c>
      <c r="K4" t="s">
        <v>1</v>
      </c>
      <c r="L4">
        <v>315.827</v>
      </c>
      <c r="M4">
        <v>317.43799999999999</v>
      </c>
      <c r="N4">
        <v>317.33100000000002</v>
      </c>
      <c r="O4">
        <v>317.05500000000001</v>
      </c>
      <c r="P4">
        <v>317.839</v>
      </c>
      <c r="R4" s="3">
        <f>AVERAGE(L4:P4)</f>
        <v>317.09800000000001</v>
      </c>
      <c r="S4" s="3">
        <f>STDEV(L4:P4)/SQRT(COUNT(L4:P4))</f>
        <v>0.34177916846993484</v>
      </c>
    </row>
    <row r="5" spans="1:19" x14ac:dyDescent="0.25">
      <c r="A5" t="s">
        <v>2</v>
      </c>
      <c r="B5">
        <v>69.36</v>
      </c>
      <c r="C5">
        <v>68.308999999999997</v>
      </c>
      <c r="D5">
        <v>68.774000000000001</v>
      </c>
      <c r="E5">
        <v>69.006</v>
      </c>
      <c r="F5">
        <v>69.156000000000006</v>
      </c>
      <c r="H5" s="2">
        <f t="shared" ref="H5:H68" si="0">AVERAGE(B5:F5)</f>
        <v>68.920999999999992</v>
      </c>
      <c r="I5" s="2">
        <f t="shared" ref="I5:I68" si="1">STDEV(B5:F5)/SQRT(COUNT(B5:F5))</f>
        <v>0.18046107613554857</v>
      </c>
      <c r="K5" t="s">
        <v>2</v>
      </c>
      <c r="L5">
        <v>68.721999999999994</v>
      </c>
      <c r="M5">
        <v>68.745999999999995</v>
      </c>
      <c r="N5">
        <v>69.031000000000006</v>
      </c>
      <c r="O5">
        <v>68.424000000000007</v>
      </c>
      <c r="P5">
        <v>68.620999999999995</v>
      </c>
      <c r="R5" s="3">
        <f t="shared" ref="R5:R68" si="2">AVERAGE(L5:P5)</f>
        <v>68.708799999999997</v>
      </c>
      <c r="S5" s="3">
        <f t="shared" ref="S5:S68" si="3">STDEV(L5:P5)/SQRT(COUNT(L5:P5))</f>
        <v>9.8536998127606967E-2</v>
      </c>
    </row>
    <row r="6" spans="1:19" x14ac:dyDescent="0.25">
      <c r="A6" t="s">
        <v>3</v>
      </c>
      <c r="B6">
        <v>39.527999999999999</v>
      </c>
      <c r="C6">
        <v>38.548999999999999</v>
      </c>
      <c r="D6">
        <v>36.494999999999997</v>
      </c>
      <c r="E6">
        <v>37.146000000000001</v>
      </c>
      <c r="F6">
        <v>39.011000000000003</v>
      </c>
      <c r="H6" s="2">
        <f t="shared" si="0"/>
        <v>38.145800000000001</v>
      </c>
      <c r="I6" s="2">
        <f t="shared" si="1"/>
        <v>0.57211706843966847</v>
      </c>
      <c r="K6" t="s">
        <v>3</v>
      </c>
      <c r="L6">
        <v>38.543999999999997</v>
      </c>
      <c r="M6">
        <v>39.412999999999997</v>
      </c>
      <c r="N6">
        <v>38.671999999999997</v>
      </c>
      <c r="O6">
        <v>39.981000000000002</v>
      </c>
      <c r="P6">
        <v>38.786000000000001</v>
      </c>
      <c r="R6" s="3">
        <f t="shared" si="2"/>
        <v>39.0792</v>
      </c>
      <c r="S6" s="3">
        <f t="shared" si="3"/>
        <v>0.27045173321685384</v>
      </c>
    </row>
    <row r="7" spans="1:19" x14ac:dyDescent="0.25">
      <c r="A7">
        <v>-3.75</v>
      </c>
      <c r="B7">
        <v>952.23900000000003</v>
      </c>
      <c r="C7">
        <v>1070.7380000000001</v>
      </c>
      <c r="D7">
        <v>1346.335</v>
      </c>
      <c r="E7">
        <v>1279.018</v>
      </c>
      <c r="F7">
        <v>1071.768</v>
      </c>
      <c r="H7" s="2">
        <f t="shared" si="0"/>
        <v>1144.0196000000001</v>
      </c>
      <c r="I7" s="2">
        <f t="shared" si="1"/>
        <v>72.981632695220313</v>
      </c>
      <c r="K7">
        <v>-3.75</v>
      </c>
      <c r="L7">
        <v>1175.569</v>
      </c>
      <c r="M7">
        <v>961.47699999999998</v>
      </c>
      <c r="N7">
        <v>965.5</v>
      </c>
      <c r="O7">
        <v>1033.1210000000001</v>
      </c>
      <c r="P7">
        <v>881.79300000000001</v>
      </c>
      <c r="R7" s="3">
        <f t="shared" si="2"/>
        <v>1003.4919999999998</v>
      </c>
      <c r="S7" s="3">
        <f t="shared" si="3"/>
        <v>49.248182941099458</v>
      </c>
    </row>
    <row r="8" spans="1:19" x14ac:dyDescent="0.25">
      <c r="A8">
        <v>-2.5</v>
      </c>
      <c r="B8">
        <v>1145.171</v>
      </c>
      <c r="C8">
        <v>1267.6189999999999</v>
      </c>
      <c r="D8">
        <v>1541.048</v>
      </c>
      <c r="E8">
        <v>1514.097</v>
      </c>
      <c r="F8">
        <v>1273.8040000000001</v>
      </c>
      <c r="H8" s="2">
        <f t="shared" si="0"/>
        <v>1348.3478</v>
      </c>
      <c r="I8" s="2">
        <f t="shared" si="1"/>
        <v>76.798728409655453</v>
      </c>
      <c r="K8">
        <v>-2.5</v>
      </c>
      <c r="L8">
        <v>1411.675</v>
      </c>
      <c r="M8">
        <v>1122.1089999999999</v>
      </c>
      <c r="N8">
        <v>1136.347</v>
      </c>
      <c r="O8">
        <v>1255.0239999999999</v>
      </c>
      <c r="P8">
        <v>1054.78</v>
      </c>
      <c r="R8" s="3">
        <f t="shared" si="2"/>
        <v>1195.9869999999996</v>
      </c>
      <c r="S8" s="3">
        <f t="shared" si="3"/>
        <v>62.833504615771339</v>
      </c>
    </row>
    <row r="9" spans="1:19" x14ac:dyDescent="0.25">
      <c r="A9">
        <v>-1.25</v>
      </c>
      <c r="B9">
        <v>1492.2660000000001</v>
      </c>
      <c r="C9">
        <v>1640.3879999999999</v>
      </c>
      <c r="D9">
        <v>1941.213</v>
      </c>
      <c r="E9">
        <v>1973.79</v>
      </c>
      <c r="F9">
        <v>1669.5730000000001</v>
      </c>
      <c r="H9" s="2">
        <f t="shared" si="0"/>
        <v>1743.4459999999999</v>
      </c>
      <c r="I9" s="2">
        <f t="shared" si="1"/>
        <v>92.558011138421222</v>
      </c>
      <c r="K9">
        <v>-1.25</v>
      </c>
      <c r="L9">
        <v>1831.9860000000001</v>
      </c>
      <c r="M9">
        <v>1430.674</v>
      </c>
      <c r="N9">
        <v>1444.1949999999999</v>
      </c>
      <c r="O9">
        <v>1673.548</v>
      </c>
      <c r="P9">
        <v>1379.739</v>
      </c>
      <c r="R9" s="3">
        <f t="shared" si="2"/>
        <v>1552.0283999999999</v>
      </c>
      <c r="S9" s="3">
        <f t="shared" si="3"/>
        <v>86.366035248007236</v>
      </c>
    </row>
    <row r="10" spans="1:19" x14ac:dyDescent="0.25">
      <c r="A10">
        <v>0</v>
      </c>
      <c r="B10">
        <v>1939.348</v>
      </c>
      <c r="C10">
        <v>2133.2649999999999</v>
      </c>
      <c r="D10">
        <v>2453.6329999999998</v>
      </c>
      <c r="E10">
        <v>2550.1460000000002</v>
      </c>
      <c r="F10">
        <v>2179.817</v>
      </c>
      <c r="H10" s="2">
        <f t="shared" si="0"/>
        <v>2251.2417999999998</v>
      </c>
      <c r="I10" s="2">
        <f t="shared" si="1"/>
        <v>111.04136357385028</v>
      </c>
      <c r="K10">
        <v>0</v>
      </c>
      <c r="L10">
        <v>2336.7869999999998</v>
      </c>
      <c r="M10">
        <v>1793.9349999999999</v>
      </c>
      <c r="N10">
        <v>1841.519</v>
      </c>
      <c r="O10">
        <v>2201.192</v>
      </c>
      <c r="P10">
        <v>1797.915</v>
      </c>
      <c r="R10" s="3">
        <f t="shared" si="2"/>
        <v>1994.2696000000001</v>
      </c>
      <c r="S10" s="3">
        <f t="shared" si="3"/>
        <v>114.48949201197463</v>
      </c>
    </row>
    <row r="11" spans="1:19" x14ac:dyDescent="0.25">
      <c r="A11">
        <v>1.25</v>
      </c>
      <c r="B11">
        <v>2452.0610000000001</v>
      </c>
      <c r="C11">
        <v>2686.5210000000002</v>
      </c>
      <c r="D11">
        <v>2995.2759999999998</v>
      </c>
      <c r="E11">
        <v>3160.71</v>
      </c>
      <c r="F11">
        <v>2748.9670000000001</v>
      </c>
      <c r="H11" s="2">
        <f t="shared" si="0"/>
        <v>2808.7069999999999</v>
      </c>
      <c r="I11" s="2">
        <f t="shared" si="1"/>
        <v>123.37113910514076</v>
      </c>
      <c r="K11">
        <v>1.25</v>
      </c>
      <c r="L11">
        <v>2918.7339999999999</v>
      </c>
      <c r="M11">
        <v>2214.1410000000001</v>
      </c>
      <c r="N11">
        <v>2290.1289999999999</v>
      </c>
      <c r="O11">
        <v>2796.317</v>
      </c>
      <c r="P11">
        <v>2264.7260000000001</v>
      </c>
      <c r="R11" s="3">
        <f t="shared" si="2"/>
        <v>2496.8094000000001</v>
      </c>
      <c r="S11" s="3">
        <f t="shared" si="3"/>
        <v>149.03121941412084</v>
      </c>
    </row>
    <row r="12" spans="1:19" x14ac:dyDescent="0.25">
      <c r="A12">
        <v>2.5</v>
      </c>
      <c r="B12">
        <v>2741.63</v>
      </c>
      <c r="C12">
        <v>3011.08</v>
      </c>
      <c r="D12">
        <v>3328.5990000000002</v>
      </c>
      <c r="E12">
        <v>3485.4479999999999</v>
      </c>
      <c r="F12">
        <v>3059.0720000000001</v>
      </c>
      <c r="H12" s="2">
        <f t="shared" si="0"/>
        <v>3125.1658000000002</v>
      </c>
      <c r="I12" s="2">
        <f t="shared" si="1"/>
        <v>129.55153425197247</v>
      </c>
      <c r="K12">
        <v>2.5</v>
      </c>
      <c r="L12">
        <v>3310.5309999999999</v>
      </c>
      <c r="M12">
        <v>2492.5680000000002</v>
      </c>
      <c r="N12">
        <v>2514.5830000000001</v>
      </c>
      <c r="O12">
        <v>3147.672</v>
      </c>
      <c r="P12">
        <v>2504.3240000000001</v>
      </c>
      <c r="R12" s="3">
        <f t="shared" si="2"/>
        <v>2793.9356000000002</v>
      </c>
      <c r="S12" s="3">
        <f t="shared" si="3"/>
        <v>179.5460153132328</v>
      </c>
    </row>
    <row r="13" spans="1:19" x14ac:dyDescent="0.25">
      <c r="A13">
        <v>3.75</v>
      </c>
      <c r="B13">
        <v>2866.2539999999999</v>
      </c>
      <c r="C13">
        <v>3166.1489999999999</v>
      </c>
      <c r="D13">
        <v>3505.2429999999999</v>
      </c>
      <c r="E13">
        <v>3707.172</v>
      </c>
      <c r="F13">
        <v>3171.817</v>
      </c>
      <c r="H13" s="2">
        <f t="shared" si="0"/>
        <v>3283.3270000000002</v>
      </c>
      <c r="I13" s="2">
        <f t="shared" si="1"/>
        <v>146.45926843221636</v>
      </c>
      <c r="K13">
        <v>3.75</v>
      </c>
      <c r="L13">
        <v>3438.8609999999999</v>
      </c>
      <c r="M13">
        <v>2620.8890000000001</v>
      </c>
      <c r="N13">
        <v>2640.9290000000001</v>
      </c>
      <c r="O13">
        <v>3299.1</v>
      </c>
      <c r="P13">
        <v>2627.3119999999999</v>
      </c>
      <c r="R13" s="3">
        <f t="shared" si="2"/>
        <v>2925.4182000000001</v>
      </c>
      <c r="S13" s="3">
        <f t="shared" si="3"/>
        <v>182.45561673606954</v>
      </c>
    </row>
    <row r="14" spans="1:19" x14ac:dyDescent="0.25">
      <c r="A14">
        <v>5</v>
      </c>
      <c r="B14">
        <v>2945.357</v>
      </c>
      <c r="C14">
        <v>3254.1860000000001</v>
      </c>
      <c r="D14">
        <v>3568.7919999999999</v>
      </c>
      <c r="E14">
        <v>3808.5279999999998</v>
      </c>
      <c r="F14">
        <v>3255.41</v>
      </c>
      <c r="H14" s="2">
        <f t="shared" si="0"/>
        <v>3366.4546</v>
      </c>
      <c r="I14" s="2">
        <f t="shared" si="1"/>
        <v>148.09247868936487</v>
      </c>
      <c r="K14">
        <v>5</v>
      </c>
      <c r="L14">
        <v>3514.607</v>
      </c>
      <c r="M14">
        <v>2678.3359999999998</v>
      </c>
      <c r="N14">
        <v>2722.5650000000001</v>
      </c>
      <c r="O14">
        <v>3438.3580000000002</v>
      </c>
      <c r="P14">
        <v>2687.3009999999999</v>
      </c>
      <c r="R14" s="3">
        <f t="shared" si="2"/>
        <v>3008.2334000000001</v>
      </c>
      <c r="S14" s="3">
        <f t="shared" si="3"/>
        <v>191.68434064330944</v>
      </c>
    </row>
    <row r="15" spans="1:19" x14ac:dyDescent="0.25">
      <c r="A15">
        <v>6.25</v>
      </c>
      <c r="B15">
        <v>2977.0340000000001</v>
      </c>
      <c r="C15">
        <v>3246.57</v>
      </c>
      <c r="D15">
        <v>3549.5169999999998</v>
      </c>
      <c r="E15">
        <v>3786.8980000000001</v>
      </c>
      <c r="F15">
        <v>3249.873</v>
      </c>
      <c r="H15" s="2">
        <f t="shared" si="0"/>
        <v>3361.9784</v>
      </c>
      <c r="I15" s="2">
        <f t="shared" si="1"/>
        <v>139.60592815944455</v>
      </c>
      <c r="K15">
        <v>6.25</v>
      </c>
      <c r="L15">
        <v>3532.72</v>
      </c>
      <c r="M15">
        <v>2701.2040000000002</v>
      </c>
      <c r="N15">
        <v>2736.7689999999998</v>
      </c>
      <c r="O15">
        <v>3411.174</v>
      </c>
      <c r="P15">
        <v>2678.1239999999998</v>
      </c>
      <c r="R15" s="3">
        <f t="shared" si="2"/>
        <v>3011.9981999999995</v>
      </c>
      <c r="S15" s="3">
        <f t="shared" si="3"/>
        <v>188.98526940119038</v>
      </c>
    </row>
    <row r="16" spans="1:19" x14ac:dyDescent="0.25">
      <c r="A16">
        <v>7.5</v>
      </c>
      <c r="B16">
        <v>2905.6019999999999</v>
      </c>
      <c r="C16">
        <v>3167.8690000000001</v>
      </c>
      <c r="D16">
        <v>3467.2330000000002</v>
      </c>
      <c r="E16">
        <v>3686.261</v>
      </c>
      <c r="F16">
        <v>3158.0140000000001</v>
      </c>
      <c r="H16" s="2">
        <f t="shared" si="0"/>
        <v>3276.9957999999997</v>
      </c>
      <c r="I16" s="2">
        <f t="shared" si="1"/>
        <v>135.58887824648454</v>
      </c>
      <c r="K16">
        <v>7.5</v>
      </c>
      <c r="L16">
        <v>3463.2629999999999</v>
      </c>
      <c r="M16">
        <v>2656.259</v>
      </c>
      <c r="N16">
        <v>2683.6320000000001</v>
      </c>
      <c r="O16">
        <v>3299.5929999999998</v>
      </c>
      <c r="P16">
        <v>2658.134</v>
      </c>
      <c r="R16" s="3">
        <f t="shared" si="2"/>
        <v>2952.1761999999999</v>
      </c>
      <c r="S16" s="3">
        <f t="shared" si="3"/>
        <v>177.20777946337441</v>
      </c>
    </row>
    <row r="17" spans="1:19" x14ac:dyDescent="0.25">
      <c r="A17">
        <v>8.75</v>
      </c>
      <c r="B17">
        <v>2736.0450000000001</v>
      </c>
      <c r="C17">
        <v>2993.4090000000001</v>
      </c>
      <c r="D17">
        <v>3300.752</v>
      </c>
      <c r="E17">
        <v>3477.8670000000002</v>
      </c>
      <c r="F17">
        <v>2964.9969999999998</v>
      </c>
      <c r="H17" s="2">
        <f t="shared" si="0"/>
        <v>3094.614</v>
      </c>
      <c r="I17" s="2">
        <f t="shared" si="1"/>
        <v>131.33744392365799</v>
      </c>
      <c r="K17">
        <v>8.75</v>
      </c>
      <c r="L17">
        <v>3215.2280000000001</v>
      </c>
      <c r="M17">
        <v>2509.4050000000002</v>
      </c>
      <c r="N17">
        <v>2519.8710000000001</v>
      </c>
      <c r="O17">
        <v>3071.837</v>
      </c>
      <c r="P17">
        <v>2519.915</v>
      </c>
      <c r="R17" s="3">
        <f t="shared" si="2"/>
        <v>2767.2512000000002</v>
      </c>
      <c r="S17" s="3">
        <f t="shared" si="3"/>
        <v>155.29207077903092</v>
      </c>
    </row>
    <row r="18" spans="1:19" x14ac:dyDescent="0.25">
      <c r="A18">
        <v>10</v>
      </c>
      <c r="B18">
        <v>2397.502</v>
      </c>
      <c r="C18">
        <v>2666.9349999999999</v>
      </c>
      <c r="D18">
        <v>2991.43</v>
      </c>
      <c r="E18">
        <v>3084.5210000000002</v>
      </c>
      <c r="F18">
        <v>2581.2379999999998</v>
      </c>
      <c r="H18" s="2">
        <f t="shared" si="0"/>
        <v>2744.3252000000002</v>
      </c>
      <c r="I18" s="2">
        <f t="shared" si="1"/>
        <v>128.3874944141368</v>
      </c>
      <c r="K18">
        <v>10</v>
      </c>
      <c r="L18">
        <v>2809.674</v>
      </c>
      <c r="M18">
        <v>2225.931</v>
      </c>
      <c r="N18">
        <v>2226.2150000000001</v>
      </c>
      <c r="O18">
        <v>2685.3670000000002</v>
      </c>
      <c r="P18">
        <v>2225.6509999999998</v>
      </c>
      <c r="R18" s="3">
        <f t="shared" si="2"/>
        <v>2434.5675999999999</v>
      </c>
      <c r="S18" s="3">
        <f t="shared" si="3"/>
        <v>129.26548899516888</v>
      </c>
    </row>
    <row r="19" spans="1:19" x14ac:dyDescent="0.25">
      <c r="A19">
        <v>11.25</v>
      </c>
      <c r="B19">
        <v>2175.2350000000001</v>
      </c>
      <c r="C19">
        <v>2436.424</v>
      </c>
      <c r="D19">
        <v>2745.502</v>
      </c>
      <c r="E19">
        <v>2802.2130000000002</v>
      </c>
      <c r="F19">
        <v>2316.9810000000002</v>
      </c>
      <c r="H19" s="2">
        <f t="shared" si="0"/>
        <v>2495.2709999999997</v>
      </c>
      <c r="I19" s="2">
        <f t="shared" si="1"/>
        <v>121.34708062619387</v>
      </c>
      <c r="K19">
        <v>11.25</v>
      </c>
      <c r="L19">
        <v>2529.587</v>
      </c>
      <c r="M19">
        <v>2026.7370000000001</v>
      </c>
      <c r="N19">
        <v>2027.7360000000001</v>
      </c>
      <c r="O19">
        <v>2397.1880000000001</v>
      </c>
      <c r="P19">
        <v>2025.5070000000001</v>
      </c>
      <c r="R19" s="3">
        <f t="shared" si="2"/>
        <v>2201.3509999999997</v>
      </c>
      <c r="S19" s="3">
        <f t="shared" si="3"/>
        <v>109.00558055026356</v>
      </c>
    </row>
    <row r="20" spans="1:19" x14ac:dyDescent="0.25">
      <c r="A20">
        <v>12.5</v>
      </c>
      <c r="B20">
        <v>2041.1410000000001</v>
      </c>
      <c r="C20">
        <v>2296.1370000000002</v>
      </c>
      <c r="D20">
        <v>2617.6469999999999</v>
      </c>
      <c r="E20">
        <v>2644.5729999999999</v>
      </c>
      <c r="F20">
        <v>2160.9850000000001</v>
      </c>
      <c r="H20" s="2">
        <f t="shared" si="0"/>
        <v>2352.0965999999999</v>
      </c>
      <c r="I20" s="2">
        <f t="shared" si="1"/>
        <v>120.91483886504719</v>
      </c>
      <c r="K20">
        <v>12.5</v>
      </c>
      <c r="L20">
        <v>2376.5340000000001</v>
      </c>
      <c r="M20">
        <v>1917.4169999999999</v>
      </c>
      <c r="N20">
        <v>1911.2750000000001</v>
      </c>
      <c r="O20">
        <v>2254.9</v>
      </c>
      <c r="P20">
        <v>1906.741</v>
      </c>
      <c r="R20" s="3">
        <f t="shared" si="2"/>
        <v>2073.3733999999999</v>
      </c>
      <c r="S20" s="3">
        <f t="shared" si="3"/>
        <v>100.8025055772921</v>
      </c>
    </row>
    <row r="21" spans="1:19" x14ac:dyDescent="0.25">
      <c r="A21">
        <v>13.75</v>
      </c>
      <c r="B21">
        <v>1985.328</v>
      </c>
      <c r="C21">
        <v>2243.5390000000002</v>
      </c>
      <c r="D21">
        <v>2553.6669999999999</v>
      </c>
      <c r="E21">
        <v>2572.2179999999998</v>
      </c>
      <c r="F21">
        <v>2091.4360000000001</v>
      </c>
      <c r="H21" s="2">
        <f t="shared" si="0"/>
        <v>2289.2375999999999</v>
      </c>
      <c r="I21" s="2">
        <f t="shared" si="1"/>
        <v>119.07470225560057</v>
      </c>
      <c r="K21">
        <v>13.75</v>
      </c>
      <c r="L21">
        <v>2329.8820000000001</v>
      </c>
      <c r="M21">
        <v>1870.953</v>
      </c>
      <c r="N21">
        <v>1853.847</v>
      </c>
      <c r="O21">
        <v>2195.3890000000001</v>
      </c>
      <c r="P21">
        <v>1857.4929999999999</v>
      </c>
      <c r="R21" s="3">
        <f t="shared" si="2"/>
        <v>2021.5128</v>
      </c>
      <c r="S21" s="3">
        <f t="shared" si="3"/>
        <v>100.74896155613716</v>
      </c>
    </row>
    <row r="22" spans="1:19" x14ac:dyDescent="0.25">
      <c r="A22">
        <v>15</v>
      </c>
      <c r="B22">
        <v>1966.6559999999999</v>
      </c>
      <c r="C22">
        <v>2226.2269999999999</v>
      </c>
      <c r="D22">
        <v>2537.0129999999999</v>
      </c>
      <c r="E22">
        <v>2543.6010000000001</v>
      </c>
      <c r="F22">
        <v>2072.3609999999999</v>
      </c>
      <c r="H22" s="2">
        <f t="shared" si="0"/>
        <v>2269.1716000000001</v>
      </c>
      <c r="I22" s="2">
        <f t="shared" si="1"/>
        <v>118.14077414745515</v>
      </c>
      <c r="K22">
        <v>15</v>
      </c>
      <c r="L22">
        <v>2301.4830000000002</v>
      </c>
      <c r="M22">
        <v>1863.731</v>
      </c>
      <c r="N22">
        <v>1834.356</v>
      </c>
      <c r="O22">
        <v>2185.3220000000001</v>
      </c>
      <c r="P22">
        <v>1842.12</v>
      </c>
      <c r="R22" s="3">
        <f t="shared" si="2"/>
        <v>2005.4023999999997</v>
      </c>
      <c r="S22" s="3">
        <f t="shared" si="3"/>
        <v>99.000904753744592</v>
      </c>
    </row>
    <row r="23" spans="1:19" x14ac:dyDescent="0.25">
      <c r="A23">
        <v>16.25</v>
      </c>
      <c r="B23">
        <v>1964.4169999999999</v>
      </c>
      <c r="C23">
        <v>2227.9319999999998</v>
      </c>
      <c r="D23">
        <v>2536.7669999999998</v>
      </c>
      <c r="E23">
        <v>2535.6959999999999</v>
      </c>
      <c r="F23">
        <v>2071.0390000000002</v>
      </c>
      <c r="H23" s="2">
        <f t="shared" si="0"/>
        <v>2267.1702</v>
      </c>
      <c r="I23" s="2">
        <f t="shared" si="1"/>
        <v>117.57021814617781</v>
      </c>
      <c r="K23">
        <v>16.25</v>
      </c>
      <c r="L23">
        <v>2285.8919999999998</v>
      </c>
      <c r="M23">
        <v>1856.6980000000001</v>
      </c>
      <c r="N23">
        <v>1834.2049999999999</v>
      </c>
      <c r="O23">
        <v>2184.1619999999998</v>
      </c>
      <c r="P23">
        <v>1831.5450000000001</v>
      </c>
      <c r="R23" s="3">
        <f t="shared" si="2"/>
        <v>1998.5004000000001</v>
      </c>
      <c r="S23" s="3">
        <f t="shared" si="3"/>
        <v>97.989582650708272</v>
      </c>
    </row>
    <row r="24" spans="1:19" x14ac:dyDescent="0.25">
      <c r="A24">
        <v>17.5</v>
      </c>
      <c r="B24">
        <v>1963.7249999999999</v>
      </c>
      <c r="C24">
        <v>2220.29</v>
      </c>
      <c r="D24">
        <v>2520.25</v>
      </c>
      <c r="E24">
        <v>2528.83</v>
      </c>
      <c r="F24">
        <v>2071.1120000000001</v>
      </c>
      <c r="H24" s="2">
        <f t="shared" si="0"/>
        <v>2260.8413999999998</v>
      </c>
      <c r="I24" s="2">
        <f t="shared" si="1"/>
        <v>115.11527437729744</v>
      </c>
      <c r="K24">
        <v>17.5</v>
      </c>
      <c r="L24">
        <v>2285.5770000000002</v>
      </c>
      <c r="M24">
        <v>1846.12</v>
      </c>
      <c r="N24">
        <v>1835.1659999999999</v>
      </c>
      <c r="O24">
        <v>2181.1570000000002</v>
      </c>
      <c r="P24">
        <v>1825.0719999999999</v>
      </c>
      <c r="R24" s="3">
        <f t="shared" si="2"/>
        <v>1994.6184000000001</v>
      </c>
      <c r="S24" s="3">
        <f t="shared" si="3"/>
        <v>98.913189369567974</v>
      </c>
    </row>
    <row r="25" spans="1:19" x14ac:dyDescent="0.25">
      <c r="A25">
        <v>18.75</v>
      </c>
      <c r="B25">
        <v>1972.769</v>
      </c>
      <c r="C25">
        <v>2216.1680000000001</v>
      </c>
      <c r="D25">
        <v>2514.64</v>
      </c>
      <c r="E25">
        <v>2530.703</v>
      </c>
      <c r="F25">
        <v>2073.1979999999999</v>
      </c>
      <c r="H25" s="2">
        <f t="shared" si="0"/>
        <v>2261.4955999999997</v>
      </c>
      <c r="I25" s="2">
        <f t="shared" si="1"/>
        <v>113.45226716579973</v>
      </c>
      <c r="K25">
        <v>18.75</v>
      </c>
      <c r="L25">
        <v>2279.2559999999999</v>
      </c>
      <c r="M25">
        <v>1840.6859999999999</v>
      </c>
      <c r="N25">
        <v>1830.47</v>
      </c>
      <c r="O25">
        <v>2183.317</v>
      </c>
      <c r="P25">
        <v>1823.069</v>
      </c>
      <c r="R25" s="3">
        <f t="shared" si="2"/>
        <v>1991.3596000000002</v>
      </c>
      <c r="S25" s="3">
        <f t="shared" si="3"/>
        <v>99.156871602829398</v>
      </c>
    </row>
    <row r="26" spans="1:19" x14ac:dyDescent="0.25">
      <c r="A26">
        <v>20</v>
      </c>
      <c r="B26">
        <v>1992.9290000000001</v>
      </c>
      <c r="C26">
        <v>2220.4670000000001</v>
      </c>
      <c r="D26">
        <v>2521.1779999999999</v>
      </c>
      <c r="E26">
        <v>2551.1680000000001</v>
      </c>
      <c r="F26">
        <v>2081.2159999999999</v>
      </c>
      <c r="H26" s="2">
        <f t="shared" si="0"/>
        <v>2273.3915999999999</v>
      </c>
      <c r="I26" s="2">
        <f t="shared" si="1"/>
        <v>113.34671873089225</v>
      </c>
      <c r="K26">
        <v>20</v>
      </c>
      <c r="L26">
        <v>2291.4349999999999</v>
      </c>
      <c r="M26">
        <v>1847.902</v>
      </c>
      <c r="N26">
        <v>1840.4580000000001</v>
      </c>
      <c r="O26">
        <v>2201.027</v>
      </c>
      <c r="P26">
        <v>1834.8420000000001</v>
      </c>
      <c r="R26" s="3">
        <f t="shared" si="2"/>
        <v>2003.1328000000001</v>
      </c>
      <c r="S26" s="3">
        <f t="shared" si="3"/>
        <v>100.2900189716803</v>
      </c>
    </row>
    <row r="27" spans="1:19" x14ac:dyDescent="0.25">
      <c r="A27">
        <v>21.25</v>
      </c>
      <c r="B27">
        <v>2011.7470000000001</v>
      </c>
      <c r="C27">
        <v>2234.5479999999998</v>
      </c>
      <c r="D27">
        <v>2540.67</v>
      </c>
      <c r="E27">
        <v>2571.232</v>
      </c>
      <c r="F27">
        <v>2090.7170000000001</v>
      </c>
      <c r="H27" s="2">
        <f t="shared" si="0"/>
        <v>2289.7828</v>
      </c>
      <c r="I27" s="2">
        <f t="shared" si="1"/>
        <v>114.48581162021779</v>
      </c>
      <c r="K27">
        <v>21.25</v>
      </c>
      <c r="L27">
        <v>2306.8690000000001</v>
      </c>
      <c r="M27">
        <v>1869.2260000000001</v>
      </c>
      <c r="N27">
        <v>1864.9190000000001</v>
      </c>
      <c r="O27">
        <v>2210.5830000000001</v>
      </c>
      <c r="P27">
        <v>1856.1110000000001</v>
      </c>
      <c r="R27" s="3">
        <f t="shared" si="2"/>
        <v>2021.5416</v>
      </c>
      <c r="S27" s="3">
        <f t="shared" si="3"/>
        <v>98.042424581198503</v>
      </c>
    </row>
    <row r="28" spans="1:19" x14ac:dyDescent="0.25">
      <c r="A28">
        <v>22.5</v>
      </c>
      <c r="B28">
        <v>2025.4690000000001</v>
      </c>
      <c r="C28">
        <v>2256.0300000000002</v>
      </c>
      <c r="D28">
        <v>2555.6410000000001</v>
      </c>
      <c r="E28">
        <v>2575.8560000000002</v>
      </c>
      <c r="F28">
        <v>2100.8139999999999</v>
      </c>
      <c r="H28" s="2">
        <f t="shared" si="0"/>
        <v>2302.7619999999997</v>
      </c>
      <c r="I28" s="2">
        <f t="shared" si="1"/>
        <v>113.6631875001753</v>
      </c>
      <c r="K28">
        <v>22.5</v>
      </c>
      <c r="L28">
        <v>2321.1750000000002</v>
      </c>
      <c r="M28">
        <v>1890.9010000000001</v>
      </c>
      <c r="N28">
        <v>1880.019</v>
      </c>
      <c r="O28">
        <v>2202.09</v>
      </c>
      <c r="P28">
        <v>1870.722</v>
      </c>
      <c r="R28" s="3">
        <f t="shared" si="2"/>
        <v>2032.9814000000001</v>
      </c>
      <c r="S28" s="3">
        <f t="shared" si="3"/>
        <v>95.280039473438535</v>
      </c>
    </row>
    <row r="29" spans="1:19" x14ac:dyDescent="0.25">
      <c r="A29">
        <v>23.75</v>
      </c>
      <c r="B29">
        <v>2035.1559999999999</v>
      </c>
      <c r="C29">
        <v>2253.7919999999999</v>
      </c>
      <c r="D29">
        <v>2561.6990000000001</v>
      </c>
      <c r="E29">
        <v>2581.288</v>
      </c>
      <c r="F29">
        <v>2114.6089999999999</v>
      </c>
      <c r="H29" s="2">
        <f t="shared" si="0"/>
        <v>2309.3088000000002</v>
      </c>
      <c r="I29" s="2">
        <f t="shared" si="1"/>
        <v>112.65508937433765</v>
      </c>
      <c r="K29">
        <v>23.75</v>
      </c>
      <c r="L29">
        <v>2323.9169999999999</v>
      </c>
      <c r="M29">
        <v>1895.201</v>
      </c>
      <c r="N29">
        <v>1885.4960000000001</v>
      </c>
      <c r="O29">
        <v>2198.6260000000002</v>
      </c>
      <c r="P29">
        <v>1885.8879999999999</v>
      </c>
      <c r="R29" s="3">
        <f t="shared" si="2"/>
        <v>2037.8256000000001</v>
      </c>
      <c r="S29" s="3">
        <f t="shared" si="3"/>
        <v>93.363851583254629</v>
      </c>
    </row>
    <row r="30" spans="1:19" x14ac:dyDescent="0.25">
      <c r="A30">
        <v>25</v>
      </c>
      <c r="B30">
        <v>2045.6569999999999</v>
      </c>
      <c r="C30">
        <v>2268.75</v>
      </c>
      <c r="D30">
        <v>2576.5790000000002</v>
      </c>
      <c r="E30">
        <v>2588.9090000000001</v>
      </c>
      <c r="F30">
        <v>2135.8690000000001</v>
      </c>
      <c r="H30" s="2">
        <f t="shared" si="0"/>
        <v>2323.1528000000003</v>
      </c>
      <c r="I30" s="2">
        <f t="shared" si="1"/>
        <v>111.77879988906665</v>
      </c>
      <c r="K30">
        <v>25</v>
      </c>
      <c r="L30">
        <v>2348.5039999999999</v>
      </c>
      <c r="M30">
        <v>1911.835</v>
      </c>
      <c r="N30">
        <v>1895.8019999999999</v>
      </c>
      <c r="O30">
        <v>2220.8200000000002</v>
      </c>
      <c r="P30">
        <v>1897.134</v>
      </c>
      <c r="R30" s="3">
        <f t="shared" si="2"/>
        <v>2054.819</v>
      </c>
      <c r="S30" s="3">
        <f t="shared" si="3"/>
        <v>96.021508266637838</v>
      </c>
    </row>
    <row r="31" spans="1:19" x14ac:dyDescent="0.25">
      <c r="A31">
        <v>26.25</v>
      </c>
      <c r="B31">
        <v>2057.6999999999998</v>
      </c>
      <c r="C31">
        <v>2314.46</v>
      </c>
      <c r="D31">
        <v>2597.7939999999999</v>
      </c>
      <c r="E31">
        <v>2610.703</v>
      </c>
      <c r="F31">
        <v>2168.8209999999999</v>
      </c>
      <c r="H31" s="2">
        <f t="shared" si="0"/>
        <v>2349.8955999999998</v>
      </c>
      <c r="I31" s="2">
        <f t="shared" si="1"/>
        <v>111.55628126403283</v>
      </c>
      <c r="K31">
        <v>26.25</v>
      </c>
      <c r="L31">
        <v>2391.6669999999999</v>
      </c>
      <c r="M31">
        <v>1938.8630000000001</v>
      </c>
      <c r="N31">
        <v>1916.559</v>
      </c>
      <c r="O31">
        <v>2267.453</v>
      </c>
      <c r="P31">
        <v>1922.671</v>
      </c>
      <c r="R31" s="3">
        <f t="shared" si="2"/>
        <v>2087.4425999999999</v>
      </c>
      <c r="S31" s="3">
        <f t="shared" si="3"/>
        <v>100.84220647010851</v>
      </c>
    </row>
    <row r="32" spans="1:19" x14ac:dyDescent="0.25">
      <c r="A32">
        <v>27.5</v>
      </c>
      <c r="B32">
        <v>2077.5610000000001</v>
      </c>
      <c r="C32">
        <v>2352.8249999999998</v>
      </c>
      <c r="D32">
        <v>2623.5889999999999</v>
      </c>
      <c r="E32">
        <v>2640.93</v>
      </c>
      <c r="F32">
        <v>2191.0720000000001</v>
      </c>
      <c r="H32" s="2">
        <f t="shared" si="0"/>
        <v>2377.1954000000001</v>
      </c>
      <c r="I32" s="2">
        <f t="shared" si="1"/>
        <v>112.9783951570387</v>
      </c>
      <c r="K32">
        <v>27.5</v>
      </c>
      <c r="L32">
        <v>2437.1610000000001</v>
      </c>
      <c r="M32">
        <v>1963.7370000000001</v>
      </c>
      <c r="N32">
        <v>1943.0350000000001</v>
      </c>
      <c r="O32">
        <v>2299.027</v>
      </c>
      <c r="P32">
        <v>1948.6659999999999</v>
      </c>
      <c r="R32" s="3">
        <f t="shared" si="2"/>
        <v>2118.3251999999998</v>
      </c>
      <c r="S32" s="3">
        <f t="shared" si="3"/>
        <v>104.33547283278108</v>
      </c>
    </row>
    <row r="33" spans="1:19" x14ac:dyDescent="0.25">
      <c r="A33">
        <v>28.75</v>
      </c>
      <c r="B33">
        <v>2093.4549999999999</v>
      </c>
      <c r="C33">
        <v>2365.1849999999999</v>
      </c>
      <c r="D33">
        <v>2633.8009999999999</v>
      </c>
      <c r="E33">
        <v>2652.2719999999999</v>
      </c>
      <c r="F33">
        <v>2181.2629999999999</v>
      </c>
      <c r="H33" s="2">
        <f t="shared" si="0"/>
        <v>2385.1951999999997</v>
      </c>
      <c r="I33" s="2">
        <f t="shared" si="1"/>
        <v>114.06926744062136</v>
      </c>
      <c r="K33">
        <v>28.75</v>
      </c>
      <c r="L33">
        <v>2453.0439999999999</v>
      </c>
      <c r="M33">
        <v>1963.991</v>
      </c>
      <c r="N33">
        <v>1958.7550000000001</v>
      </c>
      <c r="O33">
        <v>2303.0500000000002</v>
      </c>
      <c r="P33">
        <v>1950.5909999999999</v>
      </c>
      <c r="R33" s="3">
        <f t="shared" si="2"/>
        <v>2125.8861999999999</v>
      </c>
      <c r="S33" s="3">
        <f t="shared" si="3"/>
        <v>105.66232513786547</v>
      </c>
    </row>
    <row r="34" spans="1:19" x14ac:dyDescent="0.25">
      <c r="A34">
        <v>30</v>
      </c>
      <c r="B34">
        <v>2117.7469999999998</v>
      </c>
      <c r="C34">
        <v>2373.8310000000001</v>
      </c>
      <c r="D34">
        <v>2635.2539999999999</v>
      </c>
      <c r="E34">
        <v>2657.3270000000002</v>
      </c>
      <c r="F34">
        <v>2176.913</v>
      </c>
      <c r="H34" s="2">
        <f t="shared" si="0"/>
        <v>2392.2143999999998</v>
      </c>
      <c r="I34" s="2">
        <f t="shared" si="1"/>
        <v>112.11109083119298</v>
      </c>
      <c r="K34">
        <v>30</v>
      </c>
      <c r="L34">
        <v>2463.748</v>
      </c>
      <c r="M34">
        <v>1975.575</v>
      </c>
      <c r="N34">
        <v>1971.116</v>
      </c>
      <c r="O34">
        <v>2320.2530000000002</v>
      </c>
      <c r="P34">
        <v>1968.3019999999999</v>
      </c>
      <c r="R34" s="3">
        <f t="shared" si="2"/>
        <v>2139.7988</v>
      </c>
      <c r="S34" s="3">
        <f t="shared" si="3"/>
        <v>105.43749294980417</v>
      </c>
    </row>
    <row r="35" spans="1:19" x14ac:dyDescent="0.25">
      <c r="A35">
        <v>31.25</v>
      </c>
      <c r="B35">
        <v>2121.84</v>
      </c>
      <c r="C35">
        <v>2385.489</v>
      </c>
      <c r="D35">
        <v>2656.2310000000002</v>
      </c>
      <c r="E35">
        <v>2674.527</v>
      </c>
      <c r="F35">
        <v>2193.9969999999998</v>
      </c>
      <c r="H35" s="2">
        <f t="shared" si="0"/>
        <v>2406.4168</v>
      </c>
      <c r="I35" s="2">
        <f t="shared" si="1"/>
        <v>114.20033126239173</v>
      </c>
      <c r="K35">
        <v>31.25</v>
      </c>
      <c r="L35">
        <v>2483.098</v>
      </c>
      <c r="M35">
        <v>2004.5730000000001</v>
      </c>
      <c r="N35">
        <v>1984.432</v>
      </c>
      <c r="O35">
        <v>2355.538</v>
      </c>
      <c r="P35">
        <v>1991.491</v>
      </c>
      <c r="R35" s="3">
        <f t="shared" si="2"/>
        <v>2163.8263999999999</v>
      </c>
      <c r="S35" s="3">
        <f t="shared" si="3"/>
        <v>106.28527141546941</v>
      </c>
    </row>
    <row r="36" spans="1:19" x14ac:dyDescent="0.25">
      <c r="A36">
        <v>32.5</v>
      </c>
      <c r="B36">
        <v>2106.5430000000001</v>
      </c>
      <c r="C36">
        <v>2374.7469999999998</v>
      </c>
      <c r="D36">
        <v>2669.8150000000001</v>
      </c>
      <c r="E36">
        <v>2679.5479999999998</v>
      </c>
      <c r="F36">
        <v>2199.3850000000002</v>
      </c>
      <c r="H36" s="2">
        <f t="shared" si="0"/>
        <v>2406.0075999999999</v>
      </c>
      <c r="I36" s="2">
        <f t="shared" si="1"/>
        <v>117.8490274298434</v>
      </c>
      <c r="K36">
        <v>32.5</v>
      </c>
      <c r="L36">
        <v>2488.826</v>
      </c>
      <c r="M36">
        <v>2015.4069999999999</v>
      </c>
      <c r="N36">
        <v>1984.277</v>
      </c>
      <c r="O36">
        <v>2350.2159999999999</v>
      </c>
      <c r="P36">
        <v>1985.2449999999999</v>
      </c>
      <c r="R36" s="3">
        <f t="shared" si="2"/>
        <v>2164.7942000000003</v>
      </c>
      <c r="S36" s="3">
        <f t="shared" si="3"/>
        <v>106.42339065421662</v>
      </c>
    </row>
    <row r="37" spans="1:19" x14ac:dyDescent="0.25">
      <c r="A37">
        <v>33.75</v>
      </c>
      <c r="B37">
        <v>2100.431</v>
      </c>
      <c r="C37">
        <v>2360.9540000000002</v>
      </c>
      <c r="D37">
        <v>2662.8809999999999</v>
      </c>
      <c r="E37">
        <v>2676.2579999999998</v>
      </c>
      <c r="F37">
        <v>2191.058</v>
      </c>
      <c r="H37" s="2">
        <f t="shared" si="0"/>
        <v>2398.3163999999997</v>
      </c>
      <c r="I37" s="2">
        <f t="shared" si="1"/>
        <v>118.39207435913939</v>
      </c>
      <c r="K37">
        <v>33.75</v>
      </c>
      <c r="L37">
        <v>2473.7910000000002</v>
      </c>
      <c r="M37">
        <v>1996.3789999999999</v>
      </c>
      <c r="N37">
        <v>1977.2249999999999</v>
      </c>
      <c r="O37">
        <v>2345.1660000000002</v>
      </c>
      <c r="P37">
        <v>1982.1130000000001</v>
      </c>
      <c r="R37" s="3">
        <f t="shared" si="2"/>
        <v>2154.9348</v>
      </c>
      <c r="S37" s="3">
        <f t="shared" si="3"/>
        <v>105.93518655687548</v>
      </c>
    </row>
    <row r="38" spans="1:19" x14ac:dyDescent="0.25">
      <c r="A38">
        <v>35</v>
      </c>
      <c r="B38">
        <v>2074.4569999999999</v>
      </c>
      <c r="C38">
        <v>2339.9839999999999</v>
      </c>
      <c r="D38">
        <v>2631.6529999999998</v>
      </c>
      <c r="E38">
        <v>2652.6239999999998</v>
      </c>
      <c r="F38">
        <v>2156.7510000000002</v>
      </c>
      <c r="H38" s="2">
        <f t="shared" si="0"/>
        <v>2371.0937999999996</v>
      </c>
      <c r="I38" s="2">
        <f t="shared" si="1"/>
        <v>118.7548729313454</v>
      </c>
      <c r="K38">
        <v>35</v>
      </c>
      <c r="L38">
        <v>2445.4459999999999</v>
      </c>
      <c r="M38">
        <v>1963.6489999999999</v>
      </c>
      <c r="N38">
        <v>1941.6110000000001</v>
      </c>
      <c r="O38">
        <v>2321.7199999999998</v>
      </c>
      <c r="P38">
        <v>1958.472</v>
      </c>
      <c r="R38" s="3">
        <f t="shared" si="2"/>
        <v>2126.1795999999999</v>
      </c>
      <c r="S38" s="3">
        <f t="shared" si="3"/>
        <v>106.95201852728205</v>
      </c>
    </row>
    <row r="39" spans="1:19" x14ac:dyDescent="0.25">
      <c r="A39">
        <v>36.25</v>
      </c>
      <c r="B39">
        <v>1989.0139999999999</v>
      </c>
      <c r="C39">
        <v>2230.0189999999998</v>
      </c>
      <c r="D39">
        <v>2517.866</v>
      </c>
      <c r="E39">
        <v>2536.9229999999998</v>
      </c>
      <c r="F39">
        <v>2052.0810000000001</v>
      </c>
      <c r="H39" s="2">
        <f t="shared" si="0"/>
        <v>2265.1806000000001</v>
      </c>
      <c r="I39" s="2">
        <f t="shared" si="1"/>
        <v>114.15113050714717</v>
      </c>
      <c r="K39">
        <v>36.25</v>
      </c>
      <c r="L39">
        <v>2336.3110000000001</v>
      </c>
      <c r="M39">
        <v>1879.2750000000001</v>
      </c>
      <c r="N39">
        <v>1861.7349999999999</v>
      </c>
      <c r="O39">
        <v>2206.4780000000001</v>
      </c>
      <c r="P39">
        <v>1872.7919999999999</v>
      </c>
      <c r="R39" s="3">
        <f t="shared" si="2"/>
        <v>2031.3181999999997</v>
      </c>
      <c r="S39" s="3">
        <f t="shared" si="3"/>
        <v>100.17677277263431</v>
      </c>
    </row>
    <row r="40" spans="1:19" x14ac:dyDescent="0.25">
      <c r="A40">
        <v>37.5</v>
      </c>
      <c r="B40">
        <v>1842.2550000000001</v>
      </c>
      <c r="C40">
        <v>2058.3200000000002</v>
      </c>
      <c r="D40">
        <v>2327.3130000000001</v>
      </c>
      <c r="E40">
        <v>2344.0100000000002</v>
      </c>
      <c r="F40">
        <v>1891.1569999999999</v>
      </c>
      <c r="H40" s="2">
        <f t="shared" si="0"/>
        <v>2092.6109999999999</v>
      </c>
      <c r="I40" s="2">
        <f t="shared" si="1"/>
        <v>105.52824255572531</v>
      </c>
      <c r="K40">
        <v>37.5</v>
      </c>
      <c r="L40">
        <v>2149.866</v>
      </c>
      <c r="M40">
        <v>1738.9939999999999</v>
      </c>
      <c r="N40">
        <v>1719.9770000000001</v>
      </c>
      <c r="O40">
        <v>2043.357</v>
      </c>
      <c r="P40">
        <v>1729.665</v>
      </c>
      <c r="R40" s="3">
        <f t="shared" si="2"/>
        <v>1876.3718000000001</v>
      </c>
      <c r="S40" s="3">
        <f t="shared" si="3"/>
        <v>91.525409864911268</v>
      </c>
    </row>
    <row r="41" spans="1:19" x14ac:dyDescent="0.25">
      <c r="A41">
        <v>38.75</v>
      </c>
      <c r="B41">
        <v>1685.6980000000001</v>
      </c>
      <c r="C41">
        <v>1893.751</v>
      </c>
      <c r="D41">
        <v>2121.5070000000001</v>
      </c>
      <c r="E41">
        <v>2138.2640000000001</v>
      </c>
      <c r="F41">
        <v>1741.32</v>
      </c>
      <c r="H41" s="2">
        <f t="shared" si="0"/>
        <v>1916.1080000000002</v>
      </c>
      <c r="I41" s="2">
        <f t="shared" si="1"/>
        <v>93.723392498884721</v>
      </c>
      <c r="K41">
        <v>38.75</v>
      </c>
      <c r="L41">
        <v>1967.6220000000001</v>
      </c>
      <c r="M41">
        <v>1583.4829999999999</v>
      </c>
      <c r="N41">
        <v>1572.6089999999999</v>
      </c>
      <c r="O41">
        <v>1891.9190000000001</v>
      </c>
      <c r="P41">
        <v>1591.2329999999999</v>
      </c>
      <c r="R41" s="3">
        <f t="shared" si="2"/>
        <v>1721.3732</v>
      </c>
      <c r="S41" s="3">
        <f t="shared" si="3"/>
        <v>85.966652695333011</v>
      </c>
    </row>
    <row r="42" spans="1:19" x14ac:dyDescent="0.25">
      <c r="A42">
        <v>40</v>
      </c>
      <c r="B42">
        <v>1604.7360000000001</v>
      </c>
      <c r="C42">
        <v>1805.91</v>
      </c>
      <c r="D42">
        <v>2022.6759999999999</v>
      </c>
      <c r="E42">
        <v>2040.393</v>
      </c>
      <c r="F42">
        <v>1656.1610000000001</v>
      </c>
      <c r="H42" s="2">
        <f t="shared" si="0"/>
        <v>1825.9752000000001</v>
      </c>
      <c r="I42" s="2">
        <f t="shared" si="1"/>
        <v>90.236482662723489</v>
      </c>
      <c r="K42">
        <v>40</v>
      </c>
      <c r="L42">
        <v>1867.645</v>
      </c>
      <c r="M42">
        <v>1505.9259999999999</v>
      </c>
      <c r="N42">
        <v>1492.742</v>
      </c>
      <c r="O42">
        <v>1791.741</v>
      </c>
      <c r="P42">
        <v>1509.9059999999999</v>
      </c>
      <c r="R42" s="3">
        <f t="shared" si="2"/>
        <v>1633.5920000000001</v>
      </c>
      <c r="S42" s="3">
        <f t="shared" si="3"/>
        <v>81.002305418426204</v>
      </c>
    </row>
    <row r="43" spans="1:19" x14ac:dyDescent="0.25">
      <c r="A43">
        <v>41.25</v>
      </c>
      <c r="B43">
        <v>1587.1569999999999</v>
      </c>
      <c r="C43">
        <v>1778.327</v>
      </c>
      <c r="D43">
        <v>1991.008</v>
      </c>
      <c r="E43">
        <v>2009.9069999999999</v>
      </c>
      <c r="F43">
        <v>1625.4359999999999</v>
      </c>
      <c r="H43" s="2">
        <f t="shared" si="0"/>
        <v>1798.3670000000002</v>
      </c>
      <c r="I43" s="2">
        <f t="shared" si="1"/>
        <v>88.537032630984427</v>
      </c>
      <c r="K43">
        <v>41.25</v>
      </c>
      <c r="L43">
        <v>1833.614</v>
      </c>
      <c r="M43">
        <v>1489.489</v>
      </c>
      <c r="N43">
        <v>1462.4839999999999</v>
      </c>
      <c r="O43">
        <v>1755.933</v>
      </c>
      <c r="P43">
        <v>1485.3869999999999</v>
      </c>
      <c r="R43" s="3">
        <f t="shared" si="2"/>
        <v>1605.3813999999998</v>
      </c>
      <c r="S43" s="3">
        <f t="shared" si="3"/>
        <v>78.423617393359265</v>
      </c>
    </row>
    <row r="44" spans="1:19" x14ac:dyDescent="0.25">
      <c r="A44">
        <v>42.5</v>
      </c>
      <c r="B44">
        <v>1587.0250000000001</v>
      </c>
      <c r="C44">
        <v>1775.2919999999999</v>
      </c>
      <c r="D44">
        <v>1998.2650000000001</v>
      </c>
      <c r="E44">
        <v>2015.93</v>
      </c>
      <c r="F44">
        <v>1630.259</v>
      </c>
      <c r="H44" s="2">
        <f t="shared" si="0"/>
        <v>1801.3542000000002</v>
      </c>
      <c r="I44" s="2">
        <f t="shared" si="1"/>
        <v>89.639960064359698</v>
      </c>
      <c r="K44">
        <v>42.5</v>
      </c>
      <c r="L44">
        <v>1837.9459999999999</v>
      </c>
      <c r="M44">
        <v>1485.039</v>
      </c>
      <c r="N44">
        <v>1464.779</v>
      </c>
      <c r="O44">
        <v>1771.837</v>
      </c>
      <c r="P44">
        <v>1499.96</v>
      </c>
      <c r="R44" s="3">
        <f t="shared" si="2"/>
        <v>1611.9121999999998</v>
      </c>
      <c r="S44" s="3">
        <f t="shared" si="3"/>
        <v>79.669788157996223</v>
      </c>
    </row>
    <row r="45" spans="1:19" x14ac:dyDescent="0.25">
      <c r="A45">
        <v>43.75</v>
      </c>
      <c r="B45">
        <v>1609.71</v>
      </c>
      <c r="C45">
        <v>1806.711</v>
      </c>
      <c r="D45">
        <v>2028.549</v>
      </c>
      <c r="E45">
        <v>2045.1969999999999</v>
      </c>
      <c r="F45">
        <v>1651.548</v>
      </c>
      <c r="H45" s="2">
        <f t="shared" si="0"/>
        <v>1828.3430000000001</v>
      </c>
      <c r="I45" s="2">
        <f t="shared" si="1"/>
        <v>91.277846132016037</v>
      </c>
      <c r="K45">
        <v>43.75</v>
      </c>
      <c r="L45">
        <v>1867.624</v>
      </c>
      <c r="M45">
        <v>1500.2750000000001</v>
      </c>
      <c r="N45">
        <v>1488.9290000000001</v>
      </c>
      <c r="O45">
        <v>1805.6379999999999</v>
      </c>
      <c r="P45">
        <v>1519.67</v>
      </c>
      <c r="R45" s="3">
        <f t="shared" si="2"/>
        <v>1636.4272000000001</v>
      </c>
      <c r="S45" s="3">
        <f t="shared" si="3"/>
        <v>82.46503485926597</v>
      </c>
    </row>
    <row r="46" spans="1:19" x14ac:dyDescent="0.25">
      <c r="A46">
        <v>45</v>
      </c>
      <c r="B46">
        <v>1677.1079999999999</v>
      </c>
      <c r="C46">
        <v>1889.691</v>
      </c>
      <c r="D46">
        <v>2124.1689999999999</v>
      </c>
      <c r="E46">
        <v>2139.3510000000001</v>
      </c>
      <c r="F46">
        <v>1699.181</v>
      </c>
      <c r="H46" s="2">
        <f t="shared" si="0"/>
        <v>1905.9</v>
      </c>
      <c r="I46" s="2">
        <f t="shared" si="1"/>
        <v>99.368501465000335</v>
      </c>
      <c r="K46">
        <v>45</v>
      </c>
      <c r="L46">
        <v>1927.414</v>
      </c>
      <c r="M46">
        <v>1568.6479999999999</v>
      </c>
      <c r="N46">
        <v>1541.9159999999999</v>
      </c>
      <c r="O46">
        <v>1855.19</v>
      </c>
      <c r="P46">
        <v>1573.4290000000001</v>
      </c>
      <c r="R46" s="3">
        <f t="shared" si="2"/>
        <v>1693.3193999999999</v>
      </c>
      <c r="S46" s="3">
        <f t="shared" si="3"/>
        <v>81.805265238614084</v>
      </c>
    </row>
    <row r="47" spans="1:19" x14ac:dyDescent="0.25">
      <c r="A47">
        <v>46.25</v>
      </c>
      <c r="B47">
        <v>1770.895</v>
      </c>
      <c r="C47">
        <v>2001.6189999999999</v>
      </c>
      <c r="D47">
        <v>2254.518</v>
      </c>
      <c r="E47">
        <v>2278.02</v>
      </c>
      <c r="F47">
        <v>1793.2339999999999</v>
      </c>
      <c r="H47" s="2">
        <f t="shared" si="0"/>
        <v>2019.6572000000001</v>
      </c>
      <c r="I47" s="2">
        <f t="shared" si="1"/>
        <v>108.48649826287135</v>
      </c>
      <c r="K47">
        <v>46.25</v>
      </c>
      <c r="L47">
        <v>2037.5820000000001</v>
      </c>
      <c r="M47">
        <v>1680.703</v>
      </c>
      <c r="N47">
        <v>1647.866</v>
      </c>
      <c r="O47">
        <v>1963.865</v>
      </c>
      <c r="P47">
        <v>1675.252</v>
      </c>
      <c r="R47" s="3">
        <f t="shared" si="2"/>
        <v>1801.0536</v>
      </c>
      <c r="S47" s="3">
        <f t="shared" si="3"/>
        <v>82.531807884354521</v>
      </c>
    </row>
    <row r="48" spans="1:19" x14ac:dyDescent="0.25">
      <c r="A48">
        <v>47.5</v>
      </c>
      <c r="B48">
        <v>1851.547</v>
      </c>
      <c r="C48">
        <v>2095.8130000000001</v>
      </c>
      <c r="D48">
        <v>2351.4270000000001</v>
      </c>
      <c r="E48">
        <v>2386.5839999999998</v>
      </c>
      <c r="F48">
        <v>1885.1859999999999</v>
      </c>
      <c r="H48" s="2">
        <f t="shared" si="0"/>
        <v>2114.1113999999998</v>
      </c>
      <c r="I48" s="2">
        <f t="shared" si="1"/>
        <v>112.30354983463401</v>
      </c>
      <c r="K48">
        <v>47.5</v>
      </c>
      <c r="L48">
        <v>2148.076</v>
      </c>
      <c r="M48">
        <v>1772.1949999999999</v>
      </c>
      <c r="N48">
        <v>1732.731</v>
      </c>
      <c r="O48">
        <v>2070.806</v>
      </c>
      <c r="P48">
        <v>1746.56</v>
      </c>
      <c r="R48" s="3">
        <f t="shared" si="2"/>
        <v>1894.0735999999997</v>
      </c>
      <c r="S48" s="3">
        <f t="shared" si="3"/>
        <v>88.993721776651199</v>
      </c>
    </row>
    <row r="49" spans="1:19" x14ac:dyDescent="0.25">
      <c r="A49">
        <v>48.75</v>
      </c>
      <c r="B49">
        <v>1902.124</v>
      </c>
      <c r="C49">
        <v>2147.5889999999999</v>
      </c>
      <c r="D49">
        <v>2409.6860000000001</v>
      </c>
      <c r="E49">
        <v>2435.4349999999999</v>
      </c>
      <c r="F49">
        <v>1951.29</v>
      </c>
      <c r="H49" s="2">
        <f t="shared" si="0"/>
        <v>2169.2248</v>
      </c>
      <c r="I49" s="2">
        <f t="shared" si="1"/>
        <v>111.3543850826719</v>
      </c>
      <c r="K49">
        <v>48.75</v>
      </c>
      <c r="L49">
        <v>2205.971</v>
      </c>
      <c r="M49">
        <v>1820.922</v>
      </c>
      <c r="N49">
        <v>1769.1990000000001</v>
      </c>
      <c r="O49">
        <v>2137.835</v>
      </c>
      <c r="P49">
        <v>1788.096</v>
      </c>
      <c r="R49" s="3">
        <f t="shared" si="2"/>
        <v>1944.4046000000003</v>
      </c>
      <c r="S49" s="3">
        <f t="shared" si="3"/>
        <v>93.86416634190067</v>
      </c>
    </row>
    <row r="50" spans="1:19" x14ac:dyDescent="0.25">
      <c r="A50">
        <v>50</v>
      </c>
      <c r="B50">
        <v>1926.31</v>
      </c>
      <c r="C50">
        <v>2156.7460000000001</v>
      </c>
      <c r="D50">
        <v>2421.163</v>
      </c>
      <c r="E50">
        <v>2449.5619999999999</v>
      </c>
      <c r="F50">
        <v>1980.085</v>
      </c>
      <c r="H50" s="2">
        <f t="shared" si="0"/>
        <v>2186.7731999999996</v>
      </c>
      <c r="I50" s="2">
        <f t="shared" si="1"/>
        <v>108.50328452696718</v>
      </c>
      <c r="K50">
        <v>50</v>
      </c>
      <c r="L50">
        <v>2237.6179999999999</v>
      </c>
      <c r="M50">
        <v>1823.0170000000001</v>
      </c>
      <c r="N50">
        <v>1771.0909999999999</v>
      </c>
      <c r="O50">
        <v>2158.5439999999999</v>
      </c>
      <c r="P50">
        <v>1806.9760000000001</v>
      </c>
      <c r="R50" s="3">
        <f t="shared" si="2"/>
        <v>1959.4492000000002</v>
      </c>
      <c r="S50" s="3">
        <f t="shared" si="3"/>
        <v>98.57922045309455</v>
      </c>
    </row>
    <row r="51" spans="1:19" x14ac:dyDescent="0.25">
      <c r="A51">
        <v>51.25</v>
      </c>
      <c r="B51">
        <v>1931.0219999999999</v>
      </c>
      <c r="C51">
        <v>2183.66</v>
      </c>
      <c r="D51">
        <v>2442.8069999999998</v>
      </c>
      <c r="E51">
        <v>2469.0650000000001</v>
      </c>
      <c r="F51">
        <v>1980.184</v>
      </c>
      <c r="H51" s="2">
        <f t="shared" si="0"/>
        <v>2201.3476000000001</v>
      </c>
      <c r="I51" s="2">
        <f t="shared" si="1"/>
        <v>112.31147921855528</v>
      </c>
      <c r="K51">
        <v>51.25</v>
      </c>
      <c r="L51">
        <v>2256.8470000000002</v>
      </c>
      <c r="M51">
        <v>1824.2049999999999</v>
      </c>
      <c r="N51">
        <v>1771.0329999999999</v>
      </c>
      <c r="O51">
        <v>2159.297</v>
      </c>
      <c r="P51">
        <v>1814.31</v>
      </c>
      <c r="R51" s="3">
        <f t="shared" si="2"/>
        <v>1965.1383999999998</v>
      </c>
      <c r="S51" s="3">
        <f t="shared" si="3"/>
        <v>100.76700974505545</v>
      </c>
    </row>
    <row r="52" spans="1:19" x14ac:dyDescent="0.25">
      <c r="A52">
        <v>52.5</v>
      </c>
      <c r="B52">
        <v>1936.864</v>
      </c>
      <c r="C52">
        <v>2220.4409999999998</v>
      </c>
      <c r="D52">
        <v>2487.5390000000002</v>
      </c>
      <c r="E52">
        <v>2498.672</v>
      </c>
      <c r="F52">
        <v>1980.8589999999999</v>
      </c>
      <c r="H52" s="2">
        <f t="shared" si="0"/>
        <v>2224.8750000000005</v>
      </c>
      <c r="I52" s="2">
        <f t="shared" si="1"/>
        <v>119.6810300001611</v>
      </c>
      <c r="K52">
        <v>52.5</v>
      </c>
      <c r="L52">
        <v>2280.9540000000002</v>
      </c>
      <c r="M52">
        <v>1843.912</v>
      </c>
      <c r="N52">
        <v>1807.2660000000001</v>
      </c>
      <c r="O52">
        <v>2159.8960000000002</v>
      </c>
      <c r="P52">
        <v>1834.1679999999999</v>
      </c>
      <c r="R52" s="3">
        <f t="shared" si="2"/>
        <v>1985.2392</v>
      </c>
      <c r="S52" s="3">
        <f t="shared" si="3"/>
        <v>98.087355345324738</v>
      </c>
    </row>
    <row r="53" spans="1:19" x14ac:dyDescent="0.25">
      <c r="A53">
        <v>53.75</v>
      </c>
      <c r="B53">
        <v>1926.3340000000001</v>
      </c>
      <c r="C53">
        <v>2225.7049999999999</v>
      </c>
      <c r="D53">
        <v>2505.33</v>
      </c>
      <c r="E53">
        <v>2504.951</v>
      </c>
      <c r="F53">
        <v>1958.816</v>
      </c>
      <c r="H53" s="2">
        <f t="shared" si="0"/>
        <v>2224.2272000000003</v>
      </c>
      <c r="I53" s="2">
        <f t="shared" si="1"/>
        <v>125.89882518093599</v>
      </c>
      <c r="K53">
        <v>53.75</v>
      </c>
      <c r="L53">
        <v>2271.0529999999999</v>
      </c>
      <c r="M53">
        <v>1838.7639999999999</v>
      </c>
      <c r="N53">
        <v>1800.9580000000001</v>
      </c>
      <c r="O53">
        <v>2133.8049999999998</v>
      </c>
      <c r="P53">
        <v>1837.442</v>
      </c>
      <c r="R53" s="3">
        <f t="shared" si="2"/>
        <v>1976.4044000000001</v>
      </c>
      <c r="S53" s="3">
        <f t="shared" si="3"/>
        <v>95.034102816094361</v>
      </c>
    </row>
    <row r="54" spans="1:19" x14ac:dyDescent="0.25">
      <c r="A54">
        <v>55</v>
      </c>
      <c r="B54">
        <v>1888.884</v>
      </c>
      <c r="C54">
        <v>2184.056</v>
      </c>
      <c r="D54">
        <v>2470.34</v>
      </c>
      <c r="E54">
        <v>2446.6930000000002</v>
      </c>
      <c r="F54">
        <v>1895.0229999999999</v>
      </c>
      <c r="H54" s="2">
        <f t="shared" si="0"/>
        <v>2176.9992000000002</v>
      </c>
      <c r="I54" s="2">
        <f t="shared" si="1"/>
        <v>126.75849379169853</v>
      </c>
      <c r="K54">
        <v>55</v>
      </c>
      <c r="L54">
        <v>2193.8989999999999</v>
      </c>
      <c r="M54">
        <v>1790.5260000000001</v>
      </c>
      <c r="N54">
        <v>1755.5840000000001</v>
      </c>
      <c r="O54">
        <v>2065.1460000000002</v>
      </c>
      <c r="P54">
        <v>1802.309</v>
      </c>
      <c r="R54" s="3">
        <f t="shared" si="2"/>
        <v>1921.4928</v>
      </c>
      <c r="S54" s="3">
        <f t="shared" si="3"/>
        <v>87.671030127060774</v>
      </c>
    </row>
    <row r="55" spans="1:19" x14ac:dyDescent="0.25">
      <c r="A55">
        <v>56.25</v>
      </c>
      <c r="B55">
        <v>1810.261</v>
      </c>
      <c r="C55">
        <v>2097.5639999999999</v>
      </c>
      <c r="D55">
        <v>2391.4839999999999</v>
      </c>
      <c r="E55">
        <v>2325.9389999999999</v>
      </c>
      <c r="F55">
        <v>1792.3510000000001</v>
      </c>
      <c r="H55" s="2">
        <f t="shared" si="0"/>
        <v>2083.5198</v>
      </c>
      <c r="I55" s="2">
        <f t="shared" si="1"/>
        <v>125.1510883761687</v>
      </c>
      <c r="K55">
        <v>56.25</v>
      </c>
      <c r="L55">
        <v>2074.3229999999999</v>
      </c>
      <c r="M55">
        <v>1730.94</v>
      </c>
      <c r="N55">
        <v>1693.3679999999999</v>
      </c>
      <c r="O55">
        <v>1964.4359999999999</v>
      </c>
      <c r="P55">
        <v>1727.5519999999999</v>
      </c>
      <c r="R55" s="3">
        <f t="shared" si="2"/>
        <v>1838.1237999999998</v>
      </c>
      <c r="S55" s="3">
        <f t="shared" si="3"/>
        <v>76.293369803935107</v>
      </c>
    </row>
    <row r="56" spans="1:19" x14ac:dyDescent="0.25">
      <c r="A56">
        <v>57.5</v>
      </c>
      <c r="B56">
        <v>1689.2639999999999</v>
      </c>
      <c r="C56">
        <v>1968.1679999999999</v>
      </c>
      <c r="D56">
        <v>2243.203</v>
      </c>
      <c r="E56">
        <v>2184.9810000000002</v>
      </c>
      <c r="F56">
        <v>1667.3219999999999</v>
      </c>
      <c r="H56" s="2">
        <f t="shared" si="0"/>
        <v>1950.5876000000001</v>
      </c>
      <c r="I56" s="2">
        <f t="shared" si="1"/>
        <v>120.291839458295</v>
      </c>
      <c r="K56">
        <v>57.5</v>
      </c>
      <c r="L56">
        <v>1933.3589999999999</v>
      </c>
      <c r="M56">
        <v>1627.0940000000001</v>
      </c>
      <c r="N56">
        <v>1590.6510000000001</v>
      </c>
      <c r="O56">
        <v>1835.558</v>
      </c>
      <c r="P56">
        <v>1621.5219999999999</v>
      </c>
      <c r="R56" s="3">
        <f t="shared" si="2"/>
        <v>1721.6368000000002</v>
      </c>
      <c r="S56" s="3">
        <f t="shared" si="3"/>
        <v>68.528433439996263</v>
      </c>
    </row>
    <row r="57" spans="1:19" x14ac:dyDescent="0.25">
      <c r="A57">
        <v>58.75</v>
      </c>
      <c r="B57">
        <v>1606.6849999999999</v>
      </c>
      <c r="C57">
        <v>1889.8810000000001</v>
      </c>
      <c r="D57">
        <v>2144.857</v>
      </c>
      <c r="E57">
        <v>2089.0239999999999</v>
      </c>
      <c r="F57">
        <v>1575.9549999999999</v>
      </c>
      <c r="H57" s="2">
        <f t="shared" si="0"/>
        <v>1861.2804000000001</v>
      </c>
      <c r="I57" s="2">
        <f t="shared" si="1"/>
        <v>118.17999647046858</v>
      </c>
      <c r="K57">
        <v>58.75</v>
      </c>
      <c r="L57">
        <v>1828.115</v>
      </c>
      <c r="M57">
        <v>1555.4490000000001</v>
      </c>
      <c r="N57">
        <v>1525.98</v>
      </c>
      <c r="O57">
        <v>1737.6759999999999</v>
      </c>
      <c r="P57">
        <v>1545.835</v>
      </c>
      <c r="R57" s="3">
        <f t="shared" si="2"/>
        <v>1638.6110000000001</v>
      </c>
      <c r="S57" s="3">
        <f t="shared" si="3"/>
        <v>60.800775826464573</v>
      </c>
    </row>
    <row r="58" spans="1:19" x14ac:dyDescent="0.25">
      <c r="A58">
        <v>60</v>
      </c>
      <c r="B58">
        <v>1532.4939999999999</v>
      </c>
      <c r="C58">
        <v>1822.008</v>
      </c>
      <c r="D58">
        <v>2041.3420000000001</v>
      </c>
      <c r="E58">
        <v>1997.569</v>
      </c>
      <c r="F58">
        <v>1506.364</v>
      </c>
      <c r="H58" s="2">
        <f t="shared" si="0"/>
        <v>1779.9554000000001</v>
      </c>
      <c r="I58" s="2">
        <f t="shared" si="1"/>
        <v>112.59139695713914</v>
      </c>
      <c r="K58">
        <v>60</v>
      </c>
      <c r="L58">
        <v>1751.579</v>
      </c>
      <c r="M58">
        <v>1487.856</v>
      </c>
      <c r="N58">
        <v>1469.8520000000001</v>
      </c>
      <c r="O58">
        <v>1654.751</v>
      </c>
      <c r="P58">
        <v>1480.963</v>
      </c>
      <c r="R58" s="3">
        <f t="shared" si="2"/>
        <v>1569.0001999999999</v>
      </c>
      <c r="S58" s="3">
        <f t="shared" si="3"/>
        <v>56.944496332305889</v>
      </c>
    </row>
    <row r="59" spans="1:19" x14ac:dyDescent="0.25">
      <c r="A59">
        <v>61.25</v>
      </c>
      <c r="B59">
        <v>1466.472</v>
      </c>
      <c r="C59">
        <v>1765.0820000000001</v>
      </c>
      <c r="D59">
        <v>1961.923</v>
      </c>
      <c r="E59">
        <v>1902.076</v>
      </c>
      <c r="F59">
        <v>1449.7439999999999</v>
      </c>
      <c r="H59" s="2">
        <f t="shared" si="0"/>
        <v>1709.0594000000001</v>
      </c>
      <c r="I59" s="2">
        <f t="shared" si="1"/>
        <v>107.33756637524397</v>
      </c>
      <c r="K59">
        <v>61.25</v>
      </c>
      <c r="L59">
        <v>1689.471</v>
      </c>
      <c r="M59">
        <v>1420.2639999999999</v>
      </c>
      <c r="N59">
        <v>1411.5640000000001</v>
      </c>
      <c r="O59">
        <v>1595.473</v>
      </c>
      <c r="P59">
        <v>1420.9269999999999</v>
      </c>
      <c r="R59" s="3">
        <f t="shared" si="2"/>
        <v>1507.5398</v>
      </c>
      <c r="S59" s="3">
        <f t="shared" si="3"/>
        <v>57.079508481941225</v>
      </c>
    </row>
    <row r="60" spans="1:19" x14ac:dyDescent="0.25">
      <c r="A60">
        <v>62.5</v>
      </c>
      <c r="B60">
        <v>1409.4490000000001</v>
      </c>
      <c r="C60">
        <v>1700.327</v>
      </c>
      <c r="D60">
        <v>1878.846</v>
      </c>
      <c r="E60">
        <v>1838.364</v>
      </c>
      <c r="F60">
        <v>1391.644</v>
      </c>
      <c r="H60" s="2">
        <f t="shared" si="0"/>
        <v>1643.7259999999999</v>
      </c>
      <c r="I60" s="2">
        <f t="shared" si="1"/>
        <v>103.63399203398522</v>
      </c>
      <c r="K60">
        <v>62.5</v>
      </c>
      <c r="L60">
        <v>1625.2170000000001</v>
      </c>
      <c r="M60">
        <v>1357.4469999999999</v>
      </c>
      <c r="N60">
        <v>1351.3309999999999</v>
      </c>
      <c r="O60">
        <v>1550.777</v>
      </c>
      <c r="P60">
        <v>1374.9459999999999</v>
      </c>
      <c r="R60" s="3">
        <f t="shared" si="2"/>
        <v>1451.9436000000001</v>
      </c>
      <c r="S60" s="3">
        <f t="shared" si="3"/>
        <v>56.909070102752551</v>
      </c>
    </row>
    <row r="61" spans="1:19" x14ac:dyDescent="0.25">
      <c r="A61">
        <v>63.75</v>
      </c>
      <c r="B61">
        <v>1360.3489999999999</v>
      </c>
      <c r="C61">
        <v>1633.9880000000001</v>
      </c>
      <c r="D61">
        <v>1798.2829999999999</v>
      </c>
      <c r="E61">
        <v>1779.318</v>
      </c>
      <c r="F61">
        <v>1343.6969999999999</v>
      </c>
      <c r="H61" s="2">
        <f t="shared" si="0"/>
        <v>1583.127</v>
      </c>
      <c r="I61" s="2">
        <f t="shared" si="1"/>
        <v>98.571450309406956</v>
      </c>
      <c r="K61">
        <v>63.75</v>
      </c>
      <c r="L61">
        <v>1574.4929999999999</v>
      </c>
      <c r="M61">
        <v>1310.0450000000001</v>
      </c>
      <c r="N61">
        <v>1297.0360000000001</v>
      </c>
      <c r="O61">
        <v>1506.1869999999999</v>
      </c>
      <c r="P61">
        <v>1327.8219999999999</v>
      </c>
      <c r="R61" s="3">
        <f t="shared" si="2"/>
        <v>1403.1166000000001</v>
      </c>
      <c r="S61" s="3">
        <f t="shared" si="3"/>
        <v>57.261711049007239</v>
      </c>
    </row>
    <row r="62" spans="1:19" x14ac:dyDescent="0.25">
      <c r="A62">
        <v>65</v>
      </c>
      <c r="B62">
        <v>1313.508</v>
      </c>
      <c r="C62">
        <v>1577.498</v>
      </c>
      <c r="D62">
        <v>1720.6880000000001</v>
      </c>
      <c r="E62">
        <v>1717.153</v>
      </c>
      <c r="F62">
        <v>1310.1400000000001</v>
      </c>
      <c r="H62" s="2">
        <f t="shared" si="0"/>
        <v>1527.7974000000002</v>
      </c>
      <c r="I62" s="2">
        <f t="shared" si="1"/>
        <v>91.876865202073319</v>
      </c>
      <c r="K62">
        <v>65</v>
      </c>
      <c r="L62">
        <v>1534.5540000000001</v>
      </c>
      <c r="M62">
        <v>1268.82</v>
      </c>
      <c r="N62">
        <v>1246.105</v>
      </c>
      <c r="O62">
        <v>1468.67</v>
      </c>
      <c r="P62">
        <v>1282.7560000000001</v>
      </c>
      <c r="R62" s="3">
        <f t="shared" si="2"/>
        <v>1360.181</v>
      </c>
      <c r="S62" s="3">
        <f t="shared" si="3"/>
        <v>58.962107735392244</v>
      </c>
    </row>
    <row r="63" spans="1:19" x14ac:dyDescent="0.25">
      <c r="A63">
        <v>66.25</v>
      </c>
      <c r="B63">
        <v>1265.289</v>
      </c>
      <c r="C63">
        <v>1508.7660000000001</v>
      </c>
      <c r="D63">
        <v>1637.9690000000001</v>
      </c>
      <c r="E63">
        <v>1639.625</v>
      </c>
      <c r="F63">
        <v>1280.3389999999999</v>
      </c>
      <c r="H63" s="2">
        <f t="shared" si="0"/>
        <v>1466.3976</v>
      </c>
      <c r="I63" s="2">
        <f t="shared" si="1"/>
        <v>82.553628132021004</v>
      </c>
      <c r="K63">
        <v>66.25</v>
      </c>
      <c r="L63">
        <v>1496.124</v>
      </c>
      <c r="M63">
        <v>1225.127</v>
      </c>
      <c r="N63">
        <v>1199.4570000000001</v>
      </c>
      <c r="O63">
        <v>1444.633</v>
      </c>
      <c r="P63">
        <v>1243.8209999999999</v>
      </c>
      <c r="R63" s="3">
        <f t="shared" si="2"/>
        <v>1321.8324</v>
      </c>
      <c r="S63" s="3">
        <f t="shared" si="3"/>
        <v>61.591801660285938</v>
      </c>
    </row>
    <row r="64" spans="1:19" x14ac:dyDescent="0.25">
      <c r="A64">
        <v>67.5</v>
      </c>
      <c r="B64">
        <v>1219.0129999999999</v>
      </c>
      <c r="C64">
        <v>1435.827</v>
      </c>
      <c r="D64">
        <v>1566.712</v>
      </c>
      <c r="E64">
        <v>1571.8589999999999</v>
      </c>
      <c r="F64">
        <v>1251.5519999999999</v>
      </c>
      <c r="H64" s="2">
        <f t="shared" si="0"/>
        <v>1408.9926</v>
      </c>
      <c r="I64" s="2">
        <f t="shared" si="1"/>
        <v>75.166731122618401</v>
      </c>
      <c r="K64">
        <v>67.5</v>
      </c>
      <c r="L64">
        <v>1464.1010000000001</v>
      </c>
      <c r="M64">
        <v>1176.723</v>
      </c>
      <c r="N64">
        <v>1155.076</v>
      </c>
      <c r="O64">
        <v>1424.2760000000001</v>
      </c>
      <c r="P64">
        <v>1203.1010000000001</v>
      </c>
      <c r="R64" s="3">
        <f t="shared" si="2"/>
        <v>1284.6554000000001</v>
      </c>
      <c r="S64" s="3">
        <f t="shared" si="3"/>
        <v>65.873355515413252</v>
      </c>
    </row>
    <row r="65" spans="1:19" x14ac:dyDescent="0.25">
      <c r="A65">
        <v>68.75</v>
      </c>
      <c r="B65">
        <v>1189.222</v>
      </c>
      <c r="C65">
        <v>1377.165</v>
      </c>
      <c r="D65">
        <v>1510.38</v>
      </c>
      <c r="E65">
        <v>1529.2539999999999</v>
      </c>
      <c r="F65">
        <v>1227.1980000000001</v>
      </c>
      <c r="H65" s="2">
        <f t="shared" si="0"/>
        <v>1366.6438000000001</v>
      </c>
      <c r="I65" s="2">
        <f t="shared" si="1"/>
        <v>70.048730979511973</v>
      </c>
      <c r="K65">
        <v>68.75</v>
      </c>
      <c r="L65">
        <v>1434.146</v>
      </c>
      <c r="M65">
        <v>1136.7809999999999</v>
      </c>
      <c r="N65">
        <v>1122.5909999999999</v>
      </c>
      <c r="O65">
        <v>1393.9549999999999</v>
      </c>
      <c r="P65">
        <v>1167.49</v>
      </c>
      <c r="R65" s="3">
        <f t="shared" si="2"/>
        <v>1250.9926</v>
      </c>
      <c r="S65" s="3">
        <f t="shared" si="3"/>
        <v>67.263422604414473</v>
      </c>
    </row>
    <row r="66" spans="1:19" x14ac:dyDescent="0.25">
      <c r="A66">
        <v>70</v>
      </c>
      <c r="B66">
        <v>1171.758</v>
      </c>
      <c r="C66">
        <v>1344.03</v>
      </c>
      <c r="D66">
        <v>1479.7650000000001</v>
      </c>
      <c r="E66">
        <v>1515.24</v>
      </c>
      <c r="F66">
        <v>1206.9770000000001</v>
      </c>
      <c r="H66" s="2">
        <f t="shared" si="0"/>
        <v>1343.5539999999999</v>
      </c>
      <c r="I66" s="2">
        <f t="shared" si="1"/>
        <v>69.353041835957569</v>
      </c>
      <c r="K66">
        <v>70</v>
      </c>
      <c r="L66">
        <v>1417.0360000000001</v>
      </c>
      <c r="M66">
        <v>1123.7739999999999</v>
      </c>
      <c r="N66">
        <v>1104.2539999999999</v>
      </c>
      <c r="O66">
        <v>1371.923</v>
      </c>
      <c r="P66">
        <v>1145.5940000000001</v>
      </c>
      <c r="R66" s="3">
        <f t="shared" si="2"/>
        <v>1232.5162</v>
      </c>
      <c r="S66" s="3">
        <f t="shared" si="3"/>
        <v>66.825646027853523</v>
      </c>
    </row>
    <row r="67" spans="1:19" x14ac:dyDescent="0.25">
      <c r="A67">
        <v>71.25</v>
      </c>
      <c r="B67">
        <v>1165.6489999999999</v>
      </c>
      <c r="C67">
        <v>1336.296</v>
      </c>
      <c r="D67">
        <v>1476.932</v>
      </c>
      <c r="E67">
        <v>1509.0640000000001</v>
      </c>
      <c r="F67">
        <v>1203.7750000000001</v>
      </c>
      <c r="H67" s="2">
        <f t="shared" si="0"/>
        <v>1338.3432</v>
      </c>
      <c r="I67" s="2">
        <f t="shared" si="1"/>
        <v>69.386066768047485</v>
      </c>
      <c r="K67">
        <v>71.25</v>
      </c>
      <c r="L67">
        <v>1417.9880000000001</v>
      </c>
      <c r="M67">
        <v>1115.278</v>
      </c>
      <c r="N67">
        <v>1097.2739999999999</v>
      </c>
      <c r="O67">
        <v>1362.8409999999999</v>
      </c>
      <c r="P67">
        <v>1141.8399999999999</v>
      </c>
      <c r="R67" s="3">
        <f t="shared" si="2"/>
        <v>1227.0441999999998</v>
      </c>
      <c r="S67" s="3">
        <f t="shared" si="3"/>
        <v>67.635807682321882</v>
      </c>
    </row>
    <row r="68" spans="1:19" x14ac:dyDescent="0.25">
      <c r="A68">
        <v>72.5</v>
      </c>
      <c r="B68">
        <v>1174.165</v>
      </c>
      <c r="C68">
        <v>1344.133</v>
      </c>
      <c r="D68">
        <v>1484.587</v>
      </c>
      <c r="E68">
        <v>1514.8040000000001</v>
      </c>
      <c r="F68">
        <v>1207.683</v>
      </c>
      <c r="H68" s="2">
        <f t="shared" si="0"/>
        <v>1345.0744</v>
      </c>
      <c r="I68" s="2">
        <f t="shared" si="1"/>
        <v>69.411529557847075</v>
      </c>
      <c r="K68">
        <v>72.5</v>
      </c>
      <c r="L68">
        <v>1425.4939999999999</v>
      </c>
      <c r="M68">
        <v>1128.2159999999999</v>
      </c>
      <c r="N68">
        <v>1108.117</v>
      </c>
      <c r="O68">
        <v>1370.5050000000001</v>
      </c>
      <c r="P68">
        <v>1149.4069999999999</v>
      </c>
      <c r="R68" s="3">
        <f t="shared" si="2"/>
        <v>1236.3478</v>
      </c>
      <c r="S68" s="3">
        <f t="shared" si="3"/>
        <v>66.883767175151817</v>
      </c>
    </row>
    <row r="69" spans="1:19" x14ac:dyDescent="0.25">
      <c r="A69">
        <v>73.75</v>
      </c>
      <c r="B69">
        <v>1208.4870000000001</v>
      </c>
      <c r="C69">
        <v>1372.3920000000001</v>
      </c>
      <c r="D69">
        <v>1521.2170000000001</v>
      </c>
      <c r="E69">
        <v>1546.86</v>
      </c>
      <c r="F69">
        <v>1222.942</v>
      </c>
      <c r="H69" s="2">
        <f t="shared" ref="H69:H96" si="4">AVERAGE(B69:F69)</f>
        <v>1374.3795999999998</v>
      </c>
      <c r="I69" s="2">
        <f t="shared" ref="I69:I96" si="5">STDEV(B69:F69)/SQRT(COUNT(B69:F69))</f>
        <v>71.33314881778432</v>
      </c>
      <c r="K69">
        <v>73.75</v>
      </c>
      <c r="L69">
        <v>1455.9369999999999</v>
      </c>
      <c r="M69">
        <v>1162.768</v>
      </c>
      <c r="N69">
        <v>1136.877</v>
      </c>
      <c r="O69">
        <v>1402.9549999999999</v>
      </c>
      <c r="P69">
        <v>1172.5530000000001</v>
      </c>
      <c r="R69" s="3">
        <f t="shared" ref="R69:R96" si="6">AVERAGE(L69:P69)</f>
        <v>1266.2180000000001</v>
      </c>
      <c r="S69" s="3">
        <f t="shared" ref="S69:S96" si="7">STDEV(L69:P69)/SQRT(COUNT(L69:P69))</f>
        <v>67.414551521165933</v>
      </c>
    </row>
    <row r="70" spans="1:19" x14ac:dyDescent="0.25">
      <c r="A70">
        <v>75</v>
      </c>
      <c r="B70">
        <v>1266.3430000000001</v>
      </c>
      <c r="C70">
        <v>1427.4010000000001</v>
      </c>
      <c r="D70">
        <v>1589.288</v>
      </c>
      <c r="E70">
        <v>1619.62</v>
      </c>
      <c r="F70">
        <v>1281.047</v>
      </c>
      <c r="H70" s="2">
        <f t="shared" si="4"/>
        <v>1436.7398000000001</v>
      </c>
      <c r="I70" s="2">
        <f t="shared" si="5"/>
        <v>74.18849354273145</v>
      </c>
      <c r="K70">
        <v>75</v>
      </c>
      <c r="L70">
        <v>1532.3430000000001</v>
      </c>
      <c r="M70">
        <v>1225.1130000000001</v>
      </c>
      <c r="N70">
        <v>1193.492</v>
      </c>
      <c r="O70">
        <v>1482.944</v>
      </c>
      <c r="P70">
        <v>1238.075</v>
      </c>
      <c r="R70" s="3">
        <f t="shared" si="6"/>
        <v>1334.3933999999999</v>
      </c>
      <c r="S70" s="3">
        <f t="shared" si="7"/>
        <v>71.527606357685926</v>
      </c>
    </row>
    <row r="71" spans="1:19" x14ac:dyDescent="0.25">
      <c r="A71">
        <v>76.25</v>
      </c>
      <c r="B71">
        <v>1338.537</v>
      </c>
      <c r="C71">
        <v>1508.405</v>
      </c>
      <c r="D71">
        <v>1668.3679999999999</v>
      </c>
      <c r="E71">
        <v>1709.0419999999999</v>
      </c>
      <c r="F71">
        <v>1379.1790000000001</v>
      </c>
      <c r="H71" s="2">
        <f t="shared" si="4"/>
        <v>1520.7061999999999</v>
      </c>
      <c r="I71" s="2">
        <f t="shared" si="5"/>
        <v>74.377841468679335</v>
      </c>
      <c r="K71">
        <v>76.25</v>
      </c>
      <c r="L71">
        <v>1637.71</v>
      </c>
      <c r="M71">
        <v>1292.742</v>
      </c>
      <c r="N71">
        <v>1268.4770000000001</v>
      </c>
      <c r="O71">
        <v>1587.83</v>
      </c>
      <c r="P71">
        <v>1315.875</v>
      </c>
      <c r="R71" s="3">
        <f t="shared" si="6"/>
        <v>1420.5268000000001</v>
      </c>
      <c r="S71" s="3">
        <f t="shared" si="7"/>
        <v>79.233515360231038</v>
      </c>
    </row>
    <row r="72" spans="1:19" x14ac:dyDescent="0.25">
      <c r="A72">
        <v>77.5</v>
      </c>
      <c r="B72">
        <v>1374.018</v>
      </c>
      <c r="C72">
        <v>1544.779</v>
      </c>
      <c r="D72">
        <v>1696.729</v>
      </c>
      <c r="E72">
        <v>1745.1880000000001</v>
      </c>
      <c r="F72">
        <v>1431.8409999999999</v>
      </c>
      <c r="H72" s="2">
        <f t="shared" si="4"/>
        <v>1558.511</v>
      </c>
      <c r="I72" s="2">
        <f t="shared" si="5"/>
        <v>72.188656181563616</v>
      </c>
      <c r="K72">
        <v>77.5</v>
      </c>
      <c r="L72">
        <v>1690.6210000000001</v>
      </c>
      <c r="M72">
        <v>1319.683</v>
      </c>
      <c r="N72">
        <v>1297.595</v>
      </c>
      <c r="O72">
        <v>1637.069</v>
      </c>
      <c r="P72">
        <v>1345.4169999999999</v>
      </c>
      <c r="R72" s="3">
        <f t="shared" si="6"/>
        <v>1458.077</v>
      </c>
      <c r="S72" s="3">
        <f t="shared" si="7"/>
        <v>84.76865433637613</v>
      </c>
    </row>
    <row r="73" spans="1:19" x14ac:dyDescent="0.25">
      <c r="A73">
        <v>78.75</v>
      </c>
      <c r="B73">
        <v>1333.335</v>
      </c>
      <c r="C73">
        <v>1513.3009999999999</v>
      </c>
      <c r="D73">
        <v>1657.953</v>
      </c>
      <c r="E73">
        <v>1712.9480000000001</v>
      </c>
      <c r="F73">
        <v>1388.1969999999999</v>
      </c>
      <c r="H73" s="2">
        <f t="shared" si="4"/>
        <v>1521.1468</v>
      </c>
      <c r="I73" s="2">
        <f t="shared" si="5"/>
        <v>73.659390031685732</v>
      </c>
      <c r="K73">
        <v>78.75</v>
      </c>
      <c r="L73">
        <v>1650.673</v>
      </c>
      <c r="M73">
        <v>1292.0809999999999</v>
      </c>
      <c r="N73">
        <v>1260.548</v>
      </c>
      <c r="O73">
        <v>1590.08</v>
      </c>
      <c r="P73">
        <v>1314.979</v>
      </c>
      <c r="R73" s="3">
        <f t="shared" si="6"/>
        <v>1421.6722</v>
      </c>
      <c r="S73" s="3">
        <f t="shared" si="7"/>
        <v>82.140391821198193</v>
      </c>
    </row>
    <row r="74" spans="1:19" x14ac:dyDescent="0.25">
      <c r="A74">
        <v>80</v>
      </c>
      <c r="B74">
        <v>1301.6469999999999</v>
      </c>
      <c r="C74">
        <v>1490.4059999999999</v>
      </c>
      <c r="D74">
        <v>1639.3920000000001</v>
      </c>
      <c r="E74">
        <v>1682.9739999999999</v>
      </c>
      <c r="F74">
        <v>1341.4490000000001</v>
      </c>
      <c r="H74" s="2">
        <f t="shared" si="4"/>
        <v>1491.1736000000001</v>
      </c>
      <c r="I74" s="2">
        <f t="shared" si="5"/>
        <v>76.516163227516202</v>
      </c>
      <c r="K74">
        <v>80</v>
      </c>
      <c r="L74">
        <v>1641.799</v>
      </c>
      <c r="M74">
        <v>1295.864</v>
      </c>
      <c r="N74">
        <v>1245.587</v>
      </c>
      <c r="O74">
        <v>1572.575</v>
      </c>
      <c r="P74">
        <v>1323.251</v>
      </c>
      <c r="R74" s="3">
        <f t="shared" si="6"/>
        <v>1415.8152</v>
      </c>
      <c r="S74" s="3">
        <f t="shared" si="7"/>
        <v>79.867507265722054</v>
      </c>
    </row>
    <row r="75" spans="1:19" x14ac:dyDescent="0.25">
      <c r="A75">
        <v>81.25</v>
      </c>
      <c r="B75">
        <v>1471.4949999999999</v>
      </c>
      <c r="C75">
        <v>1664.6420000000001</v>
      </c>
      <c r="D75">
        <v>1858.1510000000001</v>
      </c>
      <c r="E75">
        <v>1903.7470000000001</v>
      </c>
      <c r="F75">
        <v>1514.903</v>
      </c>
      <c r="H75" s="2">
        <f t="shared" si="4"/>
        <v>1682.5876000000001</v>
      </c>
      <c r="I75" s="2">
        <f t="shared" si="5"/>
        <v>87.388283836908585</v>
      </c>
      <c r="K75">
        <v>81.25</v>
      </c>
      <c r="L75">
        <v>1963.5719999999999</v>
      </c>
      <c r="M75">
        <v>1519.6659999999999</v>
      </c>
      <c r="N75">
        <v>1446.068</v>
      </c>
      <c r="O75">
        <v>1816.7739999999999</v>
      </c>
      <c r="P75">
        <v>1547.749</v>
      </c>
      <c r="R75" s="3">
        <f t="shared" si="6"/>
        <v>1658.7657999999999</v>
      </c>
      <c r="S75" s="3">
        <f t="shared" si="7"/>
        <v>98.688208311023274</v>
      </c>
    </row>
    <row r="76" spans="1:19" x14ac:dyDescent="0.25">
      <c r="A76">
        <v>82.5</v>
      </c>
      <c r="B76">
        <v>2038.9580000000001</v>
      </c>
      <c r="C76">
        <v>2244.4360000000001</v>
      </c>
      <c r="D76">
        <v>2462.6660000000002</v>
      </c>
      <c r="E76">
        <v>2561.7080000000001</v>
      </c>
      <c r="F76">
        <v>2097.1590000000001</v>
      </c>
      <c r="H76" s="2">
        <f t="shared" si="4"/>
        <v>2280.9854</v>
      </c>
      <c r="I76" s="2">
        <f t="shared" si="5"/>
        <v>101.37018420008913</v>
      </c>
      <c r="K76">
        <v>82.5</v>
      </c>
      <c r="L76">
        <v>2760.7489999999998</v>
      </c>
      <c r="M76">
        <v>2042.933</v>
      </c>
      <c r="N76">
        <v>1994.0809999999999</v>
      </c>
      <c r="O76">
        <v>2478.7689999999998</v>
      </c>
      <c r="P76">
        <v>2133.134</v>
      </c>
      <c r="R76" s="3">
        <f t="shared" si="6"/>
        <v>2281.9331999999999</v>
      </c>
      <c r="S76" s="3">
        <f t="shared" si="7"/>
        <v>146.65096130895307</v>
      </c>
    </row>
    <row r="77" spans="1:19" x14ac:dyDescent="0.25">
      <c r="A77">
        <v>83.75</v>
      </c>
      <c r="B77">
        <v>2823.6280000000002</v>
      </c>
      <c r="C77">
        <v>3074.4459999999999</v>
      </c>
      <c r="D77">
        <v>3192.5940000000001</v>
      </c>
      <c r="E77">
        <v>3418.9369999999999</v>
      </c>
      <c r="F77">
        <v>2986.123</v>
      </c>
      <c r="H77" s="2">
        <f t="shared" si="4"/>
        <v>3099.1456000000003</v>
      </c>
      <c r="I77" s="2">
        <f t="shared" si="5"/>
        <v>100.07329045184831</v>
      </c>
      <c r="K77">
        <v>83.75</v>
      </c>
      <c r="L77">
        <v>3771.5349999999999</v>
      </c>
      <c r="M77">
        <v>2762.3380000000002</v>
      </c>
      <c r="N77">
        <v>2722.8069999999998</v>
      </c>
      <c r="O77">
        <v>3415.3420000000001</v>
      </c>
      <c r="P77">
        <v>2885.6680000000001</v>
      </c>
      <c r="R77" s="3">
        <f t="shared" si="6"/>
        <v>3111.538</v>
      </c>
      <c r="S77" s="3">
        <f t="shared" si="7"/>
        <v>206.39314398569451</v>
      </c>
    </row>
    <row r="78" spans="1:19" x14ac:dyDescent="0.25">
      <c r="A78">
        <v>85</v>
      </c>
      <c r="B78">
        <v>3437.1120000000001</v>
      </c>
      <c r="C78">
        <v>3695.6239999999998</v>
      </c>
      <c r="D78">
        <v>3672.0970000000002</v>
      </c>
      <c r="E78">
        <v>4044.317</v>
      </c>
      <c r="F78">
        <v>3685.1909999999998</v>
      </c>
      <c r="H78" s="2">
        <f t="shared" si="4"/>
        <v>3706.8681999999999</v>
      </c>
      <c r="I78" s="2">
        <f t="shared" si="5"/>
        <v>97.068395846124886</v>
      </c>
      <c r="K78">
        <v>85</v>
      </c>
      <c r="L78">
        <v>4561.1689999999999</v>
      </c>
      <c r="M78">
        <v>3275.3150000000001</v>
      </c>
      <c r="N78">
        <v>3245.3290000000002</v>
      </c>
      <c r="O78">
        <v>4176.4889999999996</v>
      </c>
      <c r="P78">
        <v>3415.8209999999999</v>
      </c>
      <c r="R78" s="3">
        <f t="shared" si="6"/>
        <v>3734.8245999999999</v>
      </c>
      <c r="S78" s="3">
        <f t="shared" si="7"/>
        <v>267.43511562276285</v>
      </c>
    </row>
    <row r="79" spans="1:19" x14ac:dyDescent="0.25">
      <c r="A79">
        <v>86.25</v>
      </c>
      <c r="B79">
        <v>3564.4160000000002</v>
      </c>
      <c r="C79">
        <v>3796.9169999999999</v>
      </c>
      <c r="D79">
        <v>3614.0120000000002</v>
      </c>
      <c r="E79">
        <v>4087.413</v>
      </c>
      <c r="F79">
        <v>3894.1179999999999</v>
      </c>
      <c r="H79" s="2">
        <f t="shared" si="4"/>
        <v>3791.3751999999999</v>
      </c>
      <c r="I79" s="2">
        <f t="shared" si="5"/>
        <v>95.182287403381892</v>
      </c>
      <c r="K79">
        <v>86.25</v>
      </c>
      <c r="L79">
        <v>4714.3370000000004</v>
      </c>
      <c r="M79">
        <v>3338.6390000000001</v>
      </c>
      <c r="N79">
        <v>3322.4879999999998</v>
      </c>
      <c r="O79">
        <v>4361.1350000000002</v>
      </c>
      <c r="P79">
        <v>3471.8090000000002</v>
      </c>
      <c r="R79" s="3">
        <f t="shared" si="6"/>
        <v>3841.6815999999999</v>
      </c>
      <c r="S79" s="3">
        <f t="shared" si="7"/>
        <v>290.75581454608965</v>
      </c>
    </row>
    <row r="80" spans="1:19" x14ac:dyDescent="0.25">
      <c r="A80">
        <v>87.5</v>
      </c>
      <c r="B80">
        <v>3210.904</v>
      </c>
      <c r="C80">
        <v>3407.989</v>
      </c>
      <c r="D80">
        <v>3173.22</v>
      </c>
      <c r="E80">
        <v>3620.4870000000001</v>
      </c>
      <c r="F80">
        <v>3541.9879999999998</v>
      </c>
      <c r="H80" s="2">
        <f t="shared" si="4"/>
        <v>3390.9175999999998</v>
      </c>
      <c r="I80" s="2">
        <f t="shared" si="5"/>
        <v>88.207978409325335</v>
      </c>
      <c r="K80">
        <v>87.5</v>
      </c>
      <c r="L80">
        <v>4236.8509999999997</v>
      </c>
      <c r="M80">
        <v>2989.3530000000001</v>
      </c>
      <c r="N80">
        <v>2948.7260000000001</v>
      </c>
      <c r="O80">
        <v>3973.328</v>
      </c>
      <c r="P80">
        <v>3088.73</v>
      </c>
      <c r="R80" s="3">
        <f t="shared" si="6"/>
        <v>3447.3976000000002</v>
      </c>
      <c r="S80" s="3">
        <f t="shared" si="7"/>
        <v>272.66830801737831</v>
      </c>
    </row>
    <row r="81" spans="1:19" x14ac:dyDescent="0.25">
      <c r="A81">
        <v>88.75</v>
      </c>
      <c r="B81">
        <v>2723.0349999999999</v>
      </c>
      <c r="C81">
        <v>2877.067</v>
      </c>
      <c r="D81">
        <v>2725.0520000000001</v>
      </c>
      <c r="E81">
        <v>3080.0880000000002</v>
      </c>
      <c r="F81">
        <v>2996.232</v>
      </c>
      <c r="H81" s="2">
        <f t="shared" si="4"/>
        <v>2880.2948000000001</v>
      </c>
      <c r="I81" s="2">
        <f t="shared" si="5"/>
        <v>71.484315570200451</v>
      </c>
      <c r="K81">
        <v>88.75</v>
      </c>
      <c r="L81">
        <v>3602.1239999999998</v>
      </c>
      <c r="M81">
        <v>2548.2489999999998</v>
      </c>
      <c r="N81">
        <v>2480.2550000000001</v>
      </c>
      <c r="O81">
        <v>3346.9360000000001</v>
      </c>
      <c r="P81">
        <v>2602.2689999999998</v>
      </c>
      <c r="R81" s="3">
        <f t="shared" si="6"/>
        <v>2915.9666000000002</v>
      </c>
      <c r="S81" s="3">
        <f t="shared" si="7"/>
        <v>232.38046575403001</v>
      </c>
    </row>
    <row r="82" spans="1:19" x14ac:dyDescent="0.25">
      <c r="A82">
        <v>90</v>
      </c>
      <c r="B82">
        <v>2537.0129999999999</v>
      </c>
      <c r="C82">
        <v>2667.0259999999998</v>
      </c>
      <c r="D82">
        <v>2570.0279999999998</v>
      </c>
      <c r="E82">
        <v>2888.8780000000002</v>
      </c>
      <c r="F82">
        <v>2819.6190000000001</v>
      </c>
      <c r="H82" s="2">
        <f t="shared" si="4"/>
        <v>2696.5128</v>
      </c>
      <c r="I82" s="2">
        <f t="shared" si="5"/>
        <v>68.72683931871164</v>
      </c>
      <c r="K82">
        <v>90</v>
      </c>
      <c r="L82">
        <v>3399.6239999999998</v>
      </c>
      <c r="M82">
        <v>2413.8159999999998</v>
      </c>
      <c r="N82">
        <v>2327.942</v>
      </c>
      <c r="O82">
        <v>3080.2559999999999</v>
      </c>
      <c r="P82">
        <v>2433.4229999999998</v>
      </c>
      <c r="R82" s="3">
        <f t="shared" si="6"/>
        <v>2731.0121999999997</v>
      </c>
      <c r="S82" s="3">
        <f t="shared" si="7"/>
        <v>214.55201214586666</v>
      </c>
    </row>
    <row r="83" spans="1:19" x14ac:dyDescent="0.25">
      <c r="A83">
        <v>91.25</v>
      </c>
      <c r="B83">
        <v>2701.1860000000001</v>
      </c>
      <c r="C83">
        <v>2758.2919999999999</v>
      </c>
      <c r="D83">
        <v>2613.0909999999999</v>
      </c>
      <c r="E83">
        <v>2963.9789999999998</v>
      </c>
      <c r="F83">
        <v>3070.0990000000002</v>
      </c>
      <c r="H83" s="2">
        <f t="shared" si="4"/>
        <v>2821.3293999999996</v>
      </c>
      <c r="I83" s="2">
        <f t="shared" si="5"/>
        <v>84.85475940134414</v>
      </c>
      <c r="K83">
        <v>91.25</v>
      </c>
      <c r="L83">
        <v>3715.72</v>
      </c>
      <c r="M83">
        <v>2537.2959999999998</v>
      </c>
      <c r="N83">
        <v>2466.5</v>
      </c>
      <c r="O83">
        <v>3320.2829999999999</v>
      </c>
      <c r="P83">
        <v>2625.3420000000001</v>
      </c>
      <c r="R83" s="3">
        <f t="shared" si="6"/>
        <v>2933.0281999999997</v>
      </c>
      <c r="S83" s="3">
        <f t="shared" si="7"/>
        <v>248.14270763945478</v>
      </c>
    </row>
    <row r="84" spans="1:19" x14ac:dyDescent="0.25">
      <c r="A84">
        <v>92.5</v>
      </c>
      <c r="B84">
        <v>2898.15</v>
      </c>
      <c r="C84">
        <v>2921.2649999999999</v>
      </c>
      <c r="D84">
        <v>2752.9340000000002</v>
      </c>
      <c r="E84">
        <v>3110.9180000000001</v>
      </c>
      <c r="F84">
        <v>3346.7689999999998</v>
      </c>
      <c r="H84" s="2">
        <f t="shared" si="4"/>
        <v>3006.0072</v>
      </c>
      <c r="I84" s="2">
        <f t="shared" si="5"/>
        <v>102.46593114464918</v>
      </c>
      <c r="K84">
        <v>92.5</v>
      </c>
      <c r="L84">
        <v>4060.692</v>
      </c>
      <c r="M84">
        <v>2703.0169999999998</v>
      </c>
      <c r="N84">
        <v>2640.154</v>
      </c>
      <c r="O84">
        <v>3654.136</v>
      </c>
      <c r="P84">
        <v>2860.645</v>
      </c>
      <c r="R84" s="3">
        <f t="shared" si="6"/>
        <v>3183.7287999999999</v>
      </c>
      <c r="S84" s="3">
        <f t="shared" si="7"/>
        <v>284.71809984990477</v>
      </c>
    </row>
    <row r="85" spans="1:19" x14ac:dyDescent="0.25">
      <c r="A85">
        <v>93.75</v>
      </c>
      <c r="B85">
        <v>3037.3220000000001</v>
      </c>
      <c r="C85">
        <v>3088.4160000000002</v>
      </c>
      <c r="D85">
        <v>3032.67</v>
      </c>
      <c r="E85">
        <v>3329.5990000000002</v>
      </c>
      <c r="F85">
        <v>3474.837</v>
      </c>
      <c r="H85" s="2">
        <f t="shared" si="4"/>
        <v>3192.5688</v>
      </c>
      <c r="I85" s="2">
        <f t="shared" si="5"/>
        <v>89.154252097922935</v>
      </c>
      <c r="K85">
        <v>93.75</v>
      </c>
      <c r="L85">
        <v>4198.0600000000004</v>
      </c>
      <c r="M85">
        <v>2844.7739999999999</v>
      </c>
      <c r="N85">
        <v>2807.2779999999998</v>
      </c>
      <c r="O85">
        <v>3846.864</v>
      </c>
      <c r="P85">
        <v>3020.1959999999999</v>
      </c>
      <c r="R85" s="3">
        <f t="shared" si="6"/>
        <v>3343.4343999999996</v>
      </c>
      <c r="S85" s="3">
        <f t="shared" si="7"/>
        <v>284.99431760608968</v>
      </c>
    </row>
    <row r="86" spans="1:19" x14ac:dyDescent="0.25">
      <c r="A86">
        <v>95</v>
      </c>
      <c r="B86">
        <v>3106.866</v>
      </c>
      <c r="C86">
        <v>3260.8710000000001</v>
      </c>
      <c r="D86">
        <v>3412.8820000000001</v>
      </c>
      <c r="E86">
        <v>3602.913</v>
      </c>
      <c r="F86">
        <v>3467.6280000000002</v>
      </c>
      <c r="H86" s="2">
        <f t="shared" si="4"/>
        <v>3370.232</v>
      </c>
      <c r="I86" s="2">
        <f t="shared" si="5"/>
        <v>85.664149255683384</v>
      </c>
      <c r="K86">
        <v>95</v>
      </c>
      <c r="L86">
        <v>4131.4059999999999</v>
      </c>
      <c r="M86">
        <v>2947.2179999999998</v>
      </c>
      <c r="N86">
        <v>2916.201</v>
      </c>
      <c r="O86">
        <v>3883.4409999999998</v>
      </c>
      <c r="P86">
        <v>3088.5419999999999</v>
      </c>
      <c r="R86" s="3">
        <f t="shared" si="6"/>
        <v>3393.3616000000002</v>
      </c>
      <c r="S86" s="3">
        <f t="shared" si="7"/>
        <v>255.39466451290485</v>
      </c>
    </row>
    <row r="87" spans="1:19" x14ac:dyDescent="0.25">
      <c r="A87">
        <v>96.25</v>
      </c>
      <c r="B87">
        <v>3123.223</v>
      </c>
      <c r="C87">
        <v>3424.6770000000001</v>
      </c>
      <c r="D87">
        <v>3711.6010000000001</v>
      </c>
      <c r="E87">
        <v>3830.4259999999999</v>
      </c>
      <c r="F87">
        <v>3392.8939999999998</v>
      </c>
      <c r="H87" s="2">
        <f t="shared" si="4"/>
        <v>3496.5641999999998</v>
      </c>
      <c r="I87" s="2">
        <f t="shared" si="5"/>
        <v>125.10065114994406</v>
      </c>
      <c r="K87">
        <v>96.25</v>
      </c>
      <c r="L87">
        <v>3995.2310000000002</v>
      </c>
      <c r="M87">
        <v>2998.6770000000001</v>
      </c>
      <c r="N87">
        <v>2946.4090000000001</v>
      </c>
      <c r="O87">
        <v>3854.6610000000001</v>
      </c>
      <c r="P87">
        <v>3109.029</v>
      </c>
      <c r="R87" s="3">
        <f t="shared" si="6"/>
        <v>3380.8014000000003</v>
      </c>
      <c r="S87" s="3">
        <f t="shared" si="7"/>
        <v>224.79353922245994</v>
      </c>
    </row>
    <row r="88" spans="1:19" x14ac:dyDescent="0.25">
      <c r="A88">
        <v>97.5</v>
      </c>
      <c r="B88">
        <v>3193.2049999999999</v>
      </c>
      <c r="C88">
        <v>3575.134</v>
      </c>
      <c r="D88">
        <v>4018.8209999999999</v>
      </c>
      <c r="E88">
        <v>4088.5039999999999</v>
      </c>
      <c r="F88">
        <v>3379.81</v>
      </c>
      <c r="H88" s="2">
        <f t="shared" si="4"/>
        <v>3651.0948000000003</v>
      </c>
      <c r="I88" s="2">
        <f t="shared" si="5"/>
        <v>175.43915201613348</v>
      </c>
      <c r="K88">
        <v>97.5</v>
      </c>
      <c r="L88">
        <v>3995.308</v>
      </c>
      <c r="M88">
        <v>3093.6660000000002</v>
      </c>
      <c r="N88">
        <v>3028.672</v>
      </c>
      <c r="O88">
        <v>3858.3560000000002</v>
      </c>
      <c r="P88">
        <v>3209.46</v>
      </c>
      <c r="R88" s="3">
        <f t="shared" si="6"/>
        <v>3437.0924</v>
      </c>
      <c r="S88" s="3">
        <f t="shared" si="7"/>
        <v>203.17887459713998</v>
      </c>
    </row>
    <row r="89" spans="1:19" x14ac:dyDescent="0.25">
      <c r="A89">
        <v>98.75</v>
      </c>
      <c r="B89">
        <v>3358.732</v>
      </c>
      <c r="C89">
        <v>3795.875</v>
      </c>
      <c r="D89">
        <v>4271.6850000000004</v>
      </c>
      <c r="E89">
        <v>4369.317</v>
      </c>
      <c r="F89">
        <v>3464.58</v>
      </c>
      <c r="H89" s="2">
        <f t="shared" si="4"/>
        <v>3852.0377999999996</v>
      </c>
      <c r="I89" s="2">
        <f t="shared" si="5"/>
        <v>204.97682337508604</v>
      </c>
      <c r="K89">
        <v>98.75</v>
      </c>
      <c r="L89">
        <v>4161.9290000000001</v>
      </c>
      <c r="M89">
        <v>3310.288</v>
      </c>
      <c r="N89">
        <v>3188.723</v>
      </c>
      <c r="O89">
        <v>4016.82</v>
      </c>
      <c r="P89">
        <v>3414.317</v>
      </c>
      <c r="R89" s="3">
        <f t="shared" si="6"/>
        <v>3618.4154000000003</v>
      </c>
      <c r="S89" s="3">
        <f t="shared" si="7"/>
        <v>196.89685990604278</v>
      </c>
    </row>
    <row r="90" spans="1:19" x14ac:dyDescent="0.25">
      <c r="A90">
        <v>100</v>
      </c>
      <c r="B90">
        <v>3437.3789999999999</v>
      </c>
      <c r="C90">
        <v>3908.1869999999999</v>
      </c>
      <c r="D90">
        <v>4362.5469999999996</v>
      </c>
      <c r="E90">
        <v>4460.3029999999999</v>
      </c>
      <c r="F90">
        <v>3517.241</v>
      </c>
      <c r="H90" s="2">
        <f t="shared" si="4"/>
        <v>3937.1313999999998</v>
      </c>
      <c r="I90" s="2">
        <f t="shared" si="5"/>
        <v>209.95060649819652</v>
      </c>
      <c r="K90">
        <v>100</v>
      </c>
      <c r="L90">
        <v>4301.2430000000004</v>
      </c>
      <c r="M90">
        <v>3402.8609999999999</v>
      </c>
      <c r="N90">
        <v>3280.8670000000002</v>
      </c>
      <c r="O90">
        <v>4112.8310000000001</v>
      </c>
      <c r="P90">
        <v>3508.248</v>
      </c>
      <c r="R90" s="3">
        <f t="shared" si="6"/>
        <v>3721.2100000000005</v>
      </c>
      <c r="S90" s="3">
        <f t="shared" si="7"/>
        <v>203.7653240401807</v>
      </c>
    </row>
    <row r="91" spans="1:19" x14ac:dyDescent="0.25">
      <c r="A91">
        <v>101.25</v>
      </c>
      <c r="B91">
        <v>3328.1030000000001</v>
      </c>
      <c r="C91">
        <v>3809.5210000000002</v>
      </c>
      <c r="D91">
        <v>4218.4570000000003</v>
      </c>
      <c r="E91">
        <v>4270.7700000000004</v>
      </c>
      <c r="F91">
        <v>3400.509</v>
      </c>
      <c r="H91" s="2">
        <f t="shared" si="4"/>
        <v>3805.4720000000002</v>
      </c>
      <c r="I91" s="2">
        <f t="shared" si="5"/>
        <v>197.35139053981749</v>
      </c>
      <c r="K91">
        <v>101.25</v>
      </c>
      <c r="L91">
        <v>4179.3789999999999</v>
      </c>
      <c r="M91">
        <v>3288.6750000000002</v>
      </c>
      <c r="N91">
        <v>3171.5219999999999</v>
      </c>
      <c r="O91">
        <v>4012.7510000000002</v>
      </c>
      <c r="P91">
        <v>3374.8519999999999</v>
      </c>
      <c r="R91" s="3">
        <f t="shared" si="6"/>
        <v>3605.4358000000002</v>
      </c>
      <c r="S91" s="3">
        <f t="shared" si="7"/>
        <v>204.58542812805649</v>
      </c>
    </row>
    <row r="92" spans="1:19" x14ac:dyDescent="0.25">
      <c r="A92">
        <v>102.5</v>
      </c>
      <c r="B92">
        <v>3099.4740000000002</v>
      </c>
      <c r="C92">
        <v>3559.3180000000002</v>
      </c>
      <c r="D92">
        <v>3943.8380000000002</v>
      </c>
      <c r="E92">
        <v>3970.931</v>
      </c>
      <c r="F92">
        <v>3140.1109999999999</v>
      </c>
      <c r="H92" s="2">
        <f t="shared" si="4"/>
        <v>3542.7344000000003</v>
      </c>
      <c r="I92" s="2">
        <f t="shared" si="5"/>
        <v>187.49624348359501</v>
      </c>
      <c r="K92">
        <v>102.5</v>
      </c>
      <c r="L92">
        <v>3879.9079999999999</v>
      </c>
      <c r="M92">
        <v>3048.768</v>
      </c>
      <c r="N92">
        <v>2933.8150000000001</v>
      </c>
      <c r="O92">
        <v>3787.9870000000001</v>
      </c>
      <c r="P92">
        <v>3123.9169999999999</v>
      </c>
      <c r="R92" s="3">
        <f t="shared" si="6"/>
        <v>3354.8789999999999</v>
      </c>
      <c r="S92" s="3">
        <f t="shared" si="7"/>
        <v>198.44146143963903</v>
      </c>
    </row>
    <row r="93" spans="1:19" x14ac:dyDescent="0.25">
      <c r="A93">
        <v>103.75</v>
      </c>
      <c r="B93">
        <v>2785.2339999999999</v>
      </c>
      <c r="C93">
        <v>3189.585</v>
      </c>
      <c r="D93">
        <v>3571.06</v>
      </c>
      <c r="E93">
        <v>3596.4960000000001</v>
      </c>
      <c r="F93">
        <v>2791.5279999999998</v>
      </c>
      <c r="H93" s="2">
        <f t="shared" si="4"/>
        <v>3186.7806</v>
      </c>
      <c r="I93" s="2">
        <f t="shared" si="5"/>
        <v>177.90580663643163</v>
      </c>
      <c r="K93">
        <v>103.75</v>
      </c>
      <c r="L93">
        <v>3475.8960000000002</v>
      </c>
      <c r="M93">
        <v>2729.4</v>
      </c>
      <c r="N93">
        <v>2622.0079999999998</v>
      </c>
      <c r="O93">
        <v>3471.8069999999998</v>
      </c>
      <c r="P93">
        <v>2796.3989999999999</v>
      </c>
      <c r="R93" s="3">
        <f t="shared" si="6"/>
        <v>3019.1019999999999</v>
      </c>
      <c r="S93" s="3">
        <f t="shared" si="7"/>
        <v>187.72454492021049</v>
      </c>
    </row>
    <row r="94" spans="1:19" x14ac:dyDescent="0.25">
      <c r="A94">
        <v>105</v>
      </c>
      <c r="B94">
        <v>2429.9009999999998</v>
      </c>
      <c r="C94">
        <v>2785.7240000000002</v>
      </c>
      <c r="D94">
        <v>3204.9029999999998</v>
      </c>
      <c r="E94">
        <v>3207.9189999999999</v>
      </c>
      <c r="F94">
        <v>2417.116</v>
      </c>
      <c r="H94" s="2">
        <f t="shared" si="4"/>
        <v>2809.1125999999999</v>
      </c>
      <c r="I94" s="2">
        <f t="shared" si="5"/>
        <v>175.17225579543089</v>
      </c>
      <c r="K94">
        <v>105</v>
      </c>
      <c r="L94">
        <v>3041.38</v>
      </c>
      <c r="M94">
        <v>2401.1320000000001</v>
      </c>
      <c r="N94">
        <v>2307.2840000000001</v>
      </c>
      <c r="O94">
        <v>3089.1480000000001</v>
      </c>
      <c r="P94">
        <v>2449.4229999999998</v>
      </c>
      <c r="R94" s="3">
        <f t="shared" si="6"/>
        <v>2657.6733999999997</v>
      </c>
      <c r="S94" s="3">
        <f t="shared" si="7"/>
        <v>168.13023760989728</v>
      </c>
    </row>
    <row r="95" spans="1:19" x14ac:dyDescent="0.25">
      <c r="A95">
        <v>106.25</v>
      </c>
      <c r="B95">
        <v>2194.6999999999998</v>
      </c>
      <c r="C95">
        <v>2507.8690000000001</v>
      </c>
      <c r="D95">
        <v>2983.0630000000001</v>
      </c>
      <c r="E95">
        <v>2964.36</v>
      </c>
      <c r="F95">
        <v>2181.3090000000002</v>
      </c>
      <c r="H95" s="2">
        <f t="shared" si="4"/>
        <v>2566.2601999999997</v>
      </c>
      <c r="I95" s="2">
        <f t="shared" si="5"/>
        <v>176.33235178077828</v>
      </c>
      <c r="K95">
        <v>106.25</v>
      </c>
      <c r="L95">
        <v>2747.4349999999999</v>
      </c>
      <c r="M95">
        <v>2191.556</v>
      </c>
      <c r="N95">
        <v>2100.2860000000001</v>
      </c>
      <c r="O95">
        <v>2820.95</v>
      </c>
      <c r="P95">
        <v>2231.1869999999999</v>
      </c>
      <c r="R95" s="3">
        <f t="shared" si="6"/>
        <v>2418.2828</v>
      </c>
      <c r="S95" s="3">
        <f t="shared" si="7"/>
        <v>151.32975413757927</v>
      </c>
    </row>
    <row r="96" spans="1:19" x14ac:dyDescent="0.25">
      <c r="A96">
        <v>107.5</v>
      </c>
      <c r="B96">
        <v>2083.6489999999999</v>
      </c>
      <c r="C96">
        <v>2388.7179999999998</v>
      </c>
      <c r="D96">
        <v>2872.248</v>
      </c>
      <c r="E96">
        <v>2856.4580000000001</v>
      </c>
      <c r="F96">
        <v>2081.7669999999998</v>
      </c>
      <c r="H96" s="2">
        <f t="shared" si="4"/>
        <v>2456.5680000000002</v>
      </c>
      <c r="I96" s="2">
        <f t="shared" si="5"/>
        <v>175.62031020955359</v>
      </c>
      <c r="K96">
        <v>107.5</v>
      </c>
      <c r="L96">
        <v>2638.1590000000001</v>
      </c>
      <c r="M96">
        <v>2089.672</v>
      </c>
      <c r="N96">
        <v>2009.079</v>
      </c>
      <c r="O96">
        <v>2711.4319999999998</v>
      </c>
      <c r="P96">
        <v>2135.52</v>
      </c>
      <c r="R96" s="3">
        <f t="shared" si="6"/>
        <v>2316.7724000000003</v>
      </c>
      <c r="S96" s="3">
        <f t="shared" si="7"/>
        <v>148.0114521111791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BRIGHT!OCT_RAW___\CO05\_dark_profiles_CO05_DARK</vt:lpstr>
      <vt:lpstr>BRIGHT!OCT_RAW___\CO05\_light_profiles_CO05_LIGHT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2019-11-17T03:27:06Z</dcterms:modified>
</cp:coreProperties>
</file>