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638\"/>
    </mc:Choice>
  </mc:AlternateContent>
  <xr:revisionPtr revIDLastSave="0" documentId="13_ncr:1_{20535A3A-1CDE-44D0-81C9-3DF5400FB429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01\_dark_profiles_CO01_DARK" localSheetId="0">BRIGHT!$A$2:$F$96</definedName>
    <definedName name="OCT_RAW___\CO01\_fovea_dark_profiles_CO01_DARK" localSheetId="0">BRIGHT!#REF!</definedName>
    <definedName name="OCT_RAW___\CO01\_fovea_light_profiles_CO01_LIGHT" localSheetId="0">BRIGHT!#REF!</definedName>
    <definedName name="OCT_RAW___\CO01\_light_profiles_CO01_LIGHT" localSheetId="0">BRIGHT!$K$2:$O$96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3695E-2558-4105-B543-17C53DF5DB96}" name="[[[OCT RAW]]]\CO01\_dark_profiles_CO01_DARK" type="6" refreshedVersion="6" background="1" saveData="1">
    <textPr codePage="437" sourceFile="E:\[Documents]\[[[OCT RAW]]]\CO01\_dark_profiles_CO01_DARK.txt" space="1" consecutive="1">
      <textFields count="6">
        <textField/>
        <textField/>
        <textField/>
        <textField/>
        <textField/>
        <textField/>
      </textFields>
    </textPr>
  </connection>
  <connection id="2" xr16:uid="{7FD5F114-8262-4721-BE4D-35129C5F5335}" name="[[[OCT RAW]]]\CO01\_light_profiles_CO01_LIGHT" type="6" refreshedVersion="6" background="1" saveData="1">
    <textPr codePage="437" sourceFile="E:\[Documents]\[[[OCT RAW]]]\CO01\_light_profiles_CO01_LIGHT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<sst xmlns="http://schemas.openxmlformats.org/spreadsheetml/2006/main" count="12" uniqueCount="8">
  <si>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</si>
  <si>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</si>
  <si>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</si>
  <si>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</si>
  <si>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</si>
  <si>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</si>
  <si>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CO638_DARK</t>
  </si>
  <si>
    <t>CO638_LIGHT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</si>
</sst>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583.19039999999995</c:v>
                </c:pt>
                <c:pt idx="1">
                  <c:v>895.16799999999989</c:v>
                </c:pt>
                <c:pt idx="2">
                  <c:v>1544.9456000000002</c:v>
                </c:pt>
                <c:pt idx="3">
                  <c:v>2256.3022000000001</c:v>
                </c:pt>
                <c:pt idx="4">
                  <c:v>3003.17</c:v>
                </c:pt>
                <c:pt idx="5">
                  <c:v>3567.3849999999998</c:v>
                </c:pt>
                <c:pt idx="6">
                  <c:v>3858.6956000000005</c:v>
                </c:pt>
                <c:pt idx="7">
                  <c:v>3966.7761999999993</c:v>
                </c:pt>
                <c:pt idx="8">
                  <c:v>3995.9580000000001</c:v>
                </c:pt>
                <c:pt idx="9">
                  <c:v>3910.3383999999996</c:v>
                </c:pt>
                <c:pt idx="10">
                  <c:v>3619.3623999999995</c:v>
                </c:pt>
                <c:pt idx="11">
                  <c:v>3143.2955999999999</c:v>
                </c:pt>
                <c:pt idx="12">
                  <c:v>2795.3407999999999</c:v>
                </c:pt>
                <c:pt idx="13">
                  <c:v>2620.9232000000002</c:v>
                </c:pt>
                <c:pt idx="14">
                  <c:v>2564.9472000000001</c:v>
                </c:pt>
                <c:pt idx="15">
                  <c:v>2546.1364000000003</c:v>
                </c:pt>
                <c:pt idx="16">
                  <c:v>2542.1704</c:v>
                </c:pt>
                <c:pt idx="17">
                  <c:v>2525.2701999999999</c:v>
                </c:pt>
                <c:pt idx="18">
                  <c:v>2512.2910000000002</c:v>
                </c:pt>
                <c:pt idx="19">
                  <c:v>2499.4146000000001</c:v>
                </c:pt>
                <c:pt idx="20">
                  <c:v>2488.6590000000006</c:v>
                </c:pt>
                <c:pt idx="21">
                  <c:v>2484.6179999999999</c:v>
                </c:pt>
                <c:pt idx="22">
                  <c:v>2499.0176000000001</c:v>
                </c:pt>
                <c:pt idx="23">
                  <c:v>2527.37</c:v>
                </c:pt>
                <c:pt idx="24">
                  <c:v>2558.7862</c:v>
                </c:pt>
                <c:pt idx="25">
                  <c:v>2595.2062000000001</c:v>
                </c:pt>
                <c:pt idx="26">
                  <c:v>2626.1332000000002</c:v>
                </c:pt>
                <c:pt idx="27">
                  <c:v>2666.9767999999999</c:v>
                </c:pt>
                <c:pt idx="28">
                  <c:v>2692.5171999999998</c:v>
                </c:pt>
                <c:pt idx="29">
                  <c:v>2678.0237999999999</c:v>
                </c:pt>
                <c:pt idx="30">
                  <c:v>2653.8112000000001</c:v>
                </c:pt>
                <c:pt idx="31">
                  <c:v>2604.52</c:v>
                </c:pt>
                <c:pt idx="32">
                  <c:v>2492.7972</c:v>
                </c:pt>
                <c:pt idx="33">
                  <c:v>2342.4800000000005</c:v>
                </c:pt>
                <c:pt idx="34">
                  <c:v>2207.6324</c:v>
                </c:pt>
                <c:pt idx="35">
                  <c:v>2105.3613999999998</c:v>
                </c:pt>
                <c:pt idx="36">
                  <c:v>2038.1576</c:v>
                </c:pt>
                <c:pt idx="37">
                  <c:v>2004.5124000000001</c:v>
                </c:pt>
                <c:pt idx="38">
                  <c:v>1995.5673999999999</c:v>
                </c:pt>
                <c:pt idx="39">
                  <c:v>2007.011</c:v>
                </c:pt>
                <c:pt idx="40">
                  <c:v>2058.924</c:v>
                </c:pt>
                <c:pt idx="41">
                  <c:v>2143.8352</c:v>
                </c:pt>
                <c:pt idx="42">
                  <c:v>2229.1668</c:v>
                </c:pt>
                <c:pt idx="43">
                  <c:v>2306.6027999999997</c:v>
                </c:pt>
                <c:pt idx="44">
                  <c:v>2369.8917999999999</c:v>
                </c:pt>
                <c:pt idx="45">
                  <c:v>2394.6621999999998</c:v>
                </c:pt>
                <c:pt idx="46">
                  <c:v>2380.9313999999999</c:v>
                </c:pt>
                <c:pt idx="47">
                  <c:v>2327.6433999999999</c:v>
                </c:pt>
                <c:pt idx="48">
                  <c:v>2209.5039999999999</c:v>
                </c:pt>
                <c:pt idx="49">
                  <c:v>2061.8864000000003</c:v>
                </c:pt>
                <c:pt idx="50">
                  <c:v>1948.1166000000001</c:v>
                </c:pt>
                <c:pt idx="51">
                  <c:v>1868.6295999999998</c:v>
                </c:pt>
                <c:pt idx="52">
                  <c:v>1813.1315999999999</c:v>
                </c:pt>
                <c:pt idx="53">
                  <c:v>1770.9371999999998</c:v>
                </c:pt>
                <c:pt idx="54">
                  <c:v>1734.6472000000001</c:v>
                </c:pt>
                <c:pt idx="55">
                  <c:v>1695.3786</c:v>
                </c:pt>
                <c:pt idx="56">
                  <c:v>1662.2585999999999</c:v>
                </c:pt>
                <c:pt idx="57">
                  <c:v>1639.1290000000001</c:v>
                </c:pt>
                <c:pt idx="58">
                  <c:v>1607.7339999999999</c:v>
                </c:pt>
                <c:pt idx="59">
                  <c:v>1569.8202000000001</c:v>
                </c:pt>
                <c:pt idx="60">
                  <c:v>1537.941</c:v>
                </c:pt>
                <c:pt idx="61">
                  <c:v>1523.7328</c:v>
                </c:pt>
                <c:pt idx="62">
                  <c:v>1551.2636000000002</c:v>
                </c:pt>
                <c:pt idx="63">
                  <c:v>1672.143</c:v>
                </c:pt>
                <c:pt idx="64">
                  <c:v>1855.1227999999999</c:v>
                </c:pt>
                <c:pt idx="65">
                  <c:v>1941.6047999999998</c:v>
                </c:pt>
                <c:pt idx="66">
                  <c:v>1883.0318</c:v>
                </c:pt>
                <c:pt idx="67">
                  <c:v>1814.3352000000002</c:v>
                </c:pt>
                <c:pt idx="68">
                  <c:v>1967.3539999999998</c:v>
                </c:pt>
                <c:pt idx="69">
                  <c:v>2491.9712</c:v>
                </c:pt>
                <c:pt idx="70">
                  <c:v>3215.7819999999997</c:v>
                </c:pt>
                <c:pt idx="71">
                  <c:v>3728.2161999999998</c:v>
                </c:pt>
                <c:pt idx="72">
                  <c:v>3783.7982000000002</c:v>
                </c:pt>
                <c:pt idx="73">
                  <c:v>3488.2866000000004</c:v>
                </c:pt>
                <c:pt idx="74">
                  <c:v>3254.9119999999998</c:v>
                </c:pt>
                <c:pt idx="75">
                  <c:v>3330.8599999999997</c:v>
                </c:pt>
                <c:pt idx="76">
                  <c:v>3590.3118000000004</c:v>
                </c:pt>
                <c:pt idx="77">
                  <c:v>3799.0245999999997</c:v>
                </c:pt>
                <c:pt idx="78">
                  <c:v>3838.9916000000003</c:v>
                </c:pt>
                <c:pt idx="79">
                  <c:v>3810.1239999999998</c:v>
                </c:pt>
                <c:pt idx="80">
                  <c:v>3873.0575999999992</c:v>
                </c:pt>
                <c:pt idx="81">
                  <c:v>4098.6974</c:v>
                </c:pt>
                <c:pt idx="82">
                  <c:v>4320.3625999999995</c:v>
                </c:pt>
                <c:pt idx="83">
                  <c:v>4393.5815999999995</c:v>
                </c:pt>
                <c:pt idx="84">
                  <c:v>4239.5857999999998</c:v>
                </c:pt>
                <c:pt idx="85">
                  <c:v>3875.0664000000006</c:v>
                </c:pt>
                <c:pt idx="86">
                  <c:v>3407.201</c:v>
                </c:pt>
                <c:pt idx="87">
                  <c:v>2987.8393999999998</c:v>
                </c:pt>
                <c:pt idx="88">
                  <c:v>2678.5636</c:v>
                </c:pt>
                <c:pt idx="89">
                  <c:v>2477.4663999999998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462.55450000000008</c:v>
                </c:pt>
                <c:pt idx="1">
                  <c:v>749.52949999999998</c:v>
                </c:pt>
                <c:pt idx="2">
                  <c:v>1368.491</c:v>
                </c:pt>
                <c:pt idx="3">
                  <c:v>2027.7517500000001</c:v>
                </c:pt>
                <c:pt idx="4">
                  <c:v>2757.8159999999998</c:v>
                </c:pt>
                <c:pt idx="5">
                  <c:v>3296.1365000000001</c:v>
                </c:pt>
                <c:pt idx="6">
                  <c:v>3569.1082500000002</c:v>
                </c:pt>
                <c:pt idx="7">
                  <c:v>3700.8537500000002</c:v>
                </c:pt>
                <c:pt idx="8">
                  <c:v>3727.0212499999998</c:v>
                </c:pt>
                <c:pt idx="9">
                  <c:v>3651.6317499999996</c:v>
                </c:pt>
                <c:pt idx="10">
                  <c:v>3421.7910000000002</c:v>
                </c:pt>
                <c:pt idx="11">
                  <c:v>3012.77</c:v>
                </c:pt>
                <c:pt idx="12">
                  <c:v>2693.4319999999998</c:v>
                </c:pt>
                <c:pt idx="13">
                  <c:v>2540.8530000000001</c:v>
                </c:pt>
                <c:pt idx="14">
                  <c:v>2490.9110000000001</c:v>
                </c:pt>
                <c:pt idx="15">
                  <c:v>2466</c:v>
                </c:pt>
                <c:pt idx="16">
                  <c:v>2444.02675</c:v>
                </c:pt>
                <c:pt idx="17">
                  <c:v>2433.1457500000001</c:v>
                </c:pt>
                <c:pt idx="18">
                  <c:v>2426.5967500000002</c:v>
                </c:pt>
                <c:pt idx="19">
                  <c:v>2421.5015000000003</c:v>
                </c:pt>
                <c:pt idx="20">
                  <c:v>2413.67875</c:v>
                </c:pt>
                <c:pt idx="21">
                  <c:v>2413.7984999999999</c:v>
                </c:pt>
                <c:pt idx="22">
                  <c:v>2429.74325</c:v>
                </c:pt>
                <c:pt idx="23">
                  <c:v>2455.7329999999997</c:v>
                </c:pt>
                <c:pt idx="24">
                  <c:v>2489.6352500000003</c:v>
                </c:pt>
                <c:pt idx="25">
                  <c:v>2521.24325</c:v>
                </c:pt>
                <c:pt idx="26">
                  <c:v>2559.6947500000001</c:v>
                </c:pt>
                <c:pt idx="27">
                  <c:v>2590.4205000000002</c:v>
                </c:pt>
                <c:pt idx="28">
                  <c:v>2611.0535</c:v>
                </c:pt>
                <c:pt idx="29">
                  <c:v>2605.9825000000001</c:v>
                </c:pt>
                <c:pt idx="30">
                  <c:v>2580.1565000000001</c:v>
                </c:pt>
                <c:pt idx="31">
                  <c:v>2538.3922499999999</c:v>
                </c:pt>
                <c:pt idx="32">
                  <c:v>2435.4894999999997</c:v>
                </c:pt>
                <c:pt idx="33">
                  <c:v>2298.5747500000002</c:v>
                </c:pt>
                <c:pt idx="34">
                  <c:v>2168.6002500000004</c:v>
                </c:pt>
                <c:pt idx="35">
                  <c:v>2065.1952499999998</c:v>
                </c:pt>
                <c:pt idx="36">
                  <c:v>2000.0084999999999</c:v>
                </c:pt>
                <c:pt idx="37">
                  <c:v>1963.8140000000001</c:v>
                </c:pt>
                <c:pt idx="38">
                  <c:v>1943.6389999999999</c:v>
                </c:pt>
                <c:pt idx="39">
                  <c:v>1955.04925</c:v>
                </c:pt>
                <c:pt idx="40">
                  <c:v>2016.8407500000001</c:v>
                </c:pt>
                <c:pt idx="41">
                  <c:v>2101.7290000000003</c:v>
                </c:pt>
                <c:pt idx="42">
                  <c:v>2188.0619999999999</c:v>
                </c:pt>
                <c:pt idx="43">
                  <c:v>2260.5472500000005</c:v>
                </c:pt>
                <c:pt idx="44">
                  <c:v>2315.1849999999999</c:v>
                </c:pt>
                <c:pt idx="45">
                  <c:v>2358.5192500000003</c:v>
                </c:pt>
                <c:pt idx="46">
                  <c:v>2395.4675000000002</c:v>
                </c:pt>
                <c:pt idx="47">
                  <c:v>2371.6115</c:v>
                </c:pt>
                <c:pt idx="48">
                  <c:v>2287.0187500000002</c:v>
                </c:pt>
                <c:pt idx="49">
                  <c:v>2175.2197500000002</c:v>
                </c:pt>
                <c:pt idx="50">
                  <c:v>2081.9929999999999</c:v>
                </c:pt>
                <c:pt idx="51">
                  <c:v>2023.5570000000002</c:v>
                </c:pt>
                <c:pt idx="52">
                  <c:v>1983.44775</c:v>
                </c:pt>
                <c:pt idx="53">
                  <c:v>1945.3957500000001</c:v>
                </c:pt>
                <c:pt idx="54">
                  <c:v>1906.52125</c:v>
                </c:pt>
                <c:pt idx="55">
                  <c:v>1865.3942500000001</c:v>
                </c:pt>
                <c:pt idx="56">
                  <c:v>1816.202</c:v>
                </c:pt>
                <c:pt idx="57">
                  <c:v>1756.3165000000001</c:v>
                </c:pt>
                <c:pt idx="58">
                  <c:v>1692.35475</c:v>
                </c:pt>
                <c:pt idx="59">
                  <c:v>1609.8252500000001</c:v>
                </c:pt>
                <c:pt idx="60">
                  <c:v>1537.6804999999999</c:v>
                </c:pt>
                <c:pt idx="61">
                  <c:v>1506.0045000000002</c:v>
                </c:pt>
                <c:pt idx="62">
                  <c:v>1534.5964999999999</c:v>
                </c:pt>
                <c:pt idx="63">
                  <c:v>1641.019</c:v>
                </c:pt>
                <c:pt idx="64">
                  <c:v>1809.1540000000002</c:v>
                </c:pt>
                <c:pt idx="65">
                  <c:v>1895.6844999999998</c:v>
                </c:pt>
                <c:pt idx="66">
                  <c:v>1849.1537499999999</c:v>
                </c:pt>
                <c:pt idx="67">
                  <c:v>1779.2027499999999</c:v>
                </c:pt>
                <c:pt idx="68">
                  <c:v>1921.4524999999999</c:v>
                </c:pt>
                <c:pt idx="69">
                  <c:v>2457.0872500000005</c:v>
                </c:pt>
                <c:pt idx="70">
                  <c:v>3234.7507500000002</c:v>
                </c:pt>
                <c:pt idx="71">
                  <c:v>3766.7892499999998</c:v>
                </c:pt>
                <c:pt idx="72">
                  <c:v>3823.0007500000002</c:v>
                </c:pt>
                <c:pt idx="73">
                  <c:v>3476.8864999999996</c:v>
                </c:pt>
                <c:pt idx="74">
                  <c:v>3149.8747499999999</c:v>
                </c:pt>
                <c:pt idx="75">
                  <c:v>3213.3215000000005</c:v>
                </c:pt>
                <c:pt idx="76">
                  <c:v>3471.0007500000002</c:v>
                </c:pt>
                <c:pt idx="77">
                  <c:v>3676.8105</c:v>
                </c:pt>
                <c:pt idx="78">
                  <c:v>3715.8992499999999</c:v>
                </c:pt>
                <c:pt idx="79">
                  <c:v>3675.1977500000003</c:v>
                </c:pt>
                <c:pt idx="80">
                  <c:v>3765.3132500000002</c:v>
                </c:pt>
                <c:pt idx="81">
                  <c:v>4027.3414999999995</c:v>
                </c:pt>
                <c:pt idx="82">
                  <c:v>4279.7545</c:v>
                </c:pt>
                <c:pt idx="83">
                  <c:v>4360.78575</c:v>
                </c:pt>
                <c:pt idx="84">
                  <c:v>4225.9904999999999</c:v>
                </c:pt>
                <c:pt idx="85">
                  <c:v>3868.0552499999999</c:v>
                </c:pt>
                <c:pt idx="86">
                  <c:v>3372.4835000000003</c:v>
                </c:pt>
                <c:pt idx="87">
                  <c:v>2929.0702499999998</c:v>
                </c:pt>
                <c:pt idx="88">
                  <c:v>2606.5032499999998</c:v>
                </c:pt>
                <c:pt idx="89">
                  <c:v>2384.9132500000001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1\_dark_profiles_CO01_DARK" connectionId="1" xr16:uid="{141687C0-845E-44BD-828D-909C84ECFAB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1\_light_profiles_CO01_LIGHT" connectionId="2" xr16:uid="{517ED210-C465-49D7-918C-C67667096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-0.84199999999999997</v>
      </c>
      <c r="C3">
        <v>-3.0369999999999999</v>
      </c>
      <c r="D3">
        <v>1.806</v>
      </c>
      <c r="E3">
        <v>0.40300000000000002</v>
      </c>
      <c r="F3">
        <v>-0.40500000000000003</v>
      </c>
      <c r="K3" t="s">
        <v>0</v>
      </c>
      <c r="L3">
        <v>-3.0409999999999999</v>
      </c>
      <c r="N3">
        <v>-2.4460000000000002</v>
      </c>
      <c r="O3">
        <v>-1.526</v>
      </c>
      <c r="P3">
        <v>-2.9750000000000001</v>
      </c>
    </row>
    <row r="4" spans="1:19" x14ac:dyDescent="0.25">
      <c r="A4" t="s">
        <v>1</v>
      </c>
      <c r="B4">
        <v>308.99400000000003</v>
      </c>
      <c r="C4">
        <v>309.209</v>
      </c>
      <c r="D4">
        <v>308.435</v>
      </c>
      <c r="E4">
        <v>309.06700000000001</v>
      </c>
      <c r="F4">
        <v>308.00599999999997</v>
      </c>
      <c r="H4" s="2">
        <f>AVERAGE(B4:F4)</f>
        <v>308.74219999999997</v>
      </c>
      <c r="I4" s="2">
        <f>STDEV(B4:F4)/SQRT(COUNT(B4:F4))</f>
        <v>0.22618165265998724</v>
      </c>
      <c r="K4" t="s">
        <v>1</v>
      </c>
      <c r="L4">
        <v>306.89299999999997</v>
      </c>
      <c r="N4">
        <v>308.96499999999997</v>
      </c>
      <c r="O4">
        <v>305.86099999999999</v>
      </c>
      <c r="P4">
        <v>307.89299999999997</v>
      </c>
      <c r="R4" s="3">
        <f>AVERAGE(L4:P4)</f>
        <v>307.40299999999996</v>
      </c>
      <c r="S4" s="3">
        <f>STDEV(L4:P4)/SQRT(COUNT(L4:P4))</f>
        <v>0.66569562614355726</v>
      </c>
    </row>
    <row r="5" spans="1:19" x14ac:dyDescent="0.25">
      <c r="A5" t="s">
        <v>2</v>
      </c>
      <c r="B5">
        <v>65.438999999999993</v>
      </c>
      <c r="C5">
        <v>65.674000000000007</v>
      </c>
      <c r="D5">
        <v>65.778999999999996</v>
      </c>
      <c r="E5">
        <v>66.156000000000006</v>
      </c>
      <c r="F5">
        <v>66.578999999999994</v>
      </c>
      <c r="H5" s="2">
        <f t="shared" ref="H5:H68" si="0">AVERAGE(B5:F5)</f>
        <v>65.925399999999996</v>
      </c>
      <c r="I5" s="2">
        <f t="shared" ref="I5:I68" si="1">STDEV(B5:F5)/SQRT(COUNT(B5:F5))</f>
        <v>0.20019855144331075</v>
      </c>
      <c r="K5" t="s">
        <v>2</v>
      </c>
      <c r="L5">
        <v>65.53</v>
      </c>
      <c r="N5">
        <v>65.935000000000002</v>
      </c>
      <c r="O5">
        <v>65.593999999999994</v>
      </c>
      <c r="P5">
        <v>65.522000000000006</v>
      </c>
      <c r="R5" s="3">
        <f t="shared" ref="R5:R68" si="2">AVERAGE(L5:P5)</f>
        <v>65.645250000000004</v>
      </c>
      <c r="S5" s="3">
        <f t="shared" ref="S5:S68" si="3">STDEV(L5:P5)/SQRT(COUNT(L5:P5))</f>
        <v>9.7917801411864624E-2</v>
      </c>
    </row>
    <row r="6" spans="1:19" x14ac:dyDescent="0.25">
      <c r="A6" t="s">
        <v>3</v>
      </c>
      <c r="B6">
        <v>35.518000000000001</v>
      </c>
      <c r="C6">
        <v>36.174999999999997</v>
      </c>
      <c r="D6">
        <v>35.834000000000003</v>
      </c>
      <c r="E6">
        <v>34.786999999999999</v>
      </c>
      <c r="F6">
        <v>33.043999999999997</v>
      </c>
      <c r="H6" s="2">
        <f t="shared" si="0"/>
        <v>35.071600000000004</v>
      </c>
      <c r="I6" s="2">
        <f t="shared" si="1"/>
        <v>0.55633520471025433</v>
      </c>
      <c r="K6" t="s">
        <v>3</v>
      </c>
      <c r="L6">
        <v>33.780999999999999</v>
      </c>
      <c r="N6">
        <v>34.997999999999998</v>
      </c>
      <c r="O6">
        <v>34.359000000000002</v>
      </c>
      <c r="P6">
        <v>33.366</v>
      </c>
      <c r="R6" s="3">
        <f t="shared" si="2"/>
        <v>34.126000000000005</v>
      </c>
      <c r="S6" s="3">
        <f t="shared" si="3"/>
        <v>0.35488237487933916</v>
      </c>
    </row>
    <row r="7" spans="1:19" x14ac:dyDescent="0.25">
      <c r="A7">
        <v>-3.75</v>
      </c>
      <c r="B7">
        <v>559.55399999999997</v>
      </c>
      <c r="C7">
        <v>549.60199999999998</v>
      </c>
      <c r="D7">
        <v>572.21299999999997</v>
      </c>
      <c r="E7">
        <v>557.18299999999999</v>
      </c>
      <c r="F7">
        <v>677.4</v>
      </c>
      <c r="H7" s="2">
        <f t="shared" si="0"/>
        <v>583.19039999999995</v>
      </c>
      <c r="I7" s="2">
        <f t="shared" si="1"/>
        <v>23.831908145593378</v>
      </c>
      <c r="K7">
        <v>-3.75</v>
      </c>
      <c r="L7">
        <v>509.24900000000002</v>
      </c>
      <c r="N7">
        <v>421.61200000000002</v>
      </c>
      <c r="O7">
        <v>448.988</v>
      </c>
      <c r="P7">
        <v>470.36900000000003</v>
      </c>
      <c r="R7" s="3">
        <f t="shared" si="2"/>
        <v>462.55450000000008</v>
      </c>
      <c r="S7" s="3">
        <f t="shared" si="3"/>
        <v>18.48824168897627</v>
      </c>
    </row>
    <row r="8" spans="1:19" x14ac:dyDescent="0.25">
      <c r="A8">
        <v>-2.5</v>
      </c>
      <c r="B8">
        <v>865.87900000000002</v>
      </c>
      <c r="C8">
        <v>906.11599999999999</v>
      </c>
      <c r="D8">
        <v>787.53300000000002</v>
      </c>
      <c r="E8">
        <v>915.62599999999998</v>
      </c>
      <c r="F8">
        <v>1000.686</v>
      </c>
      <c r="H8" s="2">
        <f t="shared" si="0"/>
        <v>895.16799999999989</v>
      </c>
      <c r="I8" s="2">
        <f t="shared" si="1"/>
        <v>34.724325434772666</v>
      </c>
      <c r="K8">
        <v>-2.5</v>
      </c>
      <c r="L8">
        <v>790.97900000000004</v>
      </c>
      <c r="N8">
        <v>749.69500000000005</v>
      </c>
      <c r="O8">
        <v>673.53099999999995</v>
      </c>
      <c r="P8">
        <v>783.91300000000001</v>
      </c>
      <c r="R8" s="3">
        <f t="shared" si="2"/>
        <v>749.52949999999998</v>
      </c>
      <c r="S8" s="3">
        <f t="shared" si="3"/>
        <v>26.888791833215581</v>
      </c>
    </row>
    <row r="9" spans="1:19" x14ac:dyDescent="0.25">
      <c r="A9">
        <v>-1.25</v>
      </c>
      <c r="B9">
        <v>1513.655</v>
      </c>
      <c r="C9">
        <v>1540.703</v>
      </c>
      <c r="D9">
        <v>1412.5450000000001</v>
      </c>
      <c r="E9">
        <v>1621.511</v>
      </c>
      <c r="F9">
        <v>1636.3140000000001</v>
      </c>
      <c r="H9" s="2">
        <f t="shared" si="0"/>
        <v>1544.9456000000002</v>
      </c>
      <c r="I9" s="2">
        <f t="shared" si="1"/>
        <v>40.458290361309132</v>
      </c>
      <c r="K9">
        <v>-1.25</v>
      </c>
      <c r="L9">
        <v>1398.5940000000001</v>
      </c>
      <c r="N9">
        <v>1373.8530000000001</v>
      </c>
      <c r="O9">
        <v>1309.4780000000001</v>
      </c>
      <c r="P9">
        <v>1392.039</v>
      </c>
      <c r="R9" s="3">
        <f t="shared" si="2"/>
        <v>1368.491</v>
      </c>
      <c r="S9" s="3">
        <f t="shared" si="3"/>
        <v>20.355147027226298</v>
      </c>
    </row>
    <row r="10" spans="1:19" x14ac:dyDescent="0.25">
      <c r="A10">
        <v>0</v>
      </c>
      <c r="B10">
        <v>2232.596</v>
      </c>
      <c r="C10">
        <v>2249.5030000000002</v>
      </c>
      <c r="D10">
        <v>2110.8040000000001</v>
      </c>
      <c r="E10">
        <v>2318.0439999999999</v>
      </c>
      <c r="F10">
        <v>2370.5639999999999</v>
      </c>
      <c r="H10" s="2">
        <f t="shared" si="0"/>
        <v>2256.3022000000001</v>
      </c>
      <c r="I10" s="2">
        <f t="shared" si="1"/>
        <v>43.957791146052777</v>
      </c>
      <c r="K10">
        <v>0</v>
      </c>
      <c r="L10">
        <v>2071.0569999999998</v>
      </c>
      <c r="N10">
        <v>2067.9540000000002</v>
      </c>
      <c r="O10">
        <v>1949.29</v>
      </c>
      <c r="P10">
        <v>2022.7059999999999</v>
      </c>
      <c r="R10" s="3">
        <f t="shared" si="2"/>
        <v>2027.7517500000001</v>
      </c>
      <c r="S10" s="3">
        <f t="shared" si="3"/>
        <v>28.392005020119665</v>
      </c>
    </row>
    <row r="11" spans="1:19" x14ac:dyDescent="0.25">
      <c r="A11">
        <v>1.25</v>
      </c>
      <c r="B11">
        <v>2972.9479999999999</v>
      </c>
      <c r="C11">
        <v>3008.0189999999998</v>
      </c>
      <c r="D11">
        <v>2826.4630000000002</v>
      </c>
      <c r="E11">
        <v>3105.58</v>
      </c>
      <c r="F11">
        <v>3102.84</v>
      </c>
      <c r="H11" s="2">
        <f t="shared" si="0"/>
        <v>3003.17</v>
      </c>
      <c r="I11" s="2">
        <f t="shared" si="1"/>
        <v>51.275804690906575</v>
      </c>
      <c r="K11">
        <v>1.25</v>
      </c>
      <c r="L11">
        <v>2792.8989999999999</v>
      </c>
      <c r="N11">
        <v>2841.502</v>
      </c>
      <c r="O11">
        <v>2672.88</v>
      </c>
      <c r="P11">
        <v>2723.9830000000002</v>
      </c>
      <c r="R11" s="3">
        <f t="shared" si="2"/>
        <v>2757.8159999999998</v>
      </c>
      <c r="S11" s="3">
        <f t="shared" si="3"/>
        <v>37.185301161883793</v>
      </c>
    </row>
    <row r="12" spans="1:19" x14ac:dyDescent="0.25">
      <c r="A12">
        <v>2.5</v>
      </c>
      <c r="B12">
        <v>3521.875</v>
      </c>
      <c r="C12">
        <v>3595.8310000000001</v>
      </c>
      <c r="D12">
        <v>3362.4079999999999</v>
      </c>
      <c r="E12">
        <v>3688.375</v>
      </c>
      <c r="F12">
        <v>3668.4360000000001</v>
      </c>
      <c r="H12" s="2">
        <f t="shared" si="0"/>
        <v>3567.3849999999998</v>
      </c>
      <c r="I12" s="2">
        <f t="shared" si="1"/>
        <v>59.053276897222247</v>
      </c>
      <c r="K12">
        <v>2.5</v>
      </c>
      <c r="L12">
        <v>3310.393</v>
      </c>
      <c r="N12">
        <v>3384.076</v>
      </c>
      <c r="O12">
        <v>3238.3180000000002</v>
      </c>
      <c r="P12">
        <v>3251.759</v>
      </c>
      <c r="R12" s="3">
        <f t="shared" si="2"/>
        <v>3296.1365000000001</v>
      </c>
      <c r="S12" s="3">
        <f t="shared" si="3"/>
        <v>33.227680354638032</v>
      </c>
    </row>
    <row r="13" spans="1:19" x14ac:dyDescent="0.25">
      <c r="A13">
        <v>3.75</v>
      </c>
      <c r="B13">
        <v>3834.2310000000002</v>
      </c>
      <c r="C13">
        <v>3882.7310000000002</v>
      </c>
      <c r="D13">
        <v>3667.76</v>
      </c>
      <c r="E13">
        <v>3961.1759999999999</v>
      </c>
      <c r="F13">
        <v>3947.58</v>
      </c>
      <c r="H13" s="2">
        <f t="shared" si="0"/>
        <v>3858.6956000000005</v>
      </c>
      <c r="I13" s="2">
        <f t="shared" si="1"/>
        <v>52.931696270382211</v>
      </c>
      <c r="K13">
        <v>3.75</v>
      </c>
      <c r="L13">
        <v>3606.0680000000002</v>
      </c>
      <c r="N13">
        <v>3621.125</v>
      </c>
      <c r="O13">
        <v>3519.5920000000001</v>
      </c>
      <c r="P13">
        <v>3529.6480000000001</v>
      </c>
      <c r="R13" s="3">
        <f t="shared" si="2"/>
        <v>3569.1082500000002</v>
      </c>
      <c r="S13" s="3">
        <f t="shared" si="3"/>
        <v>25.949848658437929</v>
      </c>
    </row>
    <row r="14" spans="1:19" x14ac:dyDescent="0.25">
      <c r="A14">
        <v>5</v>
      </c>
      <c r="B14">
        <v>3961.6849999999999</v>
      </c>
      <c r="C14">
        <v>3979.7849999999999</v>
      </c>
      <c r="D14">
        <v>3752.308</v>
      </c>
      <c r="E14">
        <v>4080.623</v>
      </c>
      <c r="F14">
        <v>4059.48</v>
      </c>
      <c r="H14" s="2">
        <f t="shared" si="0"/>
        <v>3966.7761999999993</v>
      </c>
      <c r="I14" s="2">
        <f t="shared" si="1"/>
        <v>58.200879035801513</v>
      </c>
      <c r="K14">
        <v>5</v>
      </c>
      <c r="L14">
        <v>3759.2080000000001</v>
      </c>
      <c r="N14">
        <v>3737.0619999999999</v>
      </c>
      <c r="O14">
        <v>3639.43</v>
      </c>
      <c r="P14">
        <v>3667.7150000000001</v>
      </c>
      <c r="R14" s="3">
        <f t="shared" si="2"/>
        <v>3700.8537500000002</v>
      </c>
      <c r="S14" s="3">
        <f t="shared" si="3"/>
        <v>28.265570453512893</v>
      </c>
    </row>
    <row r="15" spans="1:19" x14ac:dyDescent="0.25">
      <c r="A15">
        <v>6.25</v>
      </c>
      <c r="B15">
        <v>3990.7739999999999</v>
      </c>
      <c r="C15">
        <v>3973.5410000000002</v>
      </c>
      <c r="D15">
        <v>3815.569</v>
      </c>
      <c r="E15">
        <v>4121.16</v>
      </c>
      <c r="F15">
        <v>4078.7460000000001</v>
      </c>
      <c r="H15" s="2">
        <f t="shared" si="0"/>
        <v>3995.9580000000001</v>
      </c>
      <c r="I15" s="2">
        <f t="shared" si="1"/>
        <v>52.725222054534761</v>
      </c>
      <c r="K15">
        <v>6.25</v>
      </c>
      <c r="L15">
        <v>3779.7089999999998</v>
      </c>
      <c r="N15">
        <v>3755.4459999999999</v>
      </c>
      <c r="O15">
        <v>3663.0909999999999</v>
      </c>
      <c r="P15">
        <v>3709.8389999999999</v>
      </c>
      <c r="R15" s="3">
        <f t="shared" si="2"/>
        <v>3727.0212499999998</v>
      </c>
      <c r="S15" s="3">
        <f t="shared" si="3"/>
        <v>25.76540314832727</v>
      </c>
    </row>
    <row r="16" spans="1:19" x14ac:dyDescent="0.25">
      <c r="A16">
        <v>7.5</v>
      </c>
      <c r="B16">
        <v>3915.0650000000001</v>
      </c>
      <c r="C16">
        <v>3892.27</v>
      </c>
      <c r="D16">
        <v>3756.826</v>
      </c>
      <c r="E16">
        <v>4039.6979999999999</v>
      </c>
      <c r="F16">
        <v>3947.8330000000001</v>
      </c>
      <c r="H16" s="2">
        <f t="shared" si="0"/>
        <v>3910.3383999999996</v>
      </c>
      <c r="I16" s="2">
        <f t="shared" si="1"/>
        <v>45.855542697257412</v>
      </c>
      <c r="K16">
        <v>7.5</v>
      </c>
      <c r="L16">
        <v>3724.607</v>
      </c>
      <c r="N16">
        <v>3701.5790000000002</v>
      </c>
      <c r="O16">
        <v>3581.6759999999999</v>
      </c>
      <c r="P16">
        <v>3598.665</v>
      </c>
      <c r="R16" s="3">
        <f t="shared" si="2"/>
        <v>3651.6317499999996</v>
      </c>
      <c r="S16" s="3">
        <f t="shared" si="3"/>
        <v>35.962246938919648</v>
      </c>
    </row>
    <row r="17" spans="1:19" x14ac:dyDescent="0.25">
      <c r="A17">
        <v>8.75</v>
      </c>
      <c r="B17">
        <v>3639.9119999999998</v>
      </c>
      <c r="C17">
        <v>3642.7759999999998</v>
      </c>
      <c r="D17">
        <v>3441.7579999999998</v>
      </c>
      <c r="E17">
        <v>3725.893</v>
      </c>
      <c r="F17">
        <v>3646.473</v>
      </c>
      <c r="H17" s="2">
        <f t="shared" si="0"/>
        <v>3619.3623999999995</v>
      </c>
      <c r="I17" s="2">
        <f t="shared" si="1"/>
        <v>47.221583514956407</v>
      </c>
      <c r="K17">
        <v>8.75</v>
      </c>
      <c r="L17">
        <v>3511.038</v>
      </c>
      <c r="N17">
        <v>3451.02</v>
      </c>
      <c r="O17">
        <v>3345.9769999999999</v>
      </c>
      <c r="P17">
        <v>3379.1289999999999</v>
      </c>
      <c r="R17" s="3">
        <f t="shared" si="2"/>
        <v>3421.7910000000002</v>
      </c>
      <c r="S17" s="3">
        <f t="shared" si="3"/>
        <v>36.953991992295897</v>
      </c>
    </row>
    <row r="18" spans="1:19" x14ac:dyDescent="0.25">
      <c r="A18">
        <v>10</v>
      </c>
      <c r="B18">
        <v>3159.1959999999999</v>
      </c>
      <c r="C18">
        <v>3178.971</v>
      </c>
      <c r="D18">
        <v>2993.739</v>
      </c>
      <c r="E18">
        <v>3191.48</v>
      </c>
      <c r="F18">
        <v>3193.0920000000001</v>
      </c>
      <c r="H18" s="2">
        <f t="shared" si="0"/>
        <v>3143.2955999999999</v>
      </c>
      <c r="I18" s="2">
        <f t="shared" si="1"/>
        <v>37.877533806466332</v>
      </c>
      <c r="K18">
        <v>10</v>
      </c>
      <c r="L18">
        <v>3098.2930000000001</v>
      </c>
      <c r="N18">
        <v>3017.0569999999998</v>
      </c>
      <c r="O18">
        <v>2949.22</v>
      </c>
      <c r="P18">
        <v>2986.51</v>
      </c>
      <c r="R18" s="3">
        <f t="shared" si="2"/>
        <v>3012.77</v>
      </c>
      <c r="S18" s="3">
        <f t="shared" si="3"/>
        <v>31.702723329392423</v>
      </c>
    </row>
    <row r="19" spans="1:19" x14ac:dyDescent="0.25">
      <c r="A19">
        <v>11.25</v>
      </c>
      <c r="B19">
        <v>2816.8969999999999</v>
      </c>
      <c r="C19">
        <v>2834.259</v>
      </c>
      <c r="D19">
        <v>2654.7559999999999</v>
      </c>
      <c r="E19">
        <v>2825.2049999999999</v>
      </c>
      <c r="F19">
        <v>2845.587</v>
      </c>
      <c r="H19" s="2">
        <f t="shared" si="0"/>
        <v>2795.3407999999999</v>
      </c>
      <c r="I19" s="2">
        <f t="shared" si="1"/>
        <v>35.468248544860536</v>
      </c>
      <c r="K19">
        <v>11.25</v>
      </c>
      <c r="L19">
        <v>2776.5340000000001</v>
      </c>
      <c r="N19">
        <v>2700.5369999999998</v>
      </c>
      <c r="O19">
        <v>2630.9290000000001</v>
      </c>
      <c r="P19">
        <v>2665.7280000000001</v>
      </c>
      <c r="R19" s="3">
        <f t="shared" si="2"/>
        <v>2693.4319999999998</v>
      </c>
      <c r="S19" s="3">
        <f t="shared" si="3"/>
        <v>31.132191343259684</v>
      </c>
    </row>
    <row r="20" spans="1:19" x14ac:dyDescent="0.25">
      <c r="A20">
        <v>12.5</v>
      </c>
      <c r="B20">
        <v>2656.4450000000002</v>
      </c>
      <c r="C20">
        <v>2660.268</v>
      </c>
      <c r="D20">
        <v>2464.4670000000001</v>
      </c>
      <c r="E20">
        <v>2644.5540000000001</v>
      </c>
      <c r="F20">
        <v>2678.8820000000001</v>
      </c>
      <c r="H20" s="2">
        <f t="shared" si="0"/>
        <v>2620.9232000000002</v>
      </c>
      <c r="I20" s="2">
        <f t="shared" si="1"/>
        <v>39.500627391726319</v>
      </c>
      <c r="K20">
        <v>12.5</v>
      </c>
      <c r="L20">
        <v>2618.5079999999998</v>
      </c>
      <c r="N20">
        <v>2550.3220000000001</v>
      </c>
      <c r="O20">
        <v>2481.5520000000001</v>
      </c>
      <c r="P20">
        <v>2513.0300000000002</v>
      </c>
      <c r="R20" s="3">
        <f t="shared" si="2"/>
        <v>2540.8530000000001</v>
      </c>
      <c r="S20" s="3">
        <f t="shared" si="3"/>
        <v>29.454327520190681</v>
      </c>
    </row>
    <row r="21" spans="1:19" x14ac:dyDescent="0.25">
      <c r="A21">
        <v>13.75</v>
      </c>
      <c r="B21">
        <v>2602.81</v>
      </c>
      <c r="C21">
        <v>2593.7339999999999</v>
      </c>
      <c r="D21">
        <v>2390.299</v>
      </c>
      <c r="E21">
        <v>2597.607</v>
      </c>
      <c r="F21">
        <v>2640.2860000000001</v>
      </c>
      <c r="H21" s="2">
        <f t="shared" si="0"/>
        <v>2564.9472000000001</v>
      </c>
      <c r="I21" s="2">
        <f t="shared" si="1"/>
        <v>44.444832412103885</v>
      </c>
      <c r="K21">
        <v>13.75</v>
      </c>
      <c r="L21">
        <v>2571.442</v>
      </c>
      <c r="N21">
        <v>2486.61</v>
      </c>
      <c r="O21">
        <v>2432.4250000000002</v>
      </c>
      <c r="P21">
        <v>2473.1669999999999</v>
      </c>
      <c r="R21" s="3">
        <f t="shared" si="2"/>
        <v>2490.9110000000001</v>
      </c>
      <c r="S21" s="3">
        <f t="shared" si="3"/>
        <v>29.210731894858981</v>
      </c>
    </row>
    <row r="22" spans="1:19" x14ac:dyDescent="0.25">
      <c r="A22">
        <v>15</v>
      </c>
      <c r="B22">
        <v>2575.4110000000001</v>
      </c>
      <c r="C22">
        <v>2565.16</v>
      </c>
      <c r="D22">
        <v>2375.4299999999998</v>
      </c>
      <c r="E22">
        <v>2594.8629999999998</v>
      </c>
      <c r="F22">
        <v>2619.8180000000002</v>
      </c>
      <c r="H22" s="2">
        <f t="shared" si="0"/>
        <v>2546.1364000000003</v>
      </c>
      <c r="I22" s="2">
        <f t="shared" si="1"/>
        <v>43.682281470408611</v>
      </c>
      <c r="K22">
        <v>15</v>
      </c>
      <c r="L22">
        <v>2537.1999999999998</v>
      </c>
      <c r="N22">
        <v>2456.6019999999999</v>
      </c>
      <c r="O22">
        <v>2401.9229999999998</v>
      </c>
      <c r="P22">
        <v>2468.2750000000001</v>
      </c>
      <c r="R22" s="3">
        <f t="shared" si="2"/>
        <v>2466</v>
      </c>
      <c r="S22" s="3">
        <f t="shared" si="3"/>
        <v>27.792085141277191</v>
      </c>
    </row>
    <row r="23" spans="1:19" x14ac:dyDescent="0.25">
      <c r="A23">
        <v>16.25</v>
      </c>
      <c r="B23">
        <v>2570.5749999999998</v>
      </c>
      <c r="C23">
        <v>2562.9589999999998</v>
      </c>
      <c r="D23">
        <v>2379.5549999999998</v>
      </c>
      <c r="E23">
        <v>2597.9940000000001</v>
      </c>
      <c r="F23">
        <v>2599.7689999999998</v>
      </c>
      <c r="H23" s="2">
        <f t="shared" si="0"/>
        <v>2542.1704</v>
      </c>
      <c r="I23" s="2">
        <f t="shared" si="1"/>
        <v>41.301712160151439</v>
      </c>
      <c r="K23">
        <v>16.25</v>
      </c>
      <c r="L23">
        <v>2508.712</v>
      </c>
      <c r="N23">
        <v>2439.8229999999999</v>
      </c>
      <c r="O23">
        <v>2370.5839999999998</v>
      </c>
      <c r="P23">
        <v>2456.9879999999998</v>
      </c>
      <c r="R23" s="3">
        <f t="shared" si="2"/>
        <v>2444.02675</v>
      </c>
      <c r="S23" s="3">
        <f t="shared" si="3"/>
        <v>28.524382276031297</v>
      </c>
    </row>
    <row r="24" spans="1:19" x14ac:dyDescent="0.25">
      <c r="A24">
        <v>17.5</v>
      </c>
      <c r="B24">
        <v>2549.3519999999999</v>
      </c>
      <c r="C24">
        <v>2546.5419999999999</v>
      </c>
      <c r="D24">
        <v>2358.1840000000002</v>
      </c>
      <c r="E24">
        <v>2583.0970000000002</v>
      </c>
      <c r="F24">
        <v>2589.1759999999999</v>
      </c>
      <c r="H24" s="2">
        <f t="shared" si="0"/>
        <v>2525.2701999999999</v>
      </c>
      <c r="I24" s="2">
        <f t="shared" si="1"/>
        <v>42.648628857678382</v>
      </c>
      <c r="K24">
        <v>17.5</v>
      </c>
      <c r="L24">
        <v>2503.7429999999999</v>
      </c>
      <c r="N24">
        <v>2435.962</v>
      </c>
      <c r="O24">
        <v>2351.4059999999999</v>
      </c>
      <c r="P24">
        <v>2441.4720000000002</v>
      </c>
      <c r="R24" s="3">
        <f t="shared" si="2"/>
        <v>2433.1457500000001</v>
      </c>
      <c r="S24" s="3">
        <f t="shared" si="3"/>
        <v>31.28180533572991</v>
      </c>
    </row>
    <row r="25" spans="1:19" x14ac:dyDescent="0.25">
      <c r="A25">
        <v>18.75</v>
      </c>
      <c r="B25">
        <v>2541.36</v>
      </c>
      <c r="C25">
        <v>2525.299</v>
      </c>
      <c r="D25">
        <v>2340.4450000000002</v>
      </c>
      <c r="E25">
        <v>2573.8270000000002</v>
      </c>
      <c r="F25">
        <v>2580.5239999999999</v>
      </c>
      <c r="H25" s="2">
        <f t="shared" si="0"/>
        <v>2512.2910000000002</v>
      </c>
      <c r="I25" s="2">
        <f t="shared" si="1"/>
        <v>44.151831290445905</v>
      </c>
      <c r="K25">
        <v>18.75</v>
      </c>
      <c r="L25">
        <v>2495.067</v>
      </c>
      <c r="N25">
        <v>2430.2550000000001</v>
      </c>
      <c r="O25">
        <v>2343.2849999999999</v>
      </c>
      <c r="P25">
        <v>2437.7800000000002</v>
      </c>
      <c r="R25" s="3">
        <f t="shared" si="2"/>
        <v>2426.5967500000002</v>
      </c>
      <c r="S25" s="3">
        <f t="shared" si="3"/>
        <v>31.314893550234249</v>
      </c>
    </row>
    <row r="26" spans="1:19" x14ac:dyDescent="0.25">
      <c r="A26">
        <v>20</v>
      </c>
      <c r="B26">
        <v>2527.6109999999999</v>
      </c>
      <c r="C26">
        <v>2512.29</v>
      </c>
      <c r="D26">
        <v>2329.998</v>
      </c>
      <c r="E26">
        <v>2557.8420000000001</v>
      </c>
      <c r="F26">
        <v>2569.3319999999999</v>
      </c>
      <c r="H26" s="2">
        <f t="shared" si="0"/>
        <v>2499.4146000000001</v>
      </c>
      <c r="I26" s="2">
        <f t="shared" si="1"/>
        <v>43.568911592556439</v>
      </c>
      <c r="K26">
        <v>20</v>
      </c>
      <c r="L26">
        <v>2494.5210000000002</v>
      </c>
      <c r="N26">
        <v>2426.1170000000002</v>
      </c>
      <c r="O26">
        <v>2343.848</v>
      </c>
      <c r="P26">
        <v>2421.52</v>
      </c>
      <c r="R26" s="3">
        <f t="shared" si="2"/>
        <v>2421.5015000000003</v>
      </c>
      <c r="S26" s="3">
        <f t="shared" si="3"/>
        <v>30.799373133501753</v>
      </c>
    </row>
    <row r="27" spans="1:19" x14ac:dyDescent="0.25">
      <c r="A27">
        <v>21.25</v>
      </c>
      <c r="B27">
        <v>2520.7159999999999</v>
      </c>
      <c r="C27">
        <v>2503.393</v>
      </c>
      <c r="D27">
        <v>2325.5140000000001</v>
      </c>
      <c r="E27">
        <v>2533.498</v>
      </c>
      <c r="F27">
        <v>2560.174</v>
      </c>
      <c r="H27" s="2">
        <f t="shared" si="0"/>
        <v>2488.6590000000006</v>
      </c>
      <c r="I27" s="2">
        <f t="shared" si="1"/>
        <v>41.824612476387607</v>
      </c>
      <c r="K27">
        <v>21.25</v>
      </c>
      <c r="L27">
        <v>2490.1559999999999</v>
      </c>
      <c r="N27">
        <v>2435.431</v>
      </c>
      <c r="O27">
        <v>2331.2759999999998</v>
      </c>
      <c r="P27">
        <v>2397.8519999999999</v>
      </c>
      <c r="R27" s="3">
        <f t="shared" si="2"/>
        <v>2413.67875</v>
      </c>
      <c r="S27" s="3">
        <f t="shared" si="3"/>
        <v>33.369933286755341</v>
      </c>
    </row>
    <row r="28" spans="1:19" x14ac:dyDescent="0.25">
      <c r="A28">
        <v>22.5</v>
      </c>
      <c r="B28">
        <v>2530.1990000000001</v>
      </c>
      <c r="C28">
        <v>2494.5819999999999</v>
      </c>
      <c r="D28">
        <v>2320.4169999999999</v>
      </c>
      <c r="E28">
        <v>2531.2130000000002</v>
      </c>
      <c r="F28">
        <v>2546.6790000000001</v>
      </c>
      <c r="H28" s="2">
        <f t="shared" si="0"/>
        <v>2484.6179999999999</v>
      </c>
      <c r="I28" s="2">
        <f t="shared" si="1"/>
        <v>41.929428212175786</v>
      </c>
      <c r="K28">
        <v>22.5</v>
      </c>
      <c r="L28">
        <v>2486.3119999999999</v>
      </c>
      <c r="N28">
        <v>2441.1640000000002</v>
      </c>
      <c r="O28">
        <v>2347.6590000000001</v>
      </c>
      <c r="P28">
        <v>2380.0590000000002</v>
      </c>
      <c r="R28" s="3">
        <f t="shared" si="2"/>
        <v>2413.7984999999999</v>
      </c>
      <c r="S28" s="3">
        <f t="shared" si="3"/>
        <v>30.983686020495757</v>
      </c>
    </row>
    <row r="29" spans="1:19" x14ac:dyDescent="0.25">
      <c r="A29">
        <v>23.75</v>
      </c>
      <c r="B29">
        <v>2555.1109999999999</v>
      </c>
      <c r="C29">
        <v>2517.9430000000002</v>
      </c>
      <c r="D29">
        <v>2314.5630000000001</v>
      </c>
      <c r="E29">
        <v>2554.5610000000001</v>
      </c>
      <c r="F29">
        <v>2552.91</v>
      </c>
      <c r="H29" s="2">
        <f t="shared" si="0"/>
        <v>2499.0176000000001</v>
      </c>
      <c r="I29" s="2">
        <f t="shared" si="1"/>
        <v>46.646328800453283</v>
      </c>
      <c r="K29">
        <v>23.75</v>
      </c>
      <c r="L29">
        <v>2507.2910000000002</v>
      </c>
      <c r="N29">
        <v>2446.3389999999999</v>
      </c>
      <c r="O29">
        <v>2374.3490000000002</v>
      </c>
      <c r="P29">
        <v>2390.9940000000001</v>
      </c>
      <c r="R29" s="3">
        <f t="shared" si="2"/>
        <v>2429.74325</v>
      </c>
      <c r="S29" s="3">
        <f t="shared" si="3"/>
        <v>30.081971008050093</v>
      </c>
    </row>
    <row r="30" spans="1:19" x14ac:dyDescent="0.25">
      <c r="A30">
        <v>25</v>
      </c>
      <c r="B30">
        <v>2587.3359999999998</v>
      </c>
      <c r="C30">
        <v>2560.6930000000002</v>
      </c>
      <c r="D30">
        <v>2344.6289999999999</v>
      </c>
      <c r="E30">
        <v>2571.5340000000001</v>
      </c>
      <c r="F30">
        <v>2572.6579999999999</v>
      </c>
      <c r="H30" s="2">
        <f t="shared" si="0"/>
        <v>2527.37</v>
      </c>
      <c r="I30" s="2">
        <f t="shared" si="1"/>
        <v>45.88141148983977</v>
      </c>
      <c r="K30">
        <v>25</v>
      </c>
      <c r="L30">
        <v>2519.6289999999999</v>
      </c>
      <c r="N30">
        <v>2471.4850000000001</v>
      </c>
      <c r="O30">
        <v>2398.6669999999999</v>
      </c>
      <c r="P30">
        <v>2433.1509999999998</v>
      </c>
      <c r="R30" s="3">
        <f t="shared" si="2"/>
        <v>2455.7329999999997</v>
      </c>
      <c r="S30" s="3">
        <f t="shared" si="3"/>
        <v>25.976430663199299</v>
      </c>
    </row>
    <row r="31" spans="1:19" x14ac:dyDescent="0.25">
      <c r="A31">
        <v>26.25</v>
      </c>
      <c r="B31">
        <v>2617.538</v>
      </c>
      <c r="C31">
        <v>2597.3020000000001</v>
      </c>
      <c r="D31">
        <v>2378.4949999999999</v>
      </c>
      <c r="E31">
        <v>2599.8629999999998</v>
      </c>
      <c r="F31">
        <v>2600.7330000000002</v>
      </c>
      <c r="H31" s="2">
        <f t="shared" si="0"/>
        <v>2558.7862</v>
      </c>
      <c r="I31" s="2">
        <f t="shared" si="1"/>
        <v>45.214486162512145</v>
      </c>
      <c r="K31">
        <v>26.25</v>
      </c>
      <c r="L31">
        <v>2549.1790000000001</v>
      </c>
      <c r="N31">
        <v>2514.056</v>
      </c>
      <c r="O31">
        <v>2419.0940000000001</v>
      </c>
      <c r="P31">
        <v>2476.212</v>
      </c>
      <c r="R31" s="3">
        <f t="shared" si="2"/>
        <v>2489.6352500000003</v>
      </c>
      <c r="S31" s="3">
        <f t="shared" si="3"/>
        <v>27.835952152372425</v>
      </c>
    </row>
    <row r="32" spans="1:19" x14ac:dyDescent="0.25">
      <c r="A32">
        <v>27.5</v>
      </c>
      <c r="B32">
        <v>2662.1759999999999</v>
      </c>
      <c r="C32">
        <v>2622.2020000000002</v>
      </c>
      <c r="D32">
        <v>2410.5700000000002</v>
      </c>
      <c r="E32">
        <v>2643.913</v>
      </c>
      <c r="F32">
        <v>2637.17</v>
      </c>
      <c r="H32" s="2">
        <f t="shared" si="0"/>
        <v>2595.2062000000001</v>
      </c>
      <c r="I32" s="2">
        <f t="shared" si="1"/>
        <v>46.603415409602732</v>
      </c>
      <c r="K32">
        <v>27.5</v>
      </c>
      <c r="L32">
        <v>2590.2269999999999</v>
      </c>
      <c r="N32">
        <v>2546.0349999999999</v>
      </c>
      <c r="O32">
        <v>2456.0120000000002</v>
      </c>
      <c r="P32">
        <v>2492.6990000000001</v>
      </c>
      <c r="R32" s="3">
        <f t="shared" si="2"/>
        <v>2521.24325</v>
      </c>
      <c r="S32" s="3">
        <f t="shared" si="3"/>
        <v>29.50039380634032</v>
      </c>
    </row>
    <row r="33" spans="1:19" x14ac:dyDescent="0.25">
      <c r="A33">
        <v>28.75</v>
      </c>
      <c r="B33">
        <v>2702.9749999999999</v>
      </c>
      <c r="C33">
        <v>2656.4</v>
      </c>
      <c r="D33">
        <v>2442.587</v>
      </c>
      <c r="E33">
        <v>2663.5050000000001</v>
      </c>
      <c r="F33">
        <v>2665.1990000000001</v>
      </c>
      <c r="H33" s="2">
        <f t="shared" si="0"/>
        <v>2626.1332000000002</v>
      </c>
      <c r="I33" s="2">
        <f t="shared" si="1"/>
        <v>46.6008246218884</v>
      </c>
      <c r="K33">
        <v>28.75</v>
      </c>
      <c r="L33">
        <v>2655.4319999999998</v>
      </c>
      <c r="N33">
        <v>2570.4009999999998</v>
      </c>
      <c r="O33">
        <v>2481.7600000000002</v>
      </c>
      <c r="P33">
        <v>2531.1860000000001</v>
      </c>
      <c r="R33" s="3">
        <f t="shared" si="2"/>
        <v>2559.6947500000001</v>
      </c>
      <c r="S33" s="3">
        <f t="shared" si="3"/>
        <v>36.704698735027911</v>
      </c>
    </row>
    <row r="34" spans="1:19" x14ac:dyDescent="0.25">
      <c r="A34">
        <v>30</v>
      </c>
      <c r="B34">
        <v>2748.31</v>
      </c>
      <c r="C34">
        <v>2689.1379999999999</v>
      </c>
      <c r="D34">
        <v>2481.4119999999998</v>
      </c>
      <c r="E34">
        <v>2712.942</v>
      </c>
      <c r="F34">
        <v>2703.0819999999999</v>
      </c>
      <c r="H34" s="2">
        <f t="shared" si="0"/>
        <v>2666.9767999999999</v>
      </c>
      <c r="I34" s="2">
        <f t="shared" si="1"/>
        <v>47.411437588835064</v>
      </c>
      <c r="K34">
        <v>30</v>
      </c>
      <c r="L34">
        <v>2711.9589999999998</v>
      </c>
      <c r="N34">
        <v>2593.3449999999998</v>
      </c>
      <c r="O34">
        <v>2485.1640000000002</v>
      </c>
      <c r="P34">
        <v>2571.2139999999999</v>
      </c>
      <c r="R34" s="3">
        <f t="shared" si="2"/>
        <v>2590.4205000000002</v>
      </c>
      <c r="S34" s="3">
        <f t="shared" si="3"/>
        <v>46.751096348107097</v>
      </c>
    </row>
    <row r="35" spans="1:19" x14ac:dyDescent="0.25">
      <c r="A35">
        <v>31.25</v>
      </c>
      <c r="B35">
        <v>2780.877</v>
      </c>
      <c r="C35">
        <v>2708.817</v>
      </c>
      <c r="D35">
        <v>2500.404</v>
      </c>
      <c r="E35">
        <v>2749.913</v>
      </c>
      <c r="F35">
        <v>2722.5749999999998</v>
      </c>
      <c r="H35" s="2">
        <f t="shared" si="0"/>
        <v>2692.5171999999998</v>
      </c>
      <c r="I35" s="2">
        <f t="shared" si="1"/>
        <v>49.587482568083644</v>
      </c>
      <c r="K35">
        <v>31.25</v>
      </c>
      <c r="L35">
        <v>2730.0610000000001</v>
      </c>
      <c r="N35">
        <v>2612.7190000000001</v>
      </c>
      <c r="O35">
        <v>2496.549</v>
      </c>
      <c r="P35">
        <v>2604.8850000000002</v>
      </c>
      <c r="R35" s="3">
        <f t="shared" si="2"/>
        <v>2611.0535</v>
      </c>
      <c r="S35" s="3">
        <f t="shared" si="3"/>
        <v>47.709965642235964</v>
      </c>
    </row>
    <row r="36" spans="1:19" x14ac:dyDescent="0.25">
      <c r="A36">
        <v>32.5</v>
      </c>
      <c r="B36">
        <v>2762.2869999999998</v>
      </c>
      <c r="C36">
        <v>2705.828</v>
      </c>
      <c r="D36">
        <v>2482.5230000000001</v>
      </c>
      <c r="E36">
        <v>2718.067</v>
      </c>
      <c r="F36">
        <v>2721.4140000000002</v>
      </c>
      <c r="H36" s="2">
        <f t="shared" si="0"/>
        <v>2678.0237999999999</v>
      </c>
      <c r="I36" s="2">
        <f t="shared" si="1"/>
        <v>49.789602596726922</v>
      </c>
      <c r="K36">
        <v>32.5</v>
      </c>
      <c r="L36">
        <v>2706.3130000000001</v>
      </c>
      <c r="N36">
        <v>2613.4110000000001</v>
      </c>
      <c r="O36">
        <v>2505.136</v>
      </c>
      <c r="P36">
        <v>2599.0700000000002</v>
      </c>
      <c r="R36" s="3">
        <f t="shared" si="2"/>
        <v>2605.9825000000001</v>
      </c>
      <c r="S36" s="3">
        <f t="shared" si="3"/>
        <v>41.169559001969759</v>
      </c>
    </row>
    <row r="37" spans="1:19" x14ac:dyDescent="0.25">
      <c r="A37">
        <v>33.75</v>
      </c>
      <c r="B37">
        <v>2739.5680000000002</v>
      </c>
      <c r="C37">
        <v>2670.1869999999999</v>
      </c>
      <c r="D37">
        <v>2457.7289999999998</v>
      </c>
      <c r="E37">
        <v>2692.502</v>
      </c>
      <c r="F37">
        <v>2709.07</v>
      </c>
      <c r="H37" s="2">
        <f t="shared" si="0"/>
        <v>2653.8112000000001</v>
      </c>
      <c r="I37" s="2">
        <f t="shared" si="1"/>
        <v>50.309610270205887</v>
      </c>
      <c r="K37">
        <v>33.75</v>
      </c>
      <c r="L37">
        <v>2674.5050000000001</v>
      </c>
      <c r="N37">
        <v>2594.15</v>
      </c>
      <c r="O37">
        <v>2484.7429999999999</v>
      </c>
      <c r="P37">
        <v>2567.2280000000001</v>
      </c>
      <c r="R37" s="3">
        <f t="shared" si="2"/>
        <v>2580.1565000000001</v>
      </c>
      <c r="S37" s="3">
        <f t="shared" si="3"/>
        <v>39.124096995969161</v>
      </c>
    </row>
    <row r="38" spans="1:19" x14ac:dyDescent="0.25">
      <c r="A38">
        <v>35</v>
      </c>
      <c r="B38">
        <v>2683.8119999999999</v>
      </c>
      <c r="C38">
        <v>2607.2260000000001</v>
      </c>
      <c r="D38">
        <v>2418.4470000000001</v>
      </c>
      <c r="E38">
        <v>2654.0639999999999</v>
      </c>
      <c r="F38">
        <v>2659.0509999999999</v>
      </c>
      <c r="H38" s="2">
        <f t="shared" si="0"/>
        <v>2604.52</v>
      </c>
      <c r="I38" s="2">
        <f t="shared" si="1"/>
        <v>48.138312665692752</v>
      </c>
      <c r="K38">
        <v>35</v>
      </c>
      <c r="L38">
        <v>2635.741</v>
      </c>
      <c r="N38">
        <v>2547.643</v>
      </c>
      <c r="O38">
        <v>2452.4839999999999</v>
      </c>
      <c r="P38">
        <v>2517.701</v>
      </c>
      <c r="R38" s="3">
        <f t="shared" si="2"/>
        <v>2538.3922499999999</v>
      </c>
      <c r="S38" s="3">
        <f t="shared" si="3"/>
        <v>38.046803136345559</v>
      </c>
    </row>
    <row r="39" spans="1:19" x14ac:dyDescent="0.25">
      <c r="A39">
        <v>36.25</v>
      </c>
      <c r="B39">
        <v>2556.9850000000001</v>
      </c>
      <c r="C39">
        <v>2504.7310000000002</v>
      </c>
      <c r="D39">
        <v>2328.7930000000001</v>
      </c>
      <c r="E39">
        <v>2528.5500000000002</v>
      </c>
      <c r="F39">
        <v>2544.9270000000001</v>
      </c>
      <c r="H39" s="2">
        <f t="shared" si="0"/>
        <v>2492.7972</v>
      </c>
      <c r="I39" s="2">
        <f t="shared" si="1"/>
        <v>41.925914196830583</v>
      </c>
      <c r="K39">
        <v>36.25</v>
      </c>
      <c r="L39">
        <v>2520.5250000000001</v>
      </c>
      <c r="N39">
        <v>2448.2060000000001</v>
      </c>
      <c r="O39">
        <v>2366.982</v>
      </c>
      <c r="P39">
        <v>2406.2449999999999</v>
      </c>
      <c r="R39" s="3">
        <f t="shared" si="2"/>
        <v>2435.4894999999997</v>
      </c>
      <c r="S39" s="3">
        <f t="shared" si="3"/>
        <v>32.839589889085637</v>
      </c>
    </row>
    <row r="40" spans="1:19" x14ac:dyDescent="0.25">
      <c r="A40">
        <v>37.5</v>
      </c>
      <c r="B40">
        <v>2407.9589999999998</v>
      </c>
      <c r="C40">
        <v>2357.9740000000002</v>
      </c>
      <c r="D40">
        <v>2184.835</v>
      </c>
      <c r="E40">
        <v>2376.422</v>
      </c>
      <c r="F40">
        <v>2385.21</v>
      </c>
      <c r="H40" s="2">
        <f t="shared" si="0"/>
        <v>2342.4800000000005</v>
      </c>
      <c r="I40" s="2">
        <f t="shared" si="1"/>
        <v>40.222768282404417</v>
      </c>
      <c r="K40">
        <v>37.5</v>
      </c>
      <c r="L40">
        <v>2389.1759999999999</v>
      </c>
      <c r="N40">
        <v>2300.5569999999998</v>
      </c>
      <c r="O40">
        <v>2233.3530000000001</v>
      </c>
      <c r="P40">
        <v>2271.2130000000002</v>
      </c>
      <c r="R40" s="3">
        <f t="shared" si="2"/>
        <v>2298.5747500000002</v>
      </c>
      <c r="S40" s="3">
        <f t="shared" si="3"/>
        <v>33.185159651002095</v>
      </c>
    </row>
    <row r="41" spans="1:19" x14ac:dyDescent="0.25">
      <c r="A41">
        <v>38.75</v>
      </c>
      <c r="B41">
        <v>2276.2730000000001</v>
      </c>
      <c r="C41">
        <v>2230.4459999999999</v>
      </c>
      <c r="D41">
        <v>2058.6210000000001</v>
      </c>
      <c r="E41">
        <v>2245.25</v>
      </c>
      <c r="F41">
        <v>2227.5720000000001</v>
      </c>
      <c r="H41" s="2">
        <f t="shared" si="0"/>
        <v>2207.6324</v>
      </c>
      <c r="I41" s="2">
        <f t="shared" si="1"/>
        <v>38.242032582748514</v>
      </c>
      <c r="K41">
        <v>38.75</v>
      </c>
      <c r="L41">
        <v>2255.8389999999999</v>
      </c>
      <c r="N41">
        <v>2164.1570000000002</v>
      </c>
      <c r="O41">
        <v>2101.5970000000002</v>
      </c>
      <c r="P41">
        <v>2152.808</v>
      </c>
      <c r="R41" s="3">
        <f t="shared" si="2"/>
        <v>2168.6002500000004</v>
      </c>
      <c r="S41" s="3">
        <f t="shared" si="3"/>
        <v>32.105519570563409</v>
      </c>
    </row>
    <row r="42" spans="1:19" x14ac:dyDescent="0.25">
      <c r="A42">
        <v>40</v>
      </c>
      <c r="B42">
        <v>2178.1439999999998</v>
      </c>
      <c r="C42">
        <v>2122.7170000000001</v>
      </c>
      <c r="D42">
        <v>1955.2249999999999</v>
      </c>
      <c r="E42">
        <v>2142.893</v>
      </c>
      <c r="F42">
        <v>2127.828</v>
      </c>
      <c r="H42" s="2">
        <f t="shared" si="0"/>
        <v>2105.3613999999998</v>
      </c>
      <c r="I42" s="2">
        <f t="shared" si="1"/>
        <v>38.763921004717773</v>
      </c>
      <c r="K42">
        <v>40</v>
      </c>
      <c r="L42">
        <v>2152.096</v>
      </c>
      <c r="N42">
        <v>2063.14</v>
      </c>
      <c r="O42">
        <v>1994.991</v>
      </c>
      <c r="P42">
        <v>2050.5540000000001</v>
      </c>
      <c r="R42" s="3">
        <f t="shared" si="2"/>
        <v>2065.1952499999998</v>
      </c>
      <c r="S42" s="3">
        <f t="shared" si="3"/>
        <v>32.530712824895701</v>
      </c>
    </row>
    <row r="43" spans="1:19" x14ac:dyDescent="0.25">
      <c r="A43">
        <v>41.25</v>
      </c>
      <c r="B43">
        <v>2107.6149999999998</v>
      </c>
      <c r="C43">
        <v>2050.2840000000001</v>
      </c>
      <c r="D43">
        <v>1890.19</v>
      </c>
      <c r="E43">
        <v>2067.989</v>
      </c>
      <c r="F43">
        <v>2074.71</v>
      </c>
      <c r="H43" s="2">
        <f t="shared" si="0"/>
        <v>2038.1576</v>
      </c>
      <c r="I43" s="2">
        <f t="shared" si="1"/>
        <v>38.139075115424575</v>
      </c>
      <c r="K43">
        <v>41.25</v>
      </c>
      <c r="L43">
        <v>2082.6089999999999</v>
      </c>
      <c r="N43">
        <v>2000.09</v>
      </c>
      <c r="O43">
        <v>1935.7639999999999</v>
      </c>
      <c r="P43">
        <v>1981.5709999999999</v>
      </c>
      <c r="R43" s="3">
        <f t="shared" si="2"/>
        <v>2000.0084999999999</v>
      </c>
      <c r="S43" s="3">
        <f t="shared" si="3"/>
        <v>30.673205501707844</v>
      </c>
    </row>
    <row r="44" spans="1:19" x14ac:dyDescent="0.25">
      <c r="A44">
        <v>42.5</v>
      </c>
      <c r="B44">
        <v>2081.3870000000002</v>
      </c>
      <c r="C44">
        <v>2011.645</v>
      </c>
      <c r="D44">
        <v>1855.6479999999999</v>
      </c>
      <c r="E44">
        <v>2036.8050000000001</v>
      </c>
      <c r="F44">
        <v>2037.077</v>
      </c>
      <c r="H44" s="2">
        <f t="shared" si="0"/>
        <v>2004.5124000000001</v>
      </c>
      <c r="I44" s="2">
        <f t="shared" si="1"/>
        <v>38.874447187837958</v>
      </c>
      <c r="K44">
        <v>42.5</v>
      </c>
      <c r="L44">
        <v>2024.91</v>
      </c>
      <c r="N44">
        <v>1967.6189999999999</v>
      </c>
      <c r="O44">
        <v>1908.213</v>
      </c>
      <c r="P44">
        <v>1954.5139999999999</v>
      </c>
      <c r="R44" s="3">
        <f t="shared" si="2"/>
        <v>1963.8140000000001</v>
      </c>
      <c r="S44" s="3">
        <f t="shared" si="3"/>
        <v>24.022837124286575</v>
      </c>
    </row>
    <row r="45" spans="1:19" x14ac:dyDescent="0.25">
      <c r="A45">
        <v>43.75</v>
      </c>
      <c r="B45">
        <v>2070.6030000000001</v>
      </c>
      <c r="C45">
        <v>2005.374</v>
      </c>
      <c r="D45">
        <v>1849.89</v>
      </c>
      <c r="E45">
        <v>2024.2370000000001</v>
      </c>
      <c r="F45">
        <v>2027.7329999999999</v>
      </c>
      <c r="H45" s="2">
        <f t="shared" si="0"/>
        <v>1995.5673999999999</v>
      </c>
      <c r="I45" s="2">
        <f t="shared" si="1"/>
        <v>37.950617471392995</v>
      </c>
      <c r="K45">
        <v>43.75</v>
      </c>
      <c r="L45">
        <v>2001.5740000000001</v>
      </c>
      <c r="N45">
        <v>1942.8420000000001</v>
      </c>
      <c r="O45">
        <v>1883.3420000000001</v>
      </c>
      <c r="P45">
        <v>1946.798</v>
      </c>
      <c r="R45" s="3">
        <f t="shared" si="2"/>
        <v>1943.6389999999999</v>
      </c>
      <c r="S45" s="3">
        <f t="shared" si="3"/>
        <v>24.15713649559207</v>
      </c>
    </row>
    <row r="46" spans="1:19" x14ac:dyDescent="0.25">
      <c r="A46">
        <v>45</v>
      </c>
      <c r="B46">
        <v>2076.5970000000002</v>
      </c>
      <c r="C46">
        <v>2018.152</v>
      </c>
      <c r="D46">
        <v>1859.6479999999999</v>
      </c>
      <c r="E46">
        <v>2028.729</v>
      </c>
      <c r="F46">
        <v>2051.9290000000001</v>
      </c>
      <c r="H46" s="2">
        <f t="shared" si="0"/>
        <v>2007.011</v>
      </c>
      <c r="I46" s="2">
        <f t="shared" si="1"/>
        <v>38.191285193090884</v>
      </c>
      <c r="K46">
        <v>45</v>
      </c>
      <c r="L46">
        <v>2023.3710000000001</v>
      </c>
      <c r="N46">
        <v>1945.818</v>
      </c>
      <c r="O46">
        <v>1876.7739999999999</v>
      </c>
      <c r="P46">
        <v>1974.2339999999999</v>
      </c>
      <c r="R46" s="3">
        <f t="shared" si="2"/>
        <v>1955.04925</v>
      </c>
      <c r="S46" s="3">
        <f t="shared" si="3"/>
        <v>30.616099924100432</v>
      </c>
    </row>
    <row r="47" spans="1:19" x14ac:dyDescent="0.25">
      <c r="A47">
        <v>46.25</v>
      </c>
      <c r="B47">
        <v>2129.3490000000002</v>
      </c>
      <c r="C47">
        <v>2068.6289999999999</v>
      </c>
      <c r="D47">
        <v>1889.9670000000001</v>
      </c>
      <c r="E47">
        <v>2086.5160000000001</v>
      </c>
      <c r="F47">
        <v>2120.1590000000001</v>
      </c>
      <c r="H47" s="2">
        <f t="shared" si="0"/>
        <v>2058.924</v>
      </c>
      <c r="I47" s="2">
        <f t="shared" si="1"/>
        <v>43.652823040440353</v>
      </c>
      <c r="K47">
        <v>46.25</v>
      </c>
      <c r="L47">
        <v>2103.4050000000002</v>
      </c>
      <c r="N47">
        <v>1998.204</v>
      </c>
      <c r="O47">
        <v>1918.498</v>
      </c>
      <c r="P47">
        <v>2047.2560000000001</v>
      </c>
      <c r="R47" s="3">
        <f t="shared" si="2"/>
        <v>2016.8407500000001</v>
      </c>
      <c r="S47" s="3">
        <f t="shared" si="3"/>
        <v>39.197238145425111</v>
      </c>
    </row>
    <row r="48" spans="1:19" x14ac:dyDescent="0.25">
      <c r="A48">
        <v>47.5</v>
      </c>
      <c r="B48">
        <v>2219.6529999999998</v>
      </c>
      <c r="C48">
        <v>2153.3850000000002</v>
      </c>
      <c r="D48">
        <v>1953.877</v>
      </c>
      <c r="E48">
        <v>2179.48</v>
      </c>
      <c r="F48">
        <v>2212.7809999999999</v>
      </c>
      <c r="H48" s="2">
        <f t="shared" si="0"/>
        <v>2143.8352</v>
      </c>
      <c r="I48" s="2">
        <f t="shared" si="1"/>
        <v>48.963113835212717</v>
      </c>
      <c r="K48">
        <v>47.5</v>
      </c>
      <c r="L48">
        <v>2197.3200000000002</v>
      </c>
      <c r="N48">
        <v>2087.0749999999998</v>
      </c>
      <c r="O48">
        <v>1992.9380000000001</v>
      </c>
      <c r="P48">
        <v>2129.5830000000001</v>
      </c>
      <c r="R48" s="3">
        <f t="shared" si="2"/>
        <v>2101.7290000000003</v>
      </c>
      <c r="S48" s="3">
        <f t="shared" si="3"/>
        <v>42.782108793669046</v>
      </c>
    </row>
    <row r="49" spans="1:19" x14ac:dyDescent="0.25">
      <c r="A49">
        <v>48.75</v>
      </c>
      <c r="B49">
        <v>2307.6109999999999</v>
      </c>
      <c r="C49">
        <v>2258.2860000000001</v>
      </c>
      <c r="D49">
        <v>2036.422</v>
      </c>
      <c r="E49">
        <v>2255.2040000000002</v>
      </c>
      <c r="F49">
        <v>2288.3110000000001</v>
      </c>
      <c r="H49" s="2">
        <f t="shared" si="0"/>
        <v>2229.1668</v>
      </c>
      <c r="I49" s="2">
        <f t="shared" si="1"/>
        <v>49.156866471938585</v>
      </c>
      <c r="K49">
        <v>48.75</v>
      </c>
      <c r="L49">
        <v>2285.498</v>
      </c>
      <c r="N49">
        <v>2173.489</v>
      </c>
      <c r="O49">
        <v>2099.2339999999999</v>
      </c>
      <c r="P49">
        <v>2194.027</v>
      </c>
      <c r="R49" s="3">
        <f t="shared" si="2"/>
        <v>2188.0619999999999</v>
      </c>
      <c r="S49" s="3">
        <f t="shared" si="3"/>
        <v>38.332037551287762</v>
      </c>
    </row>
    <row r="50" spans="1:19" x14ac:dyDescent="0.25">
      <c r="A50">
        <v>50</v>
      </c>
      <c r="B50">
        <v>2386.4870000000001</v>
      </c>
      <c r="C50">
        <v>2354.241</v>
      </c>
      <c r="D50">
        <v>2119.529</v>
      </c>
      <c r="E50">
        <v>2318.0439999999999</v>
      </c>
      <c r="F50">
        <v>2354.7130000000002</v>
      </c>
      <c r="H50" s="2">
        <f t="shared" si="0"/>
        <v>2306.6027999999997</v>
      </c>
      <c r="I50" s="2">
        <f t="shared" si="1"/>
        <v>48.006761272137503</v>
      </c>
      <c r="K50">
        <v>50</v>
      </c>
      <c r="L50">
        <v>2364.4830000000002</v>
      </c>
      <c r="N50">
        <v>2246.9029999999998</v>
      </c>
      <c r="O50">
        <v>2182.7350000000001</v>
      </c>
      <c r="P50">
        <v>2248.0680000000002</v>
      </c>
      <c r="R50" s="3">
        <f t="shared" si="2"/>
        <v>2260.5472500000005</v>
      </c>
      <c r="S50" s="3">
        <f t="shared" si="3"/>
        <v>37.85860053843998</v>
      </c>
    </row>
    <row r="51" spans="1:19" x14ac:dyDescent="0.25">
      <c r="A51">
        <v>51.25</v>
      </c>
      <c r="B51">
        <v>2462.9299999999998</v>
      </c>
      <c r="C51">
        <v>2407.6990000000001</v>
      </c>
      <c r="D51">
        <v>2180.3069999999998</v>
      </c>
      <c r="E51">
        <v>2376.9110000000001</v>
      </c>
      <c r="F51">
        <v>2421.6120000000001</v>
      </c>
      <c r="H51" s="2">
        <f t="shared" si="0"/>
        <v>2369.8917999999999</v>
      </c>
      <c r="I51" s="2">
        <f t="shared" si="1"/>
        <v>49.372125576482958</v>
      </c>
      <c r="K51">
        <v>51.25</v>
      </c>
      <c r="L51">
        <v>2416.0140000000001</v>
      </c>
      <c r="N51">
        <v>2306.8330000000001</v>
      </c>
      <c r="O51">
        <v>2229.7179999999998</v>
      </c>
      <c r="P51">
        <v>2308.1750000000002</v>
      </c>
      <c r="R51" s="3">
        <f t="shared" si="2"/>
        <v>2315.1849999999999</v>
      </c>
      <c r="S51" s="3">
        <f t="shared" si="3"/>
        <v>38.286193479721518</v>
      </c>
    </row>
    <row r="52" spans="1:19" x14ac:dyDescent="0.25">
      <c r="A52">
        <v>52.5</v>
      </c>
      <c r="B52">
        <v>2492.6790000000001</v>
      </c>
      <c r="C52">
        <v>2425.4679999999998</v>
      </c>
      <c r="D52">
        <v>2209.7440000000001</v>
      </c>
      <c r="E52">
        <v>2410.0259999999998</v>
      </c>
      <c r="F52">
        <v>2435.3939999999998</v>
      </c>
      <c r="H52" s="2">
        <f t="shared" si="0"/>
        <v>2394.6621999999998</v>
      </c>
      <c r="I52" s="2">
        <f t="shared" si="1"/>
        <v>48.293973210329227</v>
      </c>
      <c r="K52">
        <v>52.5</v>
      </c>
      <c r="L52">
        <v>2458.1030000000001</v>
      </c>
      <c r="N52">
        <v>2353.3159999999998</v>
      </c>
      <c r="O52">
        <v>2254.85</v>
      </c>
      <c r="P52">
        <v>2367.808</v>
      </c>
      <c r="R52" s="3">
        <f t="shared" si="2"/>
        <v>2358.5192500000003</v>
      </c>
      <c r="S52" s="3">
        <f t="shared" si="3"/>
        <v>41.610887344089441</v>
      </c>
    </row>
    <row r="53" spans="1:19" x14ac:dyDescent="0.25">
      <c r="A53">
        <v>53.75</v>
      </c>
      <c r="B53">
        <v>2482.8890000000001</v>
      </c>
      <c r="C53">
        <v>2425.741</v>
      </c>
      <c r="D53">
        <v>2190.3609999999999</v>
      </c>
      <c r="E53">
        <v>2391.1660000000002</v>
      </c>
      <c r="F53">
        <v>2414.5</v>
      </c>
      <c r="H53" s="2">
        <f t="shared" si="0"/>
        <v>2380.9313999999999</v>
      </c>
      <c r="I53" s="2">
        <f t="shared" si="1"/>
        <v>49.975958094467821</v>
      </c>
      <c r="K53">
        <v>53.75</v>
      </c>
      <c r="L53">
        <v>2520.38</v>
      </c>
      <c r="N53">
        <v>2371.2829999999999</v>
      </c>
      <c r="O53">
        <v>2287.2779999999998</v>
      </c>
      <c r="P53">
        <v>2402.9290000000001</v>
      </c>
      <c r="R53" s="3">
        <f t="shared" si="2"/>
        <v>2395.4675000000002</v>
      </c>
      <c r="S53" s="3">
        <f t="shared" si="3"/>
        <v>48.260287840176346</v>
      </c>
    </row>
    <row r="54" spans="1:19" x14ac:dyDescent="0.25">
      <c r="A54">
        <v>55</v>
      </c>
      <c r="B54">
        <v>2431.0770000000002</v>
      </c>
      <c r="C54">
        <v>2391.1439999999998</v>
      </c>
      <c r="D54">
        <v>2129.7779999999998</v>
      </c>
      <c r="E54">
        <v>2328.3220000000001</v>
      </c>
      <c r="F54">
        <v>2357.8960000000002</v>
      </c>
      <c r="H54" s="2">
        <f t="shared" si="0"/>
        <v>2327.6433999999999</v>
      </c>
      <c r="I54" s="2">
        <f t="shared" si="1"/>
        <v>52.343687599938981</v>
      </c>
      <c r="K54">
        <v>55</v>
      </c>
      <c r="L54">
        <v>2517.4670000000001</v>
      </c>
      <c r="N54">
        <v>2326.9079999999999</v>
      </c>
      <c r="O54">
        <v>2277.2330000000002</v>
      </c>
      <c r="P54">
        <v>2364.8380000000002</v>
      </c>
      <c r="R54" s="3">
        <f t="shared" si="2"/>
        <v>2371.6115</v>
      </c>
      <c r="S54" s="3">
        <f t="shared" si="3"/>
        <v>51.821336787241087</v>
      </c>
    </row>
    <row r="55" spans="1:19" x14ac:dyDescent="0.25">
      <c r="A55">
        <v>56.25</v>
      </c>
      <c r="B55">
        <v>2305.0839999999998</v>
      </c>
      <c r="C55">
        <v>2281.12</v>
      </c>
      <c r="D55">
        <v>2032.5250000000001</v>
      </c>
      <c r="E55">
        <v>2195.029</v>
      </c>
      <c r="F55">
        <v>2233.7620000000002</v>
      </c>
      <c r="H55" s="2">
        <f t="shared" si="0"/>
        <v>2209.5039999999999</v>
      </c>
      <c r="I55" s="2">
        <f t="shared" si="1"/>
        <v>48.158036964768364</v>
      </c>
      <c r="K55">
        <v>56.25</v>
      </c>
      <c r="L55">
        <v>2448.3510000000001</v>
      </c>
      <c r="N55">
        <v>2223.0160000000001</v>
      </c>
      <c r="O55">
        <v>2193.5250000000001</v>
      </c>
      <c r="P55">
        <v>2283.183</v>
      </c>
      <c r="R55" s="3">
        <f t="shared" si="2"/>
        <v>2287.0187500000002</v>
      </c>
      <c r="S55" s="3">
        <f t="shared" si="3"/>
        <v>56.92117441745647</v>
      </c>
    </row>
    <row r="56" spans="1:19" x14ac:dyDescent="0.25">
      <c r="A56">
        <v>57.5</v>
      </c>
      <c r="B56">
        <v>2158.7840000000001</v>
      </c>
      <c r="C56">
        <v>2150.442</v>
      </c>
      <c r="D56">
        <v>1899.5650000000001</v>
      </c>
      <c r="E56">
        <v>2034.2249999999999</v>
      </c>
      <c r="F56">
        <v>2066.4160000000002</v>
      </c>
      <c r="H56" s="2">
        <f t="shared" si="0"/>
        <v>2061.8864000000003</v>
      </c>
      <c r="I56" s="2">
        <f t="shared" si="1"/>
        <v>47.09837916595432</v>
      </c>
      <c r="K56">
        <v>57.5</v>
      </c>
      <c r="L56">
        <v>2333.6689999999999</v>
      </c>
      <c r="N56">
        <v>2117.7139999999999</v>
      </c>
      <c r="O56">
        <v>2067.3049999999998</v>
      </c>
      <c r="P56">
        <v>2182.1909999999998</v>
      </c>
      <c r="R56" s="3">
        <f t="shared" si="2"/>
        <v>2175.2197500000002</v>
      </c>
      <c r="S56" s="3">
        <f t="shared" si="3"/>
        <v>57.812388884758086</v>
      </c>
    </row>
    <row r="57" spans="1:19" x14ac:dyDescent="0.25">
      <c r="A57">
        <v>58.75</v>
      </c>
      <c r="B57">
        <v>2048.1280000000002</v>
      </c>
      <c r="C57">
        <v>2055.4189999999999</v>
      </c>
      <c r="D57">
        <v>1781.856</v>
      </c>
      <c r="E57">
        <v>1900.8969999999999</v>
      </c>
      <c r="F57">
        <v>1954.2829999999999</v>
      </c>
      <c r="H57" s="2">
        <f t="shared" si="0"/>
        <v>1948.1166000000001</v>
      </c>
      <c r="I57" s="2">
        <f t="shared" si="1"/>
        <v>50.708178532264398</v>
      </c>
      <c r="K57">
        <v>58.75</v>
      </c>
      <c r="L57">
        <v>2244.8220000000001</v>
      </c>
      <c r="N57">
        <v>2041.4590000000001</v>
      </c>
      <c r="O57">
        <v>1944.2919999999999</v>
      </c>
      <c r="P57">
        <v>2097.3989999999999</v>
      </c>
      <c r="R57" s="3">
        <f t="shared" si="2"/>
        <v>2081.9929999999999</v>
      </c>
      <c r="S57" s="3">
        <f t="shared" si="3"/>
        <v>62.819316717338928</v>
      </c>
    </row>
    <row r="58" spans="1:19" x14ac:dyDescent="0.25">
      <c r="A58">
        <v>60</v>
      </c>
      <c r="B58">
        <v>1973.798</v>
      </c>
      <c r="C58">
        <v>1985.2439999999999</v>
      </c>
      <c r="D58">
        <v>1708.0550000000001</v>
      </c>
      <c r="E58">
        <v>1818.539</v>
      </c>
      <c r="F58">
        <v>1857.5119999999999</v>
      </c>
      <c r="H58" s="2">
        <f t="shared" si="0"/>
        <v>1868.6295999999998</v>
      </c>
      <c r="I58" s="2">
        <f t="shared" si="1"/>
        <v>51.515134693214165</v>
      </c>
      <c r="K58">
        <v>60</v>
      </c>
      <c r="L58">
        <v>2198.4</v>
      </c>
      <c r="N58">
        <v>1985.739</v>
      </c>
      <c r="O58">
        <v>1876.8630000000001</v>
      </c>
      <c r="P58">
        <v>2033.2260000000001</v>
      </c>
      <c r="R58" s="3">
        <f t="shared" si="2"/>
        <v>2023.5570000000002</v>
      </c>
      <c r="S58" s="3">
        <f t="shared" si="3"/>
        <v>66.8411643188537</v>
      </c>
    </row>
    <row r="59" spans="1:19" x14ac:dyDescent="0.25">
      <c r="A59">
        <v>61.25</v>
      </c>
      <c r="B59">
        <v>1890.7249999999999</v>
      </c>
      <c r="C59">
        <v>1926.578</v>
      </c>
      <c r="D59">
        <v>1661.252</v>
      </c>
      <c r="E59">
        <v>1768.893</v>
      </c>
      <c r="F59">
        <v>1818.21</v>
      </c>
      <c r="H59" s="2">
        <f t="shared" si="0"/>
        <v>1813.1315999999999</v>
      </c>
      <c r="I59" s="2">
        <f t="shared" si="1"/>
        <v>46.87274163583777</v>
      </c>
      <c r="K59">
        <v>61.25</v>
      </c>
      <c r="L59">
        <v>2172.2020000000002</v>
      </c>
      <c r="N59">
        <v>1932.4580000000001</v>
      </c>
      <c r="O59">
        <v>1831.8320000000001</v>
      </c>
      <c r="P59">
        <v>1997.299</v>
      </c>
      <c r="R59" s="3">
        <f t="shared" si="2"/>
        <v>1983.44775</v>
      </c>
      <c r="S59" s="3">
        <f t="shared" si="3"/>
        <v>71.53513954271591</v>
      </c>
    </row>
    <row r="60" spans="1:19" x14ac:dyDescent="0.25">
      <c r="A60">
        <v>62.5</v>
      </c>
      <c r="B60">
        <v>1830.8610000000001</v>
      </c>
      <c r="C60">
        <v>1883.104</v>
      </c>
      <c r="D60">
        <v>1617.181</v>
      </c>
      <c r="E60">
        <v>1731.2760000000001</v>
      </c>
      <c r="F60">
        <v>1792.2639999999999</v>
      </c>
      <c r="H60" s="2">
        <f t="shared" si="0"/>
        <v>1770.9371999999998</v>
      </c>
      <c r="I60" s="2">
        <f t="shared" si="1"/>
        <v>45.738968643160277</v>
      </c>
      <c r="K60">
        <v>62.5</v>
      </c>
      <c r="L60">
        <v>2112.2130000000002</v>
      </c>
      <c r="N60">
        <v>1877.18</v>
      </c>
      <c r="O60">
        <v>1823.2080000000001</v>
      </c>
      <c r="P60">
        <v>1968.982</v>
      </c>
      <c r="R60" s="3">
        <f t="shared" si="2"/>
        <v>1945.3957500000001</v>
      </c>
      <c r="S60" s="3">
        <f t="shared" si="3"/>
        <v>63.224165267160068</v>
      </c>
    </row>
    <row r="61" spans="1:19" x14ac:dyDescent="0.25">
      <c r="A61">
        <v>63.75</v>
      </c>
      <c r="B61">
        <v>1799.364</v>
      </c>
      <c r="C61">
        <v>1851.3579999999999</v>
      </c>
      <c r="D61">
        <v>1574.5319999999999</v>
      </c>
      <c r="E61">
        <v>1687.019</v>
      </c>
      <c r="F61">
        <v>1760.963</v>
      </c>
      <c r="H61" s="2">
        <f t="shared" si="0"/>
        <v>1734.6472000000001</v>
      </c>
      <c r="I61" s="2">
        <f t="shared" si="1"/>
        <v>48.170280814419172</v>
      </c>
      <c r="K61">
        <v>63.75</v>
      </c>
      <c r="L61">
        <v>2078.9760000000001</v>
      </c>
      <c r="N61">
        <v>1828.992</v>
      </c>
      <c r="O61">
        <v>1785.768</v>
      </c>
      <c r="P61">
        <v>1932.3489999999999</v>
      </c>
      <c r="R61" s="3">
        <f t="shared" si="2"/>
        <v>1906.52125</v>
      </c>
      <c r="S61" s="3">
        <f t="shared" si="3"/>
        <v>65.191925278844948</v>
      </c>
    </row>
    <row r="62" spans="1:19" x14ac:dyDescent="0.25">
      <c r="A62">
        <v>65</v>
      </c>
      <c r="B62">
        <v>1765.4880000000001</v>
      </c>
      <c r="C62">
        <v>1802.7750000000001</v>
      </c>
      <c r="D62">
        <v>1548.0650000000001</v>
      </c>
      <c r="E62">
        <v>1641.8579999999999</v>
      </c>
      <c r="F62">
        <v>1718.7070000000001</v>
      </c>
      <c r="H62" s="2">
        <f t="shared" si="0"/>
        <v>1695.3786</v>
      </c>
      <c r="I62" s="2">
        <f t="shared" si="1"/>
        <v>45.584690586423868</v>
      </c>
      <c r="K62">
        <v>65</v>
      </c>
      <c r="L62">
        <v>2060.2579999999998</v>
      </c>
      <c r="N62">
        <v>1780.6869999999999</v>
      </c>
      <c r="O62">
        <v>1737.2650000000001</v>
      </c>
      <c r="P62">
        <v>1883.367</v>
      </c>
      <c r="R62" s="3">
        <f t="shared" si="2"/>
        <v>1865.3942500000001</v>
      </c>
      <c r="S62" s="3">
        <f t="shared" si="3"/>
        <v>71.814183670283128</v>
      </c>
    </row>
    <row r="63" spans="1:19" x14ac:dyDescent="0.25">
      <c r="A63">
        <v>66.25</v>
      </c>
      <c r="B63">
        <v>1734.88</v>
      </c>
      <c r="C63">
        <v>1758.0419999999999</v>
      </c>
      <c r="D63">
        <v>1516.675</v>
      </c>
      <c r="E63">
        <v>1608.5029999999999</v>
      </c>
      <c r="F63">
        <v>1693.193</v>
      </c>
      <c r="H63" s="2">
        <f t="shared" si="0"/>
        <v>1662.2585999999999</v>
      </c>
      <c r="I63" s="2">
        <f t="shared" si="1"/>
        <v>44.435072677559567</v>
      </c>
      <c r="K63">
        <v>66.25</v>
      </c>
      <c r="L63">
        <v>2003.2049999999999</v>
      </c>
      <c r="N63">
        <v>1744.992</v>
      </c>
      <c r="O63">
        <v>1697.4829999999999</v>
      </c>
      <c r="P63">
        <v>1819.1279999999999</v>
      </c>
      <c r="R63" s="3">
        <f t="shared" si="2"/>
        <v>1816.202</v>
      </c>
      <c r="S63" s="3">
        <f t="shared" si="3"/>
        <v>67.171266517016036</v>
      </c>
    </row>
    <row r="64" spans="1:19" x14ac:dyDescent="0.25">
      <c r="A64">
        <v>67.5</v>
      </c>
      <c r="B64">
        <v>1714.646</v>
      </c>
      <c r="C64">
        <v>1714.586</v>
      </c>
      <c r="D64">
        <v>1491.8869999999999</v>
      </c>
      <c r="E64">
        <v>1601.4169999999999</v>
      </c>
      <c r="F64">
        <v>1673.1089999999999</v>
      </c>
      <c r="H64" s="2">
        <f t="shared" si="0"/>
        <v>1639.1290000000001</v>
      </c>
      <c r="I64" s="2">
        <f t="shared" si="1"/>
        <v>42.221806004717529</v>
      </c>
      <c r="K64">
        <v>67.5</v>
      </c>
      <c r="L64">
        <v>1911.453</v>
      </c>
      <c r="N64">
        <v>1712.5830000000001</v>
      </c>
      <c r="O64">
        <v>1638.529</v>
      </c>
      <c r="P64">
        <v>1762.701</v>
      </c>
      <c r="R64" s="3">
        <f t="shared" si="2"/>
        <v>1756.3165000000001</v>
      </c>
      <c r="S64" s="3">
        <f t="shared" si="3"/>
        <v>57.658917820663262</v>
      </c>
    </row>
    <row r="65" spans="1:19" x14ac:dyDescent="0.25">
      <c r="A65">
        <v>68.75</v>
      </c>
      <c r="B65">
        <v>1682.915</v>
      </c>
      <c r="C65">
        <v>1657.5640000000001</v>
      </c>
      <c r="D65">
        <v>1472.88</v>
      </c>
      <c r="E65">
        <v>1589.7619999999999</v>
      </c>
      <c r="F65">
        <v>1635.549</v>
      </c>
      <c r="H65" s="2">
        <f t="shared" si="0"/>
        <v>1607.7339999999999</v>
      </c>
      <c r="I65" s="2">
        <f t="shared" si="1"/>
        <v>37.025315654292513</v>
      </c>
      <c r="K65">
        <v>68.75</v>
      </c>
      <c r="L65">
        <v>1835.0129999999999</v>
      </c>
      <c r="N65">
        <v>1657.08</v>
      </c>
      <c r="O65">
        <v>1579.5329999999999</v>
      </c>
      <c r="P65">
        <v>1697.7929999999999</v>
      </c>
      <c r="R65" s="3">
        <f t="shared" si="2"/>
        <v>1692.35475</v>
      </c>
      <c r="S65" s="3">
        <f t="shared" si="3"/>
        <v>53.505456198994331</v>
      </c>
    </row>
    <row r="66" spans="1:19" x14ac:dyDescent="0.25">
      <c r="A66">
        <v>70</v>
      </c>
      <c r="B66">
        <v>1639.576</v>
      </c>
      <c r="C66">
        <v>1597.14</v>
      </c>
      <c r="D66">
        <v>1447.652</v>
      </c>
      <c r="E66">
        <v>1573.0719999999999</v>
      </c>
      <c r="F66">
        <v>1591.6610000000001</v>
      </c>
      <c r="H66" s="2">
        <f t="shared" si="0"/>
        <v>1569.8202000000001</v>
      </c>
      <c r="I66" s="2">
        <f t="shared" si="1"/>
        <v>32.422913922718294</v>
      </c>
      <c r="K66">
        <v>70</v>
      </c>
      <c r="L66">
        <v>1733.932</v>
      </c>
      <c r="N66">
        <v>1586.8409999999999</v>
      </c>
      <c r="O66">
        <v>1506.9110000000001</v>
      </c>
      <c r="P66">
        <v>1611.617</v>
      </c>
      <c r="R66" s="3">
        <f t="shared" si="2"/>
        <v>1609.8252500000001</v>
      </c>
      <c r="S66" s="3">
        <f t="shared" si="3"/>
        <v>47.015347108462002</v>
      </c>
    </row>
    <row r="67" spans="1:19" x14ac:dyDescent="0.25">
      <c r="A67">
        <v>71.25</v>
      </c>
      <c r="B67">
        <v>1603.4469999999999</v>
      </c>
      <c r="C67">
        <v>1556.827</v>
      </c>
      <c r="D67">
        <v>1419.93</v>
      </c>
      <c r="E67">
        <v>1538.4469999999999</v>
      </c>
      <c r="F67">
        <v>1571.0540000000001</v>
      </c>
      <c r="H67" s="2">
        <f t="shared" si="0"/>
        <v>1537.941</v>
      </c>
      <c r="I67" s="2">
        <f t="shared" si="1"/>
        <v>31.361632577083718</v>
      </c>
      <c r="K67">
        <v>71.25</v>
      </c>
      <c r="L67">
        <v>1627.759</v>
      </c>
      <c r="N67">
        <v>1525.0519999999999</v>
      </c>
      <c r="O67">
        <v>1457.307</v>
      </c>
      <c r="P67">
        <v>1540.604</v>
      </c>
      <c r="R67" s="3">
        <f t="shared" si="2"/>
        <v>1537.6804999999999</v>
      </c>
      <c r="S67" s="3">
        <f t="shared" si="3"/>
        <v>35.050037480959517</v>
      </c>
    </row>
    <row r="68" spans="1:19" x14ac:dyDescent="0.25">
      <c r="A68">
        <v>72.5</v>
      </c>
      <c r="B68">
        <v>1592.691</v>
      </c>
      <c r="C68">
        <v>1534.617</v>
      </c>
      <c r="D68">
        <v>1407.3489999999999</v>
      </c>
      <c r="E68">
        <v>1522.6369999999999</v>
      </c>
      <c r="F68">
        <v>1561.37</v>
      </c>
      <c r="H68" s="2">
        <f t="shared" si="0"/>
        <v>1523.7328</v>
      </c>
      <c r="I68" s="2">
        <f t="shared" si="1"/>
        <v>31.493370461733694</v>
      </c>
      <c r="K68">
        <v>72.5</v>
      </c>
      <c r="L68">
        <v>1584.8409999999999</v>
      </c>
      <c r="N68">
        <v>1495.7360000000001</v>
      </c>
      <c r="O68">
        <v>1428.569</v>
      </c>
      <c r="P68">
        <v>1514.8720000000001</v>
      </c>
      <c r="R68" s="3">
        <f t="shared" si="2"/>
        <v>1506.0045000000002</v>
      </c>
      <c r="S68" s="3">
        <f t="shared" si="3"/>
        <v>32.139701617832927</v>
      </c>
    </row>
    <row r="69" spans="1:19" x14ac:dyDescent="0.25">
      <c r="A69">
        <v>73.75</v>
      </c>
      <c r="B69">
        <v>1639.616</v>
      </c>
      <c r="C69">
        <v>1556.8050000000001</v>
      </c>
      <c r="D69">
        <v>1427.9490000000001</v>
      </c>
      <c r="E69">
        <v>1552.884</v>
      </c>
      <c r="F69">
        <v>1579.0640000000001</v>
      </c>
      <c r="H69" s="2">
        <f t="shared" ref="H69:H96" si="4">AVERAGE(B69:F69)</f>
        <v>1551.2636000000002</v>
      </c>
      <c r="I69" s="2">
        <f t="shared" ref="I69:I96" si="5">STDEV(B69:F69)/SQRT(COUNT(B69:F69))</f>
        <v>34.510021884374389</v>
      </c>
      <c r="K69">
        <v>73.75</v>
      </c>
      <c r="L69">
        <v>1606.5609999999999</v>
      </c>
      <c r="N69">
        <v>1529.96</v>
      </c>
      <c r="O69">
        <v>1454.085</v>
      </c>
      <c r="P69">
        <v>1547.78</v>
      </c>
      <c r="R69" s="3">
        <f t="shared" ref="R69:R96" si="6">AVERAGE(L69:P69)</f>
        <v>1534.5964999999999</v>
      </c>
      <c r="S69" s="3">
        <f t="shared" ref="S69:S96" si="7">STDEV(L69:P69)/SQRT(COUNT(L69:P69))</f>
        <v>31.43285528577805</v>
      </c>
    </row>
    <row r="70" spans="1:19" x14ac:dyDescent="0.25">
      <c r="A70">
        <v>75</v>
      </c>
      <c r="B70">
        <v>1769.2529999999999</v>
      </c>
      <c r="C70">
        <v>1678.5260000000001</v>
      </c>
      <c r="D70">
        <v>1541.19</v>
      </c>
      <c r="E70">
        <v>1668.2629999999999</v>
      </c>
      <c r="F70">
        <v>1703.4829999999999</v>
      </c>
      <c r="H70" s="2">
        <f t="shared" si="4"/>
        <v>1672.143</v>
      </c>
      <c r="I70" s="2">
        <f t="shared" si="5"/>
        <v>37.159812296350452</v>
      </c>
      <c r="K70">
        <v>75</v>
      </c>
      <c r="L70">
        <v>1724.5840000000001</v>
      </c>
      <c r="N70">
        <v>1648.8589999999999</v>
      </c>
      <c r="O70">
        <v>1540.933</v>
      </c>
      <c r="P70">
        <v>1649.7</v>
      </c>
      <c r="R70" s="3">
        <f t="shared" si="6"/>
        <v>1641.019</v>
      </c>
      <c r="S70" s="3">
        <f t="shared" si="7"/>
        <v>37.79014640308592</v>
      </c>
    </row>
    <row r="71" spans="1:19" x14ac:dyDescent="0.25">
      <c r="A71">
        <v>76.25</v>
      </c>
      <c r="B71">
        <v>1951.452</v>
      </c>
      <c r="C71">
        <v>1860.37</v>
      </c>
      <c r="D71">
        <v>1727.771</v>
      </c>
      <c r="E71">
        <v>1846.1610000000001</v>
      </c>
      <c r="F71">
        <v>1889.86</v>
      </c>
      <c r="H71" s="2">
        <f t="shared" si="4"/>
        <v>1855.1227999999999</v>
      </c>
      <c r="I71" s="2">
        <f t="shared" si="5"/>
        <v>36.614420497121074</v>
      </c>
      <c r="K71">
        <v>76.25</v>
      </c>
      <c r="L71">
        <v>1898.232</v>
      </c>
      <c r="N71">
        <v>1826.653</v>
      </c>
      <c r="O71">
        <v>1704.77</v>
      </c>
      <c r="P71">
        <v>1806.961</v>
      </c>
      <c r="R71" s="3">
        <f t="shared" si="6"/>
        <v>1809.1540000000002</v>
      </c>
      <c r="S71" s="3">
        <f t="shared" si="7"/>
        <v>39.939468563898878</v>
      </c>
    </row>
    <row r="72" spans="1:19" x14ac:dyDescent="0.25">
      <c r="A72">
        <v>77.5</v>
      </c>
      <c r="B72">
        <v>2041.51</v>
      </c>
      <c r="C72">
        <v>1947.3240000000001</v>
      </c>
      <c r="D72">
        <v>1805.1780000000001</v>
      </c>
      <c r="E72">
        <v>1934.9860000000001</v>
      </c>
      <c r="F72">
        <v>1979.0260000000001</v>
      </c>
      <c r="H72" s="2">
        <f t="shared" si="4"/>
        <v>1941.6047999999998</v>
      </c>
      <c r="I72" s="2">
        <f t="shared" si="5"/>
        <v>38.775111035817794</v>
      </c>
      <c r="K72">
        <v>77.5</v>
      </c>
      <c r="L72">
        <v>1995.8779999999999</v>
      </c>
      <c r="N72">
        <v>1911.492</v>
      </c>
      <c r="O72">
        <v>1790.3019999999999</v>
      </c>
      <c r="P72">
        <v>1885.066</v>
      </c>
      <c r="R72" s="3">
        <f t="shared" si="6"/>
        <v>1895.6844999999998</v>
      </c>
      <c r="S72" s="3">
        <f t="shared" si="7"/>
        <v>42.334814620081509</v>
      </c>
    </row>
    <row r="73" spans="1:19" x14ac:dyDescent="0.25">
      <c r="A73">
        <v>78.75</v>
      </c>
      <c r="B73">
        <v>1968.9780000000001</v>
      </c>
      <c r="C73">
        <v>1894.2940000000001</v>
      </c>
      <c r="D73">
        <v>1747.32</v>
      </c>
      <c r="E73">
        <v>1884.866</v>
      </c>
      <c r="F73">
        <v>1919.701</v>
      </c>
      <c r="H73" s="2">
        <f t="shared" si="4"/>
        <v>1883.0318</v>
      </c>
      <c r="I73" s="2">
        <f t="shared" si="5"/>
        <v>36.931878926477623</v>
      </c>
      <c r="K73">
        <v>78.75</v>
      </c>
      <c r="L73">
        <v>1957.867</v>
      </c>
      <c r="N73">
        <v>1856.232</v>
      </c>
      <c r="O73">
        <v>1748.492</v>
      </c>
      <c r="P73">
        <v>1834.0239999999999</v>
      </c>
      <c r="R73" s="3">
        <f t="shared" si="6"/>
        <v>1849.1537499999999</v>
      </c>
      <c r="S73" s="3">
        <f t="shared" si="7"/>
        <v>43.041036229732747</v>
      </c>
    </row>
    <row r="74" spans="1:19" x14ac:dyDescent="0.25">
      <c r="A74">
        <v>80</v>
      </c>
      <c r="B74">
        <v>1917.261</v>
      </c>
      <c r="C74">
        <v>1826.856</v>
      </c>
      <c r="D74">
        <v>1670.5719999999999</v>
      </c>
      <c r="E74">
        <v>1813.4570000000001</v>
      </c>
      <c r="F74">
        <v>1843.53</v>
      </c>
      <c r="H74" s="2">
        <f t="shared" si="4"/>
        <v>1814.3352000000002</v>
      </c>
      <c r="I74" s="2">
        <f t="shared" si="5"/>
        <v>40.169301708394201</v>
      </c>
      <c r="K74">
        <v>80</v>
      </c>
      <c r="L74">
        <v>1867.3530000000001</v>
      </c>
      <c r="N74">
        <v>1789.115</v>
      </c>
      <c r="O74">
        <v>1676.18</v>
      </c>
      <c r="P74">
        <v>1784.163</v>
      </c>
      <c r="R74" s="3">
        <f t="shared" si="6"/>
        <v>1779.2027499999999</v>
      </c>
      <c r="S74" s="3">
        <f t="shared" si="7"/>
        <v>39.271501937102343</v>
      </c>
    </row>
    <row r="75" spans="1:19" x14ac:dyDescent="0.25">
      <c r="A75">
        <v>81.25</v>
      </c>
      <c r="B75">
        <v>2074.3249999999998</v>
      </c>
      <c r="C75">
        <v>1996.605</v>
      </c>
      <c r="D75">
        <v>1747.549</v>
      </c>
      <c r="E75">
        <v>2013.1410000000001</v>
      </c>
      <c r="F75">
        <v>2005.15</v>
      </c>
      <c r="H75" s="2">
        <f t="shared" si="4"/>
        <v>1967.3539999999998</v>
      </c>
      <c r="I75" s="2">
        <f t="shared" si="5"/>
        <v>56.629339062009187</v>
      </c>
      <c r="K75">
        <v>81.25</v>
      </c>
      <c r="L75">
        <v>1969.2550000000001</v>
      </c>
      <c r="N75">
        <v>1949.2639999999999</v>
      </c>
      <c r="O75">
        <v>1807.6769999999999</v>
      </c>
      <c r="P75">
        <v>1959.614</v>
      </c>
      <c r="R75" s="3">
        <f t="shared" si="6"/>
        <v>1921.4524999999999</v>
      </c>
      <c r="S75" s="3">
        <f t="shared" si="7"/>
        <v>38.144159689481548</v>
      </c>
    </row>
    <row r="76" spans="1:19" x14ac:dyDescent="0.25">
      <c r="A76">
        <v>82.5</v>
      </c>
      <c r="B76">
        <v>2591.5920000000001</v>
      </c>
      <c r="C76">
        <v>2551.018</v>
      </c>
      <c r="D76">
        <v>2213.8820000000001</v>
      </c>
      <c r="E76">
        <v>2636.0340000000001</v>
      </c>
      <c r="F76">
        <v>2467.33</v>
      </c>
      <c r="H76" s="2">
        <f t="shared" si="4"/>
        <v>2491.9712</v>
      </c>
      <c r="I76" s="2">
        <f t="shared" si="5"/>
        <v>74.86845484608321</v>
      </c>
      <c r="K76">
        <v>82.5</v>
      </c>
      <c r="L76">
        <v>2479.9609999999998</v>
      </c>
      <c r="N76">
        <v>2530.2719999999999</v>
      </c>
      <c r="O76">
        <v>2261.2890000000002</v>
      </c>
      <c r="P76">
        <v>2556.8270000000002</v>
      </c>
      <c r="R76" s="3">
        <f t="shared" si="6"/>
        <v>2457.0872500000005</v>
      </c>
      <c r="S76" s="3">
        <f t="shared" si="7"/>
        <v>67.183944327464346</v>
      </c>
    </row>
    <row r="77" spans="1:19" x14ac:dyDescent="0.25">
      <c r="A77">
        <v>83.75</v>
      </c>
      <c r="B77">
        <v>3360.21</v>
      </c>
      <c r="C77">
        <v>3253.9389999999999</v>
      </c>
      <c r="D77">
        <v>2908.6860000000001</v>
      </c>
      <c r="E77">
        <v>3434.8710000000001</v>
      </c>
      <c r="F77">
        <v>3121.2040000000002</v>
      </c>
      <c r="H77" s="2">
        <f t="shared" si="4"/>
        <v>3215.7819999999997</v>
      </c>
      <c r="I77" s="2">
        <f t="shared" si="5"/>
        <v>93.158023018417452</v>
      </c>
      <c r="K77">
        <v>83.75</v>
      </c>
      <c r="L77">
        <v>3269.7249999999999</v>
      </c>
      <c r="N77">
        <v>3318.1210000000001</v>
      </c>
      <c r="O77">
        <v>3051.3180000000002</v>
      </c>
      <c r="P77">
        <v>3299.8389999999999</v>
      </c>
      <c r="R77" s="3">
        <f t="shared" si="6"/>
        <v>3234.7507500000002</v>
      </c>
      <c r="S77" s="3">
        <f t="shared" si="7"/>
        <v>61.952838789376663</v>
      </c>
    </row>
    <row r="78" spans="1:19" x14ac:dyDescent="0.25">
      <c r="A78">
        <v>85</v>
      </c>
      <c r="B78">
        <v>3917.924</v>
      </c>
      <c r="C78">
        <v>3774.6689999999999</v>
      </c>
      <c r="D78">
        <v>3424.1579999999999</v>
      </c>
      <c r="E78">
        <v>3938.114</v>
      </c>
      <c r="F78">
        <v>3586.2159999999999</v>
      </c>
      <c r="H78" s="2">
        <f t="shared" si="4"/>
        <v>3728.2161999999998</v>
      </c>
      <c r="I78" s="2">
        <f t="shared" si="5"/>
        <v>98.696363722479674</v>
      </c>
      <c r="K78">
        <v>85</v>
      </c>
      <c r="L78">
        <v>3848.7649999999999</v>
      </c>
      <c r="N78">
        <v>3879.777</v>
      </c>
      <c r="O78">
        <v>3553.6889999999999</v>
      </c>
      <c r="P78">
        <v>3784.9259999999999</v>
      </c>
      <c r="R78" s="3">
        <f t="shared" si="6"/>
        <v>3766.7892499999998</v>
      </c>
      <c r="S78" s="3">
        <f t="shared" si="7"/>
        <v>73.72635976407966</v>
      </c>
    </row>
    <row r="79" spans="1:19" x14ac:dyDescent="0.25">
      <c r="A79">
        <v>86.25</v>
      </c>
      <c r="B79">
        <v>3971.989</v>
      </c>
      <c r="C79">
        <v>3845.5430000000001</v>
      </c>
      <c r="D79">
        <v>3511.1210000000001</v>
      </c>
      <c r="E79">
        <v>3919.1930000000002</v>
      </c>
      <c r="F79">
        <v>3671.145</v>
      </c>
      <c r="H79" s="2">
        <f t="shared" si="4"/>
        <v>3783.7982000000002</v>
      </c>
      <c r="I79" s="2">
        <f t="shared" si="5"/>
        <v>85.030449919073106</v>
      </c>
      <c r="K79">
        <v>86.25</v>
      </c>
      <c r="L79">
        <v>3951.5129999999999</v>
      </c>
      <c r="N79">
        <v>3920.8560000000002</v>
      </c>
      <c r="O79">
        <v>3618.39</v>
      </c>
      <c r="P79">
        <v>3801.2440000000001</v>
      </c>
      <c r="R79" s="3">
        <f t="shared" si="6"/>
        <v>3823.0007500000002</v>
      </c>
      <c r="S79" s="3">
        <f t="shared" si="7"/>
        <v>75.514879074011006</v>
      </c>
    </row>
    <row r="80" spans="1:19" x14ac:dyDescent="0.25">
      <c r="A80">
        <v>87.5</v>
      </c>
      <c r="B80">
        <v>3681.0070000000001</v>
      </c>
      <c r="C80">
        <v>3575.134</v>
      </c>
      <c r="D80">
        <v>3272.7179999999998</v>
      </c>
      <c r="E80">
        <v>3535.9369999999999</v>
      </c>
      <c r="F80">
        <v>3376.6370000000002</v>
      </c>
      <c r="H80" s="2">
        <f t="shared" si="4"/>
        <v>3488.2866000000004</v>
      </c>
      <c r="I80" s="2">
        <f t="shared" si="5"/>
        <v>72.763190752330274</v>
      </c>
      <c r="K80">
        <v>87.5</v>
      </c>
      <c r="L80">
        <v>3642.8980000000001</v>
      </c>
      <c r="N80">
        <v>3569.7379999999998</v>
      </c>
      <c r="O80">
        <v>3265.4870000000001</v>
      </c>
      <c r="P80">
        <v>3429.4229999999998</v>
      </c>
      <c r="R80" s="3">
        <f t="shared" si="6"/>
        <v>3476.8864999999996</v>
      </c>
      <c r="S80" s="3">
        <f t="shared" si="7"/>
        <v>83.22847650544054</v>
      </c>
    </row>
    <row r="81" spans="1:19" x14ac:dyDescent="0.25">
      <c r="A81">
        <v>88.75</v>
      </c>
      <c r="B81">
        <v>3462.902</v>
      </c>
      <c r="C81">
        <v>3343.087</v>
      </c>
      <c r="D81">
        <v>3047.3939999999998</v>
      </c>
      <c r="E81">
        <v>3328.1039999999998</v>
      </c>
      <c r="F81">
        <v>3093.0729999999999</v>
      </c>
      <c r="H81" s="2">
        <f t="shared" si="4"/>
        <v>3254.9119999999998</v>
      </c>
      <c r="I81" s="2">
        <f t="shared" si="5"/>
        <v>79.261378310624934</v>
      </c>
      <c r="K81">
        <v>88.75</v>
      </c>
      <c r="L81">
        <v>3294.9110000000001</v>
      </c>
      <c r="N81">
        <v>3244.933</v>
      </c>
      <c r="O81">
        <v>2929.453</v>
      </c>
      <c r="P81">
        <v>3130.2020000000002</v>
      </c>
      <c r="R81" s="3">
        <f t="shared" si="6"/>
        <v>3149.8747499999999</v>
      </c>
      <c r="S81" s="3">
        <f t="shared" si="7"/>
        <v>81.160514657041418</v>
      </c>
    </row>
    <row r="82" spans="1:19" x14ac:dyDescent="0.25">
      <c r="A82">
        <v>90</v>
      </c>
      <c r="B82">
        <v>3545.1669999999999</v>
      </c>
      <c r="C82">
        <v>3419.2310000000002</v>
      </c>
      <c r="D82">
        <v>3158.761</v>
      </c>
      <c r="E82">
        <v>3436.5529999999999</v>
      </c>
      <c r="F82">
        <v>3094.5880000000002</v>
      </c>
      <c r="H82" s="2">
        <f t="shared" si="4"/>
        <v>3330.8599999999997</v>
      </c>
      <c r="I82" s="2">
        <f t="shared" si="5"/>
        <v>86.703649843590753</v>
      </c>
      <c r="K82">
        <v>90</v>
      </c>
      <c r="L82">
        <v>3300.4090000000001</v>
      </c>
      <c r="N82">
        <v>3356.0030000000002</v>
      </c>
      <c r="O82">
        <v>3021.9690000000001</v>
      </c>
      <c r="P82">
        <v>3174.9050000000002</v>
      </c>
      <c r="R82" s="3">
        <f t="shared" si="6"/>
        <v>3213.3215000000005</v>
      </c>
      <c r="S82" s="3">
        <f t="shared" si="7"/>
        <v>74.18100039037401</v>
      </c>
    </row>
    <row r="83" spans="1:19" x14ac:dyDescent="0.25">
      <c r="A83">
        <v>91.25</v>
      </c>
      <c r="B83">
        <v>3859.453</v>
      </c>
      <c r="C83">
        <v>3704.8870000000002</v>
      </c>
      <c r="D83">
        <v>3498.0619999999999</v>
      </c>
      <c r="E83">
        <v>3677.6030000000001</v>
      </c>
      <c r="F83">
        <v>3211.5540000000001</v>
      </c>
      <c r="H83" s="2">
        <f t="shared" si="4"/>
        <v>3590.3118000000004</v>
      </c>
      <c r="I83" s="2">
        <f t="shared" si="5"/>
        <v>110.71398110690447</v>
      </c>
      <c r="K83">
        <v>91.25</v>
      </c>
      <c r="L83">
        <v>3520.453</v>
      </c>
      <c r="N83">
        <v>3713.5720000000001</v>
      </c>
      <c r="O83">
        <v>3285.922</v>
      </c>
      <c r="P83">
        <v>3364.056</v>
      </c>
      <c r="R83" s="3">
        <f t="shared" si="6"/>
        <v>3471.0007500000002</v>
      </c>
      <c r="S83" s="3">
        <f t="shared" si="7"/>
        <v>94.418244887111214</v>
      </c>
    </row>
    <row r="84" spans="1:19" x14ac:dyDescent="0.25">
      <c r="A84">
        <v>92.5</v>
      </c>
      <c r="B84">
        <v>4126.8980000000001</v>
      </c>
      <c r="C84">
        <v>3987.9059999999999</v>
      </c>
      <c r="D84">
        <v>3728.5619999999999</v>
      </c>
      <c r="E84">
        <v>3860.7829999999999</v>
      </c>
      <c r="F84">
        <v>3290.9740000000002</v>
      </c>
      <c r="H84" s="2">
        <f t="shared" si="4"/>
        <v>3799.0245999999997</v>
      </c>
      <c r="I84" s="2">
        <f t="shared" si="5"/>
        <v>143.19071894211575</v>
      </c>
      <c r="K84">
        <v>92.5</v>
      </c>
      <c r="L84">
        <v>3725.261</v>
      </c>
      <c r="N84">
        <v>3956.1930000000002</v>
      </c>
      <c r="O84">
        <v>3497.9830000000002</v>
      </c>
      <c r="P84">
        <v>3527.8049999999998</v>
      </c>
      <c r="R84" s="3">
        <f t="shared" si="6"/>
        <v>3676.8105</v>
      </c>
      <c r="S84" s="3">
        <f t="shared" si="7"/>
        <v>105.90244962661004</v>
      </c>
    </row>
    <row r="85" spans="1:19" x14ac:dyDescent="0.25">
      <c r="A85">
        <v>93.75</v>
      </c>
      <c r="B85">
        <v>4150.8770000000004</v>
      </c>
      <c r="C85">
        <v>4059.3429999999998</v>
      </c>
      <c r="D85">
        <v>3718.1120000000001</v>
      </c>
      <c r="E85">
        <v>3897.029</v>
      </c>
      <c r="F85">
        <v>3369.5970000000002</v>
      </c>
      <c r="H85" s="2">
        <f t="shared" si="4"/>
        <v>3838.9916000000003</v>
      </c>
      <c r="I85" s="2">
        <f t="shared" si="5"/>
        <v>138.589095930957</v>
      </c>
      <c r="K85">
        <v>93.75</v>
      </c>
      <c r="L85">
        <v>3800.1179999999999</v>
      </c>
      <c r="N85">
        <v>3975.5680000000002</v>
      </c>
      <c r="O85">
        <v>3521.7060000000001</v>
      </c>
      <c r="P85">
        <v>3566.2049999999999</v>
      </c>
      <c r="R85" s="3">
        <f t="shared" si="6"/>
        <v>3715.8992499999999</v>
      </c>
      <c r="S85" s="3">
        <f t="shared" si="7"/>
        <v>105.92451888284651</v>
      </c>
    </row>
    <row r="86" spans="1:19" x14ac:dyDescent="0.25">
      <c r="A86">
        <v>95</v>
      </c>
      <c r="B86">
        <v>4019.1019999999999</v>
      </c>
      <c r="C86">
        <v>3993.4</v>
      </c>
      <c r="D86">
        <v>3590.6320000000001</v>
      </c>
      <c r="E86">
        <v>3901.8229999999999</v>
      </c>
      <c r="F86">
        <v>3545.663</v>
      </c>
      <c r="H86" s="2">
        <f t="shared" si="4"/>
        <v>3810.1239999999998</v>
      </c>
      <c r="I86" s="2">
        <f t="shared" si="5"/>
        <v>100.94230080744146</v>
      </c>
      <c r="K86">
        <v>95</v>
      </c>
      <c r="L86">
        <v>3777.6280000000002</v>
      </c>
      <c r="N86">
        <v>3861.7460000000001</v>
      </c>
      <c r="O86">
        <v>3476.8789999999999</v>
      </c>
      <c r="P86">
        <v>3584.538</v>
      </c>
      <c r="R86" s="3">
        <f t="shared" si="6"/>
        <v>3675.1977500000003</v>
      </c>
      <c r="S86" s="3">
        <f t="shared" si="7"/>
        <v>87.959139455369709</v>
      </c>
    </row>
    <row r="87" spans="1:19" x14ac:dyDescent="0.25">
      <c r="A87">
        <v>96.25</v>
      </c>
      <c r="B87">
        <v>4000.5079999999998</v>
      </c>
      <c r="C87">
        <v>3977.4180000000001</v>
      </c>
      <c r="D87">
        <v>3560.4789999999998</v>
      </c>
      <c r="E87">
        <v>3986.8710000000001</v>
      </c>
      <c r="F87">
        <v>3840.0120000000002</v>
      </c>
      <c r="H87" s="2">
        <f t="shared" si="4"/>
        <v>3873.0575999999992</v>
      </c>
      <c r="I87" s="2">
        <f t="shared" si="5"/>
        <v>83.332340788315818</v>
      </c>
      <c r="K87">
        <v>96.25</v>
      </c>
      <c r="L87">
        <v>3881.7809999999999</v>
      </c>
      <c r="N87">
        <v>3887.5059999999999</v>
      </c>
      <c r="O87">
        <v>3597.17</v>
      </c>
      <c r="P87">
        <v>3694.7959999999998</v>
      </c>
      <c r="R87" s="3">
        <f t="shared" si="6"/>
        <v>3765.3132500000002</v>
      </c>
      <c r="S87" s="3">
        <f t="shared" si="7"/>
        <v>71.72902713845464</v>
      </c>
    </row>
    <row r="88" spans="1:19" x14ac:dyDescent="0.25">
      <c r="A88">
        <v>97.5</v>
      </c>
      <c r="B88">
        <v>4185.1360000000004</v>
      </c>
      <c r="C88">
        <v>4143.3370000000004</v>
      </c>
      <c r="D88">
        <v>3719.056</v>
      </c>
      <c r="E88">
        <v>4232.3559999999998</v>
      </c>
      <c r="F88">
        <v>4213.6019999999999</v>
      </c>
      <c r="H88" s="2">
        <f t="shared" si="4"/>
        <v>4098.6974</v>
      </c>
      <c r="I88" s="2">
        <f t="shared" si="5"/>
        <v>96.088398495135706</v>
      </c>
      <c r="K88">
        <v>97.5</v>
      </c>
      <c r="L88">
        <v>4177.808</v>
      </c>
      <c r="N88">
        <v>4115.1679999999997</v>
      </c>
      <c r="O88">
        <v>3867.346</v>
      </c>
      <c r="P88">
        <v>3949.0439999999999</v>
      </c>
      <c r="R88" s="3">
        <f t="shared" si="6"/>
        <v>4027.3414999999995</v>
      </c>
      <c r="S88" s="3">
        <f t="shared" si="7"/>
        <v>71.927463606863427</v>
      </c>
    </row>
    <row r="89" spans="1:19" x14ac:dyDescent="0.25">
      <c r="A89">
        <v>98.75</v>
      </c>
      <c r="B89">
        <v>4389.7290000000003</v>
      </c>
      <c r="C89">
        <v>4366.0039999999999</v>
      </c>
      <c r="D89">
        <v>3925.4189999999999</v>
      </c>
      <c r="E89">
        <v>4454.5919999999996</v>
      </c>
      <c r="F89">
        <v>4466.0690000000004</v>
      </c>
      <c r="H89" s="2">
        <f t="shared" si="4"/>
        <v>4320.3625999999995</v>
      </c>
      <c r="I89" s="2">
        <f t="shared" si="5"/>
        <v>100.52939093847135</v>
      </c>
      <c r="K89">
        <v>98.75</v>
      </c>
      <c r="L89">
        <v>4456.0320000000002</v>
      </c>
      <c r="N89">
        <v>4337.2830000000004</v>
      </c>
      <c r="O89">
        <v>4127.6670000000004</v>
      </c>
      <c r="P89">
        <v>4198.0360000000001</v>
      </c>
      <c r="R89" s="3">
        <f t="shared" si="6"/>
        <v>4279.7545</v>
      </c>
      <c r="S89" s="3">
        <f t="shared" si="7"/>
        <v>73.139026413741632</v>
      </c>
    </row>
    <row r="90" spans="1:19" x14ac:dyDescent="0.25">
      <c r="A90">
        <v>100</v>
      </c>
      <c r="B90">
        <v>4434.7269999999999</v>
      </c>
      <c r="C90">
        <v>4449.3440000000001</v>
      </c>
      <c r="D90">
        <v>3986.5830000000001</v>
      </c>
      <c r="E90">
        <v>4527.2</v>
      </c>
      <c r="F90">
        <v>4570.0540000000001</v>
      </c>
      <c r="H90" s="2">
        <f t="shared" si="4"/>
        <v>4393.5815999999995</v>
      </c>
      <c r="I90" s="2">
        <f t="shared" si="5"/>
        <v>104.74889841358711</v>
      </c>
      <c r="K90">
        <v>100</v>
      </c>
      <c r="L90">
        <v>4548.3289999999997</v>
      </c>
      <c r="N90">
        <v>4393.3850000000002</v>
      </c>
      <c r="O90">
        <v>4215.8680000000004</v>
      </c>
      <c r="P90">
        <v>4285.5609999999997</v>
      </c>
      <c r="R90" s="3">
        <f t="shared" si="6"/>
        <v>4360.78575</v>
      </c>
      <c r="S90" s="3">
        <f t="shared" si="7"/>
        <v>72.396534792045273</v>
      </c>
    </row>
    <row r="91" spans="1:19" x14ac:dyDescent="0.25">
      <c r="A91">
        <v>101.25</v>
      </c>
      <c r="B91">
        <v>4260.8739999999998</v>
      </c>
      <c r="C91">
        <v>4295.9629999999997</v>
      </c>
      <c r="D91">
        <v>3852.7449999999999</v>
      </c>
      <c r="E91">
        <v>4360.3860000000004</v>
      </c>
      <c r="F91">
        <v>4427.9610000000002</v>
      </c>
      <c r="H91" s="2">
        <f t="shared" si="4"/>
        <v>4239.5857999999998</v>
      </c>
      <c r="I91" s="2">
        <f t="shared" si="5"/>
        <v>100.83533234407477</v>
      </c>
      <c r="K91">
        <v>101.25</v>
      </c>
      <c r="L91">
        <v>4413.1310000000003</v>
      </c>
      <c r="N91">
        <v>4226.9520000000002</v>
      </c>
      <c r="O91">
        <v>4102.5860000000002</v>
      </c>
      <c r="P91">
        <v>4161.2929999999997</v>
      </c>
      <c r="R91" s="3">
        <f t="shared" si="6"/>
        <v>4225.9904999999999</v>
      </c>
      <c r="S91" s="3">
        <f t="shared" si="7"/>
        <v>67.352881866702702</v>
      </c>
    </row>
    <row r="92" spans="1:19" x14ac:dyDescent="0.25">
      <c r="A92">
        <v>102.5</v>
      </c>
      <c r="B92">
        <v>3862.4050000000002</v>
      </c>
      <c r="C92">
        <v>3943.9490000000001</v>
      </c>
      <c r="D92">
        <v>3549.9189999999999</v>
      </c>
      <c r="E92">
        <v>3981.3429999999998</v>
      </c>
      <c r="F92">
        <v>4037.7159999999999</v>
      </c>
      <c r="H92" s="2">
        <f t="shared" si="4"/>
        <v>3875.0664000000006</v>
      </c>
      <c r="I92" s="2">
        <f t="shared" si="5"/>
        <v>86.132329426063947</v>
      </c>
      <c r="K92">
        <v>102.5</v>
      </c>
      <c r="L92">
        <v>4049.069</v>
      </c>
      <c r="N92">
        <v>3860.5129999999999</v>
      </c>
      <c r="O92">
        <v>3748.9189999999999</v>
      </c>
      <c r="P92">
        <v>3813.72</v>
      </c>
      <c r="R92" s="3">
        <f t="shared" si="6"/>
        <v>3868.0552499999999</v>
      </c>
      <c r="S92" s="3">
        <f t="shared" si="7"/>
        <v>64.529469159931125</v>
      </c>
    </row>
    <row r="93" spans="1:19" x14ac:dyDescent="0.25">
      <c r="A93">
        <v>103.75</v>
      </c>
      <c r="B93">
        <v>3358.2570000000001</v>
      </c>
      <c r="C93">
        <v>3471.835</v>
      </c>
      <c r="D93">
        <v>3143.4290000000001</v>
      </c>
      <c r="E93">
        <v>3516.7449999999999</v>
      </c>
      <c r="F93">
        <v>3545.739</v>
      </c>
      <c r="H93" s="2">
        <f t="shared" si="4"/>
        <v>3407.201</v>
      </c>
      <c r="I93" s="2">
        <f t="shared" si="5"/>
        <v>73.260290217825343</v>
      </c>
      <c r="K93">
        <v>103.75</v>
      </c>
      <c r="L93">
        <v>3521.2860000000001</v>
      </c>
      <c r="N93">
        <v>3373.0819999999999</v>
      </c>
      <c r="O93">
        <v>3268.8829999999998</v>
      </c>
      <c r="P93">
        <v>3326.683</v>
      </c>
      <c r="R93" s="3">
        <f t="shared" si="6"/>
        <v>3372.4835000000003</v>
      </c>
      <c r="S93" s="3">
        <f t="shared" si="7"/>
        <v>53.98556258312653</v>
      </c>
    </row>
    <row r="94" spans="1:19" x14ac:dyDescent="0.25">
      <c r="A94">
        <v>105</v>
      </c>
      <c r="B94">
        <v>2909.4070000000002</v>
      </c>
      <c r="C94">
        <v>3032.9029999999998</v>
      </c>
      <c r="D94">
        <v>2741.0509999999999</v>
      </c>
      <c r="E94">
        <v>3119.2759999999998</v>
      </c>
      <c r="F94">
        <v>3136.56</v>
      </c>
      <c r="H94" s="2">
        <f t="shared" si="4"/>
        <v>2987.8393999999998</v>
      </c>
      <c r="I94" s="2">
        <f t="shared" si="5"/>
        <v>73.647905765608826</v>
      </c>
      <c r="K94">
        <v>105</v>
      </c>
      <c r="L94">
        <v>3020.8760000000002</v>
      </c>
      <c r="N94">
        <v>2958.1309999999999</v>
      </c>
      <c r="O94">
        <v>2857.9830000000002</v>
      </c>
      <c r="P94">
        <v>2879.2910000000002</v>
      </c>
      <c r="R94" s="3">
        <f t="shared" si="6"/>
        <v>2929.0702499999998</v>
      </c>
      <c r="S94" s="3">
        <f t="shared" si="7"/>
        <v>37.421243706783706</v>
      </c>
    </row>
    <row r="95" spans="1:19" x14ac:dyDescent="0.25">
      <c r="A95">
        <v>106.25</v>
      </c>
      <c r="B95">
        <v>2587.8409999999999</v>
      </c>
      <c r="C95">
        <v>2717.0079999999998</v>
      </c>
      <c r="D95">
        <v>2436.047</v>
      </c>
      <c r="E95">
        <v>2821.6849999999999</v>
      </c>
      <c r="F95">
        <v>2830.2370000000001</v>
      </c>
      <c r="H95" s="2">
        <f t="shared" si="4"/>
        <v>2678.5636</v>
      </c>
      <c r="I95" s="2">
        <f t="shared" si="5"/>
        <v>74.836962365932521</v>
      </c>
      <c r="K95">
        <v>106.25</v>
      </c>
      <c r="L95">
        <v>2674.828</v>
      </c>
      <c r="N95">
        <v>2649.68</v>
      </c>
      <c r="O95">
        <v>2550.634</v>
      </c>
      <c r="P95">
        <v>2550.8710000000001</v>
      </c>
      <c r="R95" s="3">
        <f t="shared" si="6"/>
        <v>2606.5032499999998</v>
      </c>
      <c r="S95" s="3">
        <f t="shared" si="7"/>
        <v>32.594508150338726</v>
      </c>
    </row>
    <row r="96" spans="1:19" x14ac:dyDescent="0.25">
      <c r="A96">
        <v>107.5</v>
      </c>
      <c r="B96">
        <v>2378.2959999999998</v>
      </c>
      <c r="C96">
        <v>2509.8119999999999</v>
      </c>
      <c r="D96">
        <v>2243.701</v>
      </c>
      <c r="E96">
        <v>2623.0189999999998</v>
      </c>
      <c r="F96">
        <v>2632.5039999999999</v>
      </c>
      <c r="H96" s="2">
        <f t="shared" si="4"/>
        <v>2477.4663999999998</v>
      </c>
      <c r="I96" s="2">
        <f t="shared" si="5"/>
        <v>74.414207344162421</v>
      </c>
      <c r="K96">
        <v>107.5</v>
      </c>
      <c r="L96">
        <v>2450.8519999999999</v>
      </c>
      <c r="N96">
        <v>2427.3449999999998</v>
      </c>
      <c r="O96">
        <v>2336.0990000000002</v>
      </c>
      <c r="P96">
        <v>2325.357</v>
      </c>
      <c r="R96" s="3">
        <f t="shared" si="6"/>
        <v>2384.9132500000001</v>
      </c>
      <c r="S96" s="3">
        <f t="shared" si="7"/>
        <v>31.725581261748843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BRIGHT!OCT_RAW___\CO01\_dark_profiles_CO01_DARK</vt:lpstr>
      <vt:lpstr>BRIGHT!OCT_RAW___\CO01\_light_profiles_CO01_LIGHT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2019-11-17T03:05:26Z</dcterms:modified>
</cp:coreProperties>
</file>