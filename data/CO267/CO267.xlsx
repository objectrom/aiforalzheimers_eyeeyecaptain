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267\"/>
    </mc:Choice>
  </mc:AlternateContent>
  <xr:revisionPtr revIDLastSave="0" documentId="13_ncr:1_{1E7CD8A1-E5C9-47C2-834D-56DBCE3C4A39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4\_dark_profiles_CO04_DARK" localSheetId="0">BRIGHT!$A$2:$F$96</definedName>
    <definedName name="OCT_RAW___\CO04\_fovea_dark_profiles_CO04_DARK" localSheetId="0">BRIGHT!#REF!</definedName>
    <definedName name="OCT_RAW___\CO04\_fovea_light_profiles_CO04_LIGHT" localSheetId="0">BRIGHT!#REF!</definedName>
    <definedName name="OCT_RAW___\CO04\_light_profiles_CO04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EDCFD6-2F99-4033-8EFC-4B5544711485}" name="[[[OCT RAW]]]\CO04\_dark_profiles_CO04_DARK" type="6" refreshedVersion="6" background="1" saveData="1">
    <textPr codePage="437" sourceFile="E:\[Documents]\[[[OCT RAW]]]\CO04\_dark_profiles_CO04_DARK.txt" space="1" consecutive="1">
      <textFields count="6">
        <textField/>
        <textField/>
        <textField/>
        <textField/>
        <textField/>
        <textField/>
      </textFields>
    </textPr>
  </connection>
  <connection id="2" xr16:uid="{07A5839B-7C70-4E44-ADCE-96A2301F7055}" name="[[[OCT RAW]]]\CO04\_light_profiles_CO04_LIGHT" type="6" refreshedVersion="6" background="1" saveData="1">
    <textPr codePage="437" sourceFile="E:\[Documents]\[[[OCT RAW]]]\CO04\_light_profiles_CO04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<sst xmlns="http://schemas.openxmlformats.org/spreadsheetml/2006/main" count="12" uniqueCount="8">
  <si>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DARK 500 microns to 2750 microns</t>
  </si>
  <si>
    <t>LIGHT 500 microns to 2750 microns</t>
  </si>
  <si>
    <t>angle</t>
  </si>
  <si>
    <t>whole</t>
  </si>
  <si>
    <t>RPEtoOLM</t>
  </si>
  <si>
    <t>RNFL</t>
  </si>
  <si>
    <t>CO267_DARK</t>
  </si>
  <si>
    <t>CO267_LIGHT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</si>
</sst>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1060.5432000000001</c:v>
                </c:pt>
                <c:pt idx="1">
                  <c:v>1279.972</c:v>
                </c:pt>
                <c:pt idx="2">
                  <c:v>1651.5025999999998</c:v>
                </c:pt>
                <c:pt idx="3">
                  <c:v>2217.3969999999999</c:v>
                </c:pt>
                <c:pt idx="4">
                  <c:v>2818.0701999999997</c:v>
                </c:pt>
                <c:pt idx="5">
                  <c:v>3232.9373999999998</c:v>
                </c:pt>
                <c:pt idx="6">
                  <c:v>3413.6478000000002</c:v>
                </c:pt>
                <c:pt idx="7">
                  <c:v>3516.3234000000002</c:v>
                </c:pt>
                <c:pt idx="8">
                  <c:v>3561.6849999999999</c:v>
                </c:pt>
                <c:pt idx="9">
                  <c:v>3524.7174</c:v>
                </c:pt>
                <c:pt idx="10">
                  <c:v>3324.3554000000004</c:v>
                </c:pt>
                <c:pt idx="11">
                  <c:v>2922.4548</c:v>
                </c:pt>
                <c:pt idx="12">
                  <c:v>2617.9852000000001</c:v>
                </c:pt>
                <c:pt idx="13">
                  <c:v>2474.047</c:v>
                </c:pt>
                <c:pt idx="14">
                  <c:v>2431.7304000000004</c:v>
                </c:pt>
                <c:pt idx="15">
                  <c:v>2439.4424000000008</c:v>
                </c:pt>
                <c:pt idx="16">
                  <c:v>2453.4538000000002</c:v>
                </c:pt>
                <c:pt idx="17">
                  <c:v>2463.1567999999997</c:v>
                </c:pt>
                <c:pt idx="18">
                  <c:v>2479.5794000000001</c:v>
                </c:pt>
                <c:pt idx="19">
                  <c:v>2497.7936</c:v>
                </c:pt>
                <c:pt idx="20">
                  <c:v>2507.5747999999999</c:v>
                </c:pt>
                <c:pt idx="21">
                  <c:v>2506.7061999999996</c:v>
                </c:pt>
                <c:pt idx="22">
                  <c:v>2515.7976000000003</c:v>
                </c:pt>
                <c:pt idx="23">
                  <c:v>2544.1692000000003</c:v>
                </c:pt>
                <c:pt idx="24">
                  <c:v>2570.2668000000003</c:v>
                </c:pt>
                <c:pt idx="25">
                  <c:v>2568.8579999999997</c:v>
                </c:pt>
                <c:pt idx="26">
                  <c:v>2562.9502000000002</c:v>
                </c:pt>
                <c:pt idx="27">
                  <c:v>2588.4621999999999</c:v>
                </c:pt>
                <c:pt idx="28">
                  <c:v>2622.5331999999994</c:v>
                </c:pt>
                <c:pt idx="29">
                  <c:v>2641.9612000000002</c:v>
                </c:pt>
                <c:pt idx="30">
                  <c:v>2649.7228000000005</c:v>
                </c:pt>
                <c:pt idx="31">
                  <c:v>2634.3234000000002</c:v>
                </c:pt>
                <c:pt idx="32">
                  <c:v>2524.2786000000001</c:v>
                </c:pt>
                <c:pt idx="33">
                  <c:v>2336.806</c:v>
                </c:pt>
                <c:pt idx="34">
                  <c:v>2166.9515999999999</c:v>
                </c:pt>
                <c:pt idx="35">
                  <c:v>2060.5338000000002</c:v>
                </c:pt>
                <c:pt idx="36">
                  <c:v>2005.1284000000001</c:v>
                </c:pt>
                <c:pt idx="37">
                  <c:v>1990.2182</c:v>
                </c:pt>
                <c:pt idx="38">
                  <c:v>1995.5340000000001</c:v>
                </c:pt>
                <c:pt idx="39">
                  <c:v>2004.4958000000001</c:v>
                </c:pt>
                <c:pt idx="40">
                  <c:v>2035.6312000000003</c:v>
                </c:pt>
                <c:pt idx="41">
                  <c:v>2112.1889999999999</c:v>
                </c:pt>
                <c:pt idx="42">
                  <c:v>2220.4016000000001</c:v>
                </c:pt>
                <c:pt idx="43">
                  <c:v>2332.6448</c:v>
                </c:pt>
                <c:pt idx="44">
                  <c:v>2426.2866000000004</c:v>
                </c:pt>
                <c:pt idx="45">
                  <c:v>2464.7729999999997</c:v>
                </c:pt>
                <c:pt idx="46">
                  <c:v>2448.2673999999997</c:v>
                </c:pt>
                <c:pt idx="47">
                  <c:v>2403.2428</c:v>
                </c:pt>
                <c:pt idx="48">
                  <c:v>2324.2398000000003</c:v>
                </c:pt>
                <c:pt idx="49">
                  <c:v>2208.9820000000004</c:v>
                </c:pt>
                <c:pt idx="50">
                  <c:v>2094.6419999999998</c:v>
                </c:pt>
                <c:pt idx="51">
                  <c:v>1998.7949999999996</c:v>
                </c:pt>
                <c:pt idx="52">
                  <c:v>1919.9512000000002</c:v>
                </c:pt>
                <c:pt idx="53">
                  <c:v>1867.2375999999997</c:v>
                </c:pt>
                <c:pt idx="54">
                  <c:v>1817.7450000000001</c:v>
                </c:pt>
                <c:pt idx="55">
                  <c:v>1769.1745999999998</c:v>
                </c:pt>
                <c:pt idx="56">
                  <c:v>1720.0891999999999</c:v>
                </c:pt>
                <c:pt idx="57">
                  <c:v>1680.4270000000001</c:v>
                </c:pt>
                <c:pt idx="58">
                  <c:v>1640.7955999999999</c:v>
                </c:pt>
                <c:pt idx="59">
                  <c:v>1606.0966000000001</c:v>
                </c:pt>
                <c:pt idx="60">
                  <c:v>1582.5783999999999</c:v>
                </c:pt>
                <c:pt idx="61">
                  <c:v>1566.8481999999999</c:v>
                </c:pt>
                <c:pt idx="62">
                  <c:v>1563.0025999999998</c:v>
                </c:pt>
                <c:pt idx="63">
                  <c:v>1616.5023999999999</c:v>
                </c:pt>
                <c:pt idx="64">
                  <c:v>1775.5953999999997</c:v>
                </c:pt>
                <c:pt idx="65">
                  <c:v>1882.3095999999998</c:v>
                </c:pt>
                <c:pt idx="66">
                  <c:v>1839.8434000000002</c:v>
                </c:pt>
                <c:pt idx="67">
                  <c:v>1769.7250000000004</c:v>
                </c:pt>
                <c:pt idx="68">
                  <c:v>1933.1</c:v>
                </c:pt>
                <c:pt idx="69">
                  <c:v>2595.9459999999999</c:v>
                </c:pt>
                <c:pt idx="70">
                  <c:v>3577.5953999999997</c:v>
                </c:pt>
                <c:pt idx="71">
                  <c:v>4316.8963999999996</c:v>
                </c:pt>
                <c:pt idx="72">
                  <c:v>4445.4935999999998</c:v>
                </c:pt>
                <c:pt idx="73">
                  <c:v>3963.1334000000002</c:v>
                </c:pt>
                <c:pt idx="74">
                  <c:v>3246.0527999999999</c:v>
                </c:pt>
                <c:pt idx="75">
                  <c:v>2970.5215999999996</c:v>
                </c:pt>
                <c:pt idx="76">
                  <c:v>3246.9607999999998</c:v>
                </c:pt>
                <c:pt idx="77">
                  <c:v>3645.3042</c:v>
                </c:pt>
                <c:pt idx="78">
                  <c:v>3904.8866000000003</c:v>
                </c:pt>
                <c:pt idx="79">
                  <c:v>3962.4562000000005</c:v>
                </c:pt>
                <c:pt idx="80">
                  <c:v>3978.9945999999995</c:v>
                </c:pt>
                <c:pt idx="81">
                  <c:v>4128.1336000000001</c:v>
                </c:pt>
                <c:pt idx="82">
                  <c:v>4362.3452000000007</c:v>
                </c:pt>
                <c:pt idx="83">
                  <c:v>4473.6553999999996</c:v>
                </c:pt>
                <c:pt idx="84">
                  <c:v>4256.5505999999996</c:v>
                </c:pt>
                <c:pt idx="85">
                  <c:v>3830.5855999999999</c:v>
                </c:pt>
                <c:pt idx="86">
                  <c:v>3320.8417999999997</c:v>
                </c:pt>
                <c:pt idx="87">
                  <c:v>2903.9120000000003</c:v>
                </c:pt>
                <c:pt idx="88">
                  <c:v>2694.9679999999998</c:v>
                </c:pt>
                <c:pt idx="89">
                  <c:v>2529.7482000000005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890.74239999999986</c:v>
                </c:pt>
                <c:pt idx="1">
                  <c:v>1075.0591999999999</c:v>
                </c:pt>
                <c:pt idx="2">
                  <c:v>1450.2668000000001</c:v>
                </c:pt>
                <c:pt idx="3">
                  <c:v>2042.5096000000001</c:v>
                </c:pt>
                <c:pt idx="4">
                  <c:v>2730.9811999999997</c:v>
                </c:pt>
                <c:pt idx="5">
                  <c:v>3069.2496000000001</c:v>
                </c:pt>
                <c:pt idx="6">
                  <c:v>3198.1335999999997</c:v>
                </c:pt>
                <c:pt idx="7">
                  <c:v>3277.5207999999998</c:v>
                </c:pt>
                <c:pt idx="8">
                  <c:v>3305.3774000000003</c:v>
                </c:pt>
                <c:pt idx="9">
                  <c:v>3263.9237999999996</c:v>
                </c:pt>
                <c:pt idx="10">
                  <c:v>3099.2664</c:v>
                </c:pt>
                <c:pt idx="11">
                  <c:v>2682.0549999999998</c:v>
                </c:pt>
                <c:pt idx="12">
                  <c:v>2348.2326000000003</c:v>
                </c:pt>
                <c:pt idx="13">
                  <c:v>2204.4190000000003</c:v>
                </c:pt>
                <c:pt idx="14">
                  <c:v>2174.9142000000002</c:v>
                </c:pt>
                <c:pt idx="15">
                  <c:v>2185.2993999999999</c:v>
                </c:pt>
                <c:pt idx="16">
                  <c:v>2187.8435999999997</c:v>
                </c:pt>
                <c:pt idx="17">
                  <c:v>2193.2562000000003</c:v>
                </c:pt>
                <c:pt idx="18">
                  <c:v>2211.4949999999999</c:v>
                </c:pt>
                <c:pt idx="19">
                  <c:v>2220.1333999999997</c:v>
                </c:pt>
                <c:pt idx="20">
                  <c:v>2222.0452000000005</c:v>
                </c:pt>
                <c:pt idx="21">
                  <c:v>2223.3328000000001</c:v>
                </c:pt>
                <c:pt idx="22">
                  <c:v>2235.6592000000001</c:v>
                </c:pt>
                <c:pt idx="23">
                  <c:v>2259.7080000000001</c:v>
                </c:pt>
                <c:pt idx="24">
                  <c:v>2277.7496000000001</c:v>
                </c:pt>
                <c:pt idx="25">
                  <c:v>2278.8527999999997</c:v>
                </c:pt>
                <c:pt idx="26">
                  <c:v>2281.6626000000001</c:v>
                </c:pt>
                <c:pt idx="27">
                  <c:v>2304.6534000000001</c:v>
                </c:pt>
                <c:pt idx="28">
                  <c:v>2342.8451999999997</c:v>
                </c:pt>
                <c:pt idx="29">
                  <c:v>2359.4542000000001</c:v>
                </c:pt>
                <c:pt idx="30">
                  <c:v>2371.2402000000002</c:v>
                </c:pt>
                <c:pt idx="31">
                  <c:v>2362.5414000000001</c:v>
                </c:pt>
                <c:pt idx="32">
                  <c:v>2256.9216000000001</c:v>
                </c:pt>
                <c:pt idx="33">
                  <c:v>2088.3126000000002</c:v>
                </c:pt>
                <c:pt idx="34">
                  <c:v>1933.5036</c:v>
                </c:pt>
                <c:pt idx="35">
                  <c:v>1832.9137999999998</c:v>
                </c:pt>
                <c:pt idx="36">
                  <c:v>1787.4484</c:v>
                </c:pt>
                <c:pt idx="37">
                  <c:v>1773.0156000000002</c:v>
                </c:pt>
                <c:pt idx="38">
                  <c:v>1773.2536</c:v>
                </c:pt>
                <c:pt idx="39">
                  <c:v>1778.0001999999999</c:v>
                </c:pt>
                <c:pt idx="40">
                  <c:v>1797.2284</c:v>
                </c:pt>
                <c:pt idx="41">
                  <c:v>1860.3578000000002</c:v>
                </c:pt>
                <c:pt idx="42">
                  <c:v>1955.2318</c:v>
                </c:pt>
                <c:pt idx="43">
                  <c:v>2046.9027999999998</c:v>
                </c:pt>
                <c:pt idx="44">
                  <c:v>2124.7869999999998</c:v>
                </c:pt>
                <c:pt idx="45">
                  <c:v>2172.9031999999997</c:v>
                </c:pt>
                <c:pt idx="46">
                  <c:v>2163.5029999999997</c:v>
                </c:pt>
                <c:pt idx="47">
                  <c:v>2094.1277999999998</c:v>
                </c:pt>
                <c:pt idx="48">
                  <c:v>1985.6071999999999</c:v>
                </c:pt>
                <c:pt idx="49">
                  <c:v>1851.8756000000001</c:v>
                </c:pt>
                <c:pt idx="50">
                  <c:v>1714.9008000000001</c:v>
                </c:pt>
                <c:pt idx="51">
                  <c:v>1619.6543999999999</c:v>
                </c:pt>
                <c:pt idx="52">
                  <c:v>1554.8711999999998</c:v>
                </c:pt>
                <c:pt idx="53">
                  <c:v>1507.73</c:v>
                </c:pt>
                <c:pt idx="54">
                  <c:v>1478.6946</c:v>
                </c:pt>
                <c:pt idx="55">
                  <c:v>1461.7487999999998</c:v>
                </c:pt>
                <c:pt idx="56">
                  <c:v>1447.7557999999999</c:v>
                </c:pt>
                <c:pt idx="57">
                  <c:v>1441.0692000000001</c:v>
                </c:pt>
                <c:pt idx="58">
                  <c:v>1437.8378</c:v>
                </c:pt>
                <c:pt idx="59">
                  <c:v>1427.6396</c:v>
                </c:pt>
                <c:pt idx="60">
                  <c:v>1414.1829999999998</c:v>
                </c:pt>
                <c:pt idx="61">
                  <c:v>1398.2212000000002</c:v>
                </c:pt>
                <c:pt idx="62">
                  <c:v>1391.4242000000002</c:v>
                </c:pt>
                <c:pt idx="63">
                  <c:v>1440.4115999999999</c:v>
                </c:pt>
                <c:pt idx="64">
                  <c:v>1606.5096000000001</c:v>
                </c:pt>
                <c:pt idx="65">
                  <c:v>1736.405</c:v>
                </c:pt>
                <c:pt idx="66">
                  <c:v>1693.0318</c:v>
                </c:pt>
                <c:pt idx="67">
                  <c:v>1620.414</c:v>
                </c:pt>
                <c:pt idx="68">
                  <c:v>1832.5391999999999</c:v>
                </c:pt>
                <c:pt idx="69">
                  <c:v>2613.3128000000002</c:v>
                </c:pt>
                <c:pt idx="70">
                  <c:v>3679.4736000000003</c:v>
                </c:pt>
                <c:pt idx="71">
                  <c:v>4459.5738000000001</c:v>
                </c:pt>
                <c:pt idx="72">
                  <c:v>4651.1677999999993</c:v>
                </c:pt>
                <c:pt idx="73">
                  <c:v>4178.5724</c:v>
                </c:pt>
                <c:pt idx="74">
                  <c:v>3394.9881999999998</c:v>
                </c:pt>
                <c:pt idx="75">
                  <c:v>2936.8856000000001</c:v>
                </c:pt>
                <c:pt idx="76">
                  <c:v>3173.9908</c:v>
                </c:pt>
                <c:pt idx="77">
                  <c:v>3664.4623999999994</c:v>
                </c:pt>
                <c:pt idx="78">
                  <c:v>3975.9375999999997</c:v>
                </c:pt>
                <c:pt idx="79">
                  <c:v>3968.4703999999997</c:v>
                </c:pt>
                <c:pt idx="80">
                  <c:v>3791.3820000000005</c:v>
                </c:pt>
                <c:pt idx="81">
                  <c:v>3766.5369999999994</c:v>
                </c:pt>
                <c:pt idx="82">
                  <c:v>3964.1466</c:v>
                </c:pt>
                <c:pt idx="83">
                  <c:v>4108.2981999999993</c:v>
                </c:pt>
                <c:pt idx="84">
                  <c:v>3952.3530000000001</c:v>
                </c:pt>
                <c:pt idx="85">
                  <c:v>3591.05</c:v>
                </c:pt>
                <c:pt idx="86">
                  <c:v>3127.0021999999999</c:v>
                </c:pt>
                <c:pt idx="87">
                  <c:v>2716.165</c:v>
                </c:pt>
                <c:pt idx="88">
                  <c:v>2507.5878000000002</c:v>
                </c:pt>
                <c:pt idx="89">
                  <c:v>2356.8393999999998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8</xdr:row>
      <xdr:rowOff>95250</xdr:rowOff>
    </xdr:from>
    <xdr:to>
      <xdr:col>15</xdr:col>
      <xdr:colOff>590550</xdr:colOff>
      <xdr:row>32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4\_light_profiles_CO04_LIGHT" connectionId="2" xr16:uid="{5B770692-3A84-4765-87AB-D631B290D62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4\_dark_profiles_CO04_DARK" connectionId="1" xr16:uid="{7BED425B-4F6E-4EAE-A91F-0D643297ECE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0</v>
      </c>
      <c r="B1" s="4"/>
      <c r="C1" s="4"/>
      <c r="D1" s="4"/>
      <c r="E1" s="4"/>
      <c r="F1" s="4"/>
      <c r="K1" s="5" t="s">
        <v>1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2</v>
      </c>
      <c r="B3">
        <v>-3.7639999999999998</v>
      </c>
      <c r="C3">
        <v>-2.0230000000000001</v>
      </c>
      <c r="D3">
        <v>-4.8000000000000001E-2</v>
      </c>
      <c r="E3">
        <v>1.7929999999999999</v>
      </c>
      <c r="F3">
        <v>-4.5860000000000003</v>
      </c>
      <c r="K3" t="s">
        <v>2</v>
      </c>
      <c r="L3">
        <v>1.0609999999999999</v>
      </c>
      <c r="M3">
        <v>-1.1339999999999999</v>
      </c>
      <c r="N3">
        <v>-0.85099999999999998</v>
      </c>
      <c r="O3">
        <v>0.58199999999999996</v>
      </c>
      <c r="P3">
        <v>1.4450000000000001</v>
      </c>
    </row>
    <row r="4" spans="1:19" x14ac:dyDescent="0.25">
      <c r="A4" t="s">
        <v>3</v>
      </c>
      <c r="B4">
        <v>328.108</v>
      </c>
      <c r="C4">
        <v>325.51900000000001</v>
      </c>
      <c r="D4">
        <v>326.08600000000001</v>
      </c>
      <c r="E4">
        <v>328.66800000000001</v>
      </c>
      <c r="F4">
        <v>326.66300000000001</v>
      </c>
      <c r="H4" s="2">
        <f>AVERAGE(B4:F4)</f>
        <v>327.00879999999995</v>
      </c>
      <c r="I4" s="2">
        <f>STDEV(B4:F4)/SQRT(COUNT(B4:F4))</f>
        <v>0.59798941462203081</v>
      </c>
      <c r="K4" t="s">
        <v>3</v>
      </c>
      <c r="L4">
        <v>325.392</v>
      </c>
      <c r="M4">
        <v>327.44299999999998</v>
      </c>
      <c r="N4">
        <v>327.71300000000002</v>
      </c>
      <c r="O4">
        <v>327.79</v>
      </c>
      <c r="P4">
        <v>328.839</v>
      </c>
      <c r="R4" s="3">
        <f>AVERAGE(L4:P4)</f>
        <v>327.43539999999996</v>
      </c>
      <c r="S4" s="3">
        <f>STDEV(L4:P4)/SQRT(COUNT(L4:P4))</f>
        <v>0.56340204117486303</v>
      </c>
    </row>
    <row r="5" spans="1:19" x14ac:dyDescent="0.25">
      <c r="A5" t="s">
        <v>4</v>
      </c>
      <c r="B5">
        <v>67.498000000000005</v>
      </c>
      <c r="C5">
        <v>66.239999999999995</v>
      </c>
      <c r="D5">
        <v>66.17</v>
      </c>
      <c r="E5">
        <v>66.096999999999994</v>
      </c>
      <c r="F5">
        <v>66.817999999999998</v>
      </c>
      <c r="H5" s="2">
        <f t="shared" ref="H5:H68" si="0">AVERAGE(B5:F5)</f>
        <v>66.564599999999999</v>
      </c>
      <c r="I5" s="2">
        <f t="shared" ref="I5:I68" si="1">STDEV(B5:F5)/SQRT(COUNT(B5:F5))</f>
        <v>0.26600481198655174</v>
      </c>
      <c r="K5" t="s">
        <v>4</v>
      </c>
      <c r="L5">
        <v>66.777000000000001</v>
      </c>
      <c r="M5">
        <v>66.557000000000002</v>
      </c>
      <c r="N5">
        <v>66.281000000000006</v>
      </c>
      <c r="O5">
        <v>66.379000000000005</v>
      </c>
      <c r="P5">
        <v>66.25</v>
      </c>
      <c r="R5" s="3">
        <f t="shared" ref="R5:R68" si="2">AVERAGE(L5:P5)</f>
        <v>66.448800000000006</v>
      </c>
      <c r="S5" s="3">
        <f t="shared" ref="S5:S68" si="3">STDEV(L5:P5)/SQRT(COUNT(L5:P5))</f>
        <v>9.7972649244571941E-2</v>
      </c>
    </row>
    <row r="6" spans="1:19" x14ac:dyDescent="0.25">
      <c r="A6" t="s">
        <v>5</v>
      </c>
      <c r="B6">
        <v>33.463999999999999</v>
      </c>
      <c r="C6">
        <v>34.197000000000003</v>
      </c>
      <c r="D6">
        <v>36.393999999999998</v>
      </c>
      <c r="E6">
        <v>36.659999999999997</v>
      </c>
      <c r="F6">
        <v>33.823</v>
      </c>
      <c r="H6" s="2">
        <f t="shared" si="0"/>
        <v>34.907600000000002</v>
      </c>
      <c r="I6" s="2">
        <f t="shared" si="1"/>
        <v>0.672516958893974</v>
      </c>
      <c r="K6" t="s">
        <v>5</v>
      </c>
      <c r="L6">
        <v>32.006999999999998</v>
      </c>
      <c r="M6">
        <v>36.366</v>
      </c>
      <c r="N6">
        <v>37.177</v>
      </c>
      <c r="O6">
        <v>37.497</v>
      </c>
      <c r="P6">
        <v>36.710999999999999</v>
      </c>
      <c r="R6" s="3">
        <f t="shared" si="2"/>
        <v>35.951599999999999</v>
      </c>
      <c r="S6" s="3">
        <f t="shared" si="3"/>
        <v>1.0049415704407896</v>
      </c>
    </row>
    <row r="7" spans="1:19" x14ac:dyDescent="0.25">
      <c r="A7">
        <v>-3.75</v>
      </c>
      <c r="B7">
        <v>1195.069</v>
      </c>
      <c r="C7">
        <v>990.726</v>
      </c>
      <c r="D7">
        <v>1031.126</v>
      </c>
      <c r="E7">
        <v>952.48400000000004</v>
      </c>
      <c r="F7">
        <v>1133.3109999999999</v>
      </c>
      <c r="H7" s="2">
        <f t="shared" si="0"/>
        <v>1060.5432000000001</v>
      </c>
      <c r="I7" s="2">
        <f t="shared" si="1"/>
        <v>45.171311337396418</v>
      </c>
      <c r="K7">
        <v>-3.75</v>
      </c>
      <c r="L7">
        <v>1040.82</v>
      </c>
      <c r="M7">
        <v>856.87900000000002</v>
      </c>
      <c r="N7">
        <v>982.47699999999998</v>
      </c>
      <c r="O7">
        <v>729.86800000000005</v>
      </c>
      <c r="P7">
        <v>843.66800000000001</v>
      </c>
      <c r="R7" s="3">
        <f t="shared" si="2"/>
        <v>890.74239999999986</v>
      </c>
      <c r="S7" s="3">
        <f t="shared" si="3"/>
        <v>54.855184089200037</v>
      </c>
    </row>
    <row r="8" spans="1:19" x14ac:dyDescent="0.25">
      <c r="A8">
        <v>-2.5</v>
      </c>
      <c r="B8">
        <v>1447.028</v>
      </c>
      <c r="C8">
        <v>1194.627</v>
      </c>
      <c r="D8">
        <v>1187.7170000000001</v>
      </c>
      <c r="E8">
        <v>1194.8589999999999</v>
      </c>
      <c r="F8">
        <v>1375.6289999999999</v>
      </c>
      <c r="H8" s="2">
        <f t="shared" si="0"/>
        <v>1279.972</v>
      </c>
      <c r="I8" s="2">
        <f t="shared" si="1"/>
        <v>54.816487302635501</v>
      </c>
      <c r="K8">
        <v>-2.5</v>
      </c>
      <c r="L8">
        <v>1209.491</v>
      </c>
      <c r="M8">
        <v>1044.864</v>
      </c>
      <c r="N8">
        <v>1175.9749999999999</v>
      </c>
      <c r="O8">
        <v>900.71699999999998</v>
      </c>
      <c r="P8">
        <v>1044.249</v>
      </c>
      <c r="R8" s="3">
        <f t="shared" si="2"/>
        <v>1075.0591999999999</v>
      </c>
      <c r="S8" s="3">
        <f t="shared" si="3"/>
        <v>55.005512800446077</v>
      </c>
    </row>
    <row r="9" spans="1:19" x14ac:dyDescent="0.25">
      <c r="A9">
        <v>-1.25</v>
      </c>
      <c r="B9">
        <v>1820.3720000000001</v>
      </c>
      <c r="C9">
        <v>1502.0329999999999</v>
      </c>
      <c r="D9">
        <v>1523.6389999999999</v>
      </c>
      <c r="E9">
        <v>1696.096</v>
      </c>
      <c r="F9">
        <v>1715.373</v>
      </c>
      <c r="H9" s="2">
        <f t="shared" si="0"/>
        <v>1651.5025999999998</v>
      </c>
      <c r="I9" s="2">
        <f t="shared" si="1"/>
        <v>60.528974510229425</v>
      </c>
      <c r="K9">
        <v>-1.25</v>
      </c>
      <c r="L9">
        <v>1521.2070000000001</v>
      </c>
      <c r="M9">
        <v>1354.62</v>
      </c>
      <c r="N9">
        <v>1553.117</v>
      </c>
      <c r="O9">
        <v>1357.7090000000001</v>
      </c>
      <c r="P9">
        <v>1464.681</v>
      </c>
      <c r="R9" s="3">
        <f t="shared" si="2"/>
        <v>1450.2668000000001</v>
      </c>
      <c r="S9" s="3">
        <f t="shared" si="3"/>
        <v>40.947345132987572</v>
      </c>
    </row>
    <row r="10" spans="1:19" x14ac:dyDescent="0.25">
      <c r="A10">
        <v>0</v>
      </c>
      <c r="B10">
        <v>2379.893</v>
      </c>
      <c r="C10">
        <v>1957.0129999999999</v>
      </c>
      <c r="D10">
        <v>2045.8330000000001</v>
      </c>
      <c r="E10">
        <v>2508.683</v>
      </c>
      <c r="F10">
        <v>2195.5630000000001</v>
      </c>
      <c r="H10" s="2">
        <f t="shared" si="0"/>
        <v>2217.3969999999999</v>
      </c>
      <c r="I10" s="2">
        <f t="shared" si="1"/>
        <v>102.21625137912268</v>
      </c>
      <c r="K10">
        <v>0</v>
      </c>
      <c r="L10">
        <v>2036.8789999999999</v>
      </c>
      <c r="M10">
        <v>1843.4010000000001</v>
      </c>
      <c r="N10">
        <v>2157.7750000000001</v>
      </c>
      <c r="O10">
        <v>1989.5350000000001</v>
      </c>
      <c r="P10">
        <v>2184.9580000000001</v>
      </c>
      <c r="R10" s="3">
        <f t="shared" si="2"/>
        <v>2042.5096000000001</v>
      </c>
      <c r="S10" s="3">
        <f t="shared" si="3"/>
        <v>61.668430171036469</v>
      </c>
    </row>
    <row r="11" spans="1:19" x14ac:dyDescent="0.25">
      <c r="A11">
        <v>1.25</v>
      </c>
      <c r="B11">
        <v>2976.2570000000001</v>
      </c>
      <c r="C11">
        <v>2491.384</v>
      </c>
      <c r="D11">
        <v>2563.442</v>
      </c>
      <c r="E11">
        <v>3323.7640000000001</v>
      </c>
      <c r="F11">
        <v>2735.5039999999999</v>
      </c>
      <c r="H11" s="2">
        <f t="shared" si="0"/>
        <v>2818.0701999999997</v>
      </c>
      <c r="I11" s="2">
        <f t="shared" si="1"/>
        <v>151.51334164700063</v>
      </c>
      <c r="K11">
        <v>1.25</v>
      </c>
      <c r="L11">
        <v>2630.2620000000002</v>
      </c>
      <c r="M11">
        <v>2327.2840000000001</v>
      </c>
      <c r="N11">
        <v>2821.5250000000001</v>
      </c>
      <c r="O11">
        <v>2795.51</v>
      </c>
      <c r="P11">
        <v>3080.3249999999998</v>
      </c>
      <c r="R11" s="3">
        <f t="shared" si="2"/>
        <v>2730.9811999999997</v>
      </c>
      <c r="S11" s="3">
        <f t="shared" si="3"/>
        <v>123.99980300040799</v>
      </c>
    </row>
    <row r="12" spans="1:19" x14ac:dyDescent="0.25">
      <c r="A12">
        <v>2.5</v>
      </c>
      <c r="B12">
        <v>3467.02</v>
      </c>
      <c r="C12">
        <v>2924.5039999999999</v>
      </c>
      <c r="D12">
        <v>2896.828</v>
      </c>
      <c r="E12">
        <v>3698.5169999999998</v>
      </c>
      <c r="F12">
        <v>3177.8180000000002</v>
      </c>
      <c r="H12" s="2">
        <f t="shared" si="0"/>
        <v>3232.9373999999998</v>
      </c>
      <c r="I12" s="2">
        <f t="shared" si="1"/>
        <v>155.35409019707203</v>
      </c>
      <c r="K12">
        <v>2.5</v>
      </c>
      <c r="L12">
        <v>3009.4960000000001</v>
      </c>
      <c r="M12">
        <v>2690.7</v>
      </c>
      <c r="N12">
        <v>3149.86</v>
      </c>
      <c r="O12">
        <v>3103.1970000000001</v>
      </c>
      <c r="P12">
        <v>3392.9949999999999</v>
      </c>
      <c r="R12" s="3">
        <f t="shared" si="2"/>
        <v>3069.2496000000001</v>
      </c>
      <c r="S12" s="3">
        <f t="shared" si="3"/>
        <v>113.87094426349508</v>
      </c>
    </row>
    <row r="13" spans="1:19" x14ac:dyDescent="0.25">
      <c r="A13">
        <v>3.75</v>
      </c>
      <c r="B13">
        <v>3707.4070000000002</v>
      </c>
      <c r="C13">
        <v>3157.3510000000001</v>
      </c>
      <c r="D13">
        <v>3098.663</v>
      </c>
      <c r="E13">
        <v>3660.317</v>
      </c>
      <c r="F13">
        <v>3444.5010000000002</v>
      </c>
      <c r="H13" s="2">
        <f t="shared" si="0"/>
        <v>3413.6478000000002</v>
      </c>
      <c r="I13" s="2">
        <f t="shared" si="1"/>
        <v>125.09907187601355</v>
      </c>
      <c r="K13">
        <v>3.75</v>
      </c>
      <c r="L13">
        <v>3252.4369999999999</v>
      </c>
      <c r="M13">
        <v>2922.5070000000001</v>
      </c>
      <c r="N13">
        <v>3342.37</v>
      </c>
      <c r="O13">
        <v>3104.97</v>
      </c>
      <c r="P13">
        <v>3368.384</v>
      </c>
      <c r="R13" s="3">
        <f t="shared" si="2"/>
        <v>3198.1335999999997</v>
      </c>
      <c r="S13" s="3">
        <f t="shared" si="3"/>
        <v>82.881745888102515</v>
      </c>
    </row>
    <row r="14" spans="1:19" x14ac:dyDescent="0.25">
      <c r="A14">
        <v>5</v>
      </c>
      <c r="B14">
        <v>3830.3319999999999</v>
      </c>
      <c r="C14">
        <v>3286.393</v>
      </c>
      <c r="D14">
        <v>3217.3139999999999</v>
      </c>
      <c r="E14">
        <v>3652.2359999999999</v>
      </c>
      <c r="F14">
        <v>3595.3420000000001</v>
      </c>
      <c r="H14" s="2">
        <f t="shared" si="0"/>
        <v>3516.3234000000002</v>
      </c>
      <c r="I14" s="2">
        <f t="shared" si="1"/>
        <v>115.23718692141004</v>
      </c>
      <c r="K14">
        <v>5</v>
      </c>
      <c r="L14">
        <v>3435.8719999999998</v>
      </c>
      <c r="M14">
        <v>3027.0720000000001</v>
      </c>
      <c r="N14">
        <v>3418.922</v>
      </c>
      <c r="O14">
        <v>3150.895</v>
      </c>
      <c r="P14">
        <v>3354.8429999999998</v>
      </c>
      <c r="R14" s="3">
        <f t="shared" si="2"/>
        <v>3277.5207999999998</v>
      </c>
      <c r="S14" s="3">
        <f t="shared" si="3"/>
        <v>80.562652377761196</v>
      </c>
    </row>
    <row r="15" spans="1:19" x14ac:dyDescent="0.25">
      <c r="A15">
        <v>6.25</v>
      </c>
      <c r="B15">
        <v>3869.1529999999998</v>
      </c>
      <c r="C15">
        <v>3350.665</v>
      </c>
      <c r="D15">
        <v>3260.9929999999999</v>
      </c>
      <c r="E15">
        <v>3696.5219999999999</v>
      </c>
      <c r="F15">
        <v>3631.0920000000001</v>
      </c>
      <c r="H15" s="2">
        <f t="shared" si="0"/>
        <v>3561.6849999999999</v>
      </c>
      <c r="I15" s="2">
        <f t="shared" si="1"/>
        <v>112.35658380931665</v>
      </c>
      <c r="K15">
        <v>6.25</v>
      </c>
      <c r="L15">
        <v>3494.7849999999999</v>
      </c>
      <c r="M15">
        <v>3071.9650000000001</v>
      </c>
      <c r="N15">
        <v>3479.0120000000002</v>
      </c>
      <c r="O15">
        <v>3148.9850000000001</v>
      </c>
      <c r="P15">
        <v>3332.14</v>
      </c>
      <c r="R15" s="3">
        <f t="shared" si="2"/>
        <v>3305.3774000000003</v>
      </c>
      <c r="S15" s="3">
        <f t="shared" si="3"/>
        <v>85.346464855083454</v>
      </c>
    </row>
    <row r="16" spans="1:19" x14ac:dyDescent="0.25">
      <c r="A16">
        <v>7.5</v>
      </c>
      <c r="B16">
        <v>3789.9389999999999</v>
      </c>
      <c r="C16">
        <v>3331.14</v>
      </c>
      <c r="D16">
        <v>3257.1990000000001</v>
      </c>
      <c r="E16">
        <v>3695.79</v>
      </c>
      <c r="F16">
        <v>3549.5189999999998</v>
      </c>
      <c r="H16" s="2">
        <f t="shared" si="0"/>
        <v>3524.7174</v>
      </c>
      <c r="I16" s="2">
        <f t="shared" si="1"/>
        <v>102.28923576535311</v>
      </c>
      <c r="K16">
        <v>7.5</v>
      </c>
      <c r="L16">
        <v>3444.009</v>
      </c>
      <c r="M16">
        <v>3063.67</v>
      </c>
      <c r="N16">
        <v>3447.7449999999999</v>
      </c>
      <c r="O16">
        <v>3083.4949999999999</v>
      </c>
      <c r="P16">
        <v>3280.7</v>
      </c>
      <c r="R16" s="3">
        <f t="shared" si="2"/>
        <v>3263.9237999999996</v>
      </c>
      <c r="S16" s="3">
        <f t="shared" si="3"/>
        <v>83.41417445458535</v>
      </c>
    </row>
    <row r="17" spans="1:19" x14ac:dyDescent="0.25">
      <c r="A17">
        <v>8.75</v>
      </c>
      <c r="B17">
        <v>3593.636</v>
      </c>
      <c r="C17">
        <v>3150.1759999999999</v>
      </c>
      <c r="D17">
        <v>3050.1509999999998</v>
      </c>
      <c r="E17">
        <v>3493.7689999999998</v>
      </c>
      <c r="F17">
        <v>3334.0450000000001</v>
      </c>
      <c r="H17" s="2">
        <f t="shared" si="0"/>
        <v>3324.3554000000004</v>
      </c>
      <c r="I17" s="2">
        <f t="shared" si="1"/>
        <v>101.69400525920886</v>
      </c>
      <c r="K17">
        <v>8.75</v>
      </c>
      <c r="L17">
        <v>3229.1129999999998</v>
      </c>
      <c r="M17">
        <v>2875.9810000000002</v>
      </c>
      <c r="N17">
        <v>3275.9830000000002</v>
      </c>
      <c r="O17">
        <v>2938.3380000000002</v>
      </c>
      <c r="P17">
        <v>3176.9169999999999</v>
      </c>
      <c r="R17" s="3">
        <f t="shared" si="2"/>
        <v>3099.2664</v>
      </c>
      <c r="S17" s="3">
        <f t="shared" si="3"/>
        <v>80.58313462108552</v>
      </c>
    </row>
    <row r="18" spans="1:19" x14ac:dyDescent="0.25">
      <c r="A18">
        <v>10</v>
      </c>
      <c r="B18">
        <v>3228.8980000000001</v>
      </c>
      <c r="C18">
        <v>2750.5059999999999</v>
      </c>
      <c r="D18">
        <v>2611.2199999999998</v>
      </c>
      <c r="E18">
        <v>3023.5149999999999</v>
      </c>
      <c r="F18">
        <v>2998.1350000000002</v>
      </c>
      <c r="H18" s="2">
        <f t="shared" si="0"/>
        <v>2922.4548</v>
      </c>
      <c r="I18" s="2">
        <f t="shared" si="1"/>
        <v>108.69258992102458</v>
      </c>
      <c r="K18">
        <v>10</v>
      </c>
      <c r="L18">
        <v>2778.7759999999998</v>
      </c>
      <c r="M18">
        <v>2494.6190000000001</v>
      </c>
      <c r="N18">
        <v>2807.855</v>
      </c>
      <c r="O18">
        <v>2569.1590000000001</v>
      </c>
      <c r="P18">
        <v>2759.866</v>
      </c>
      <c r="R18" s="3">
        <f t="shared" si="2"/>
        <v>2682.0549999999998</v>
      </c>
      <c r="S18" s="3">
        <f t="shared" si="3"/>
        <v>62.893920403326696</v>
      </c>
    </row>
    <row r="19" spans="1:19" x14ac:dyDescent="0.25">
      <c r="A19">
        <v>11.25</v>
      </c>
      <c r="B19">
        <v>2942.913</v>
      </c>
      <c r="C19">
        <v>2461.1819999999998</v>
      </c>
      <c r="D19">
        <v>2317.4389999999999</v>
      </c>
      <c r="E19">
        <v>2649.1320000000001</v>
      </c>
      <c r="F19">
        <v>2719.26</v>
      </c>
      <c r="H19" s="2">
        <f t="shared" si="0"/>
        <v>2617.9852000000001</v>
      </c>
      <c r="I19" s="2">
        <f t="shared" si="1"/>
        <v>107.63829368370723</v>
      </c>
      <c r="K19">
        <v>11.25</v>
      </c>
      <c r="L19">
        <v>2458.0749999999998</v>
      </c>
      <c r="M19">
        <v>2198.0100000000002</v>
      </c>
      <c r="N19">
        <v>2460.9189999999999</v>
      </c>
      <c r="O19">
        <v>2237.1750000000002</v>
      </c>
      <c r="P19">
        <v>2386.9839999999999</v>
      </c>
      <c r="R19" s="3">
        <f t="shared" si="2"/>
        <v>2348.2326000000003</v>
      </c>
      <c r="S19" s="3">
        <f t="shared" si="3"/>
        <v>55.301839324384048</v>
      </c>
    </row>
    <row r="20" spans="1:19" x14ac:dyDescent="0.25">
      <c r="A20">
        <v>12.5</v>
      </c>
      <c r="B20">
        <v>2812.3049999999998</v>
      </c>
      <c r="C20">
        <v>2349.2739999999999</v>
      </c>
      <c r="D20">
        <v>2188.4589999999998</v>
      </c>
      <c r="E20">
        <v>2434.9079999999999</v>
      </c>
      <c r="F20">
        <v>2585.2890000000002</v>
      </c>
      <c r="H20" s="2">
        <f t="shared" si="0"/>
        <v>2474.047</v>
      </c>
      <c r="I20" s="2">
        <f t="shared" si="1"/>
        <v>106.17295458872756</v>
      </c>
      <c r="K20">
        <v>12.5</v>
      </c>
      <c r="L20">
        <v>2327.5720000000001</v>
      </c>
      <c r="M20">
        <v>2062.3789999999999</v>
      </c>
      <c r="N20">
        <v>2345.7600000000002</v>
      </c>
      <c r="O20">
        <v>2066.1329999999998</v>
      </c>
      <c r="P20">
        <v>2220.2510000000002</v>
      </c>
      <c r="R20" s="3">
        <f t="shared" si="2"/>
        <v>2204.4190000000003</v>
      </c>
      <c r="S20" s="3">
        <f t="shared" si="3"/>
        <v>61.111771087900969</v>
      </c>
    </row>
    <row r="21" spans="1:19" x14ac:dyDescent="0.25">
      <c r="A21">
        <v>13.75</v>
      </c>
      <c r="B21">
        <v>2770.3620000000001</v>
      </c>
      <c r="C21">
        <v>2319.029</v>
      </c>
      <c r="D21">
        <v>2160.127</v>
      </c>
      <c r="E21">
        <v>2382.1999999999998</v>
      </c>
      <c r="F21">
        <v>2526.9340000000002</v>
      </c>
      <c r="H21" s="2">
        <f t="shared" si="0"/>
        <v>2431.7304000000004</v>
      </c>
      <c r="I21" s="2">
        <f t="shared" si="1"/>
        <v>103.11604117430035</v>
      </c>
      <c r="K21">
        <v>13.75</v>
      </c>
      <c r="L21">
        <v>2319.4520000000002</v>
      </c>
      <c r="M21">
        <v>2028.0350000000001</v>
      </c>
      <c r="N21">
        <v>2312.6030000000001</v>
      </c>
      <c r="O21">
        <v>2028.404</v>
      </c>
      <c r="P21">
        <v>2186.0770000000002</v>
      </c>
      <c r="R21" s="3">
        <f t="shared" si="2"/>
        <v>2174.9142000000002</v>
      </c>
      <c r="S21" s="3">
        <f t="shared" si="3"/>
        <v>64.425432662419908</v>
      </c>
    </row>
    <row r="22" spans="1:19" x14ac:dyDescent="0.25">
      <c r="A22">
        <v>15</v>
      </c>
      <c r="B22">
        <v>2781.11</v>
      </c>
      <c r="C22">
        <v>2341.4720000000002</v>
      </c>
      <c r="D22">
        <v>2166.1550000000002</v>
      </c>
      <c r="E22">
        <v>2398.0230000000001</v>
      </c>
      <c r="F22">
        <v>2510.4520000000002</v>
      </c>
      <c r="H22" s="2">
        <f t="shared" si="0"/>
        <v>2439.4424000000008</v>
      </c>
      <c r="I22" s="2">
        <f t="shared" si="1"/>
        <v>101.92616964087289</v>
      </c>
      <c r="K22">
        <v>15</v>
      </c>
      <c r="L22">
        <v>2325.11</v>
      </c>
      <c r="M22">
        <v>2036.825</v>
      </c>
      <c r="N22">
        <v>2321.1210000000001</v>
      </c>
      <c r="O22">
        <v>2039.268</v>
      </c>
      <c r="P22">
        <v>2204.1729999999998</v>
      </c>
      <c r="R22" s="3">
        <f t="shared" si="2"/>
        <v>2185.2993999999999</v>
      </c>
      <c r="S22" s="3">
        <f t="shared" si="3"/>
        <v>63.922038811821395</v>
      </c>
    </row>
    <row r="23" spans="1:19" x14ac:dyDescent="0.25">
      <c r="A23">
        <v>16.25</v>
      </c>
      <c r="B23">
        <v>2802.3829999999998</v>
      </c>
      <c r="C23">
        <v>2360.6210000000001</v>
      </c>
      <c r="D23">
        <v>2177.3449999999998</v>
      </c>
      <c r="E23">
        <v>2404.3510000000001</v>
      </c>
      <c r="F23">
        <v>2522.569</v>
      </c>
      <c r="H23" s="2">
        <f t="shared" si="0"/>
        <v>2453.4538000000002</v>
      </c>
      <c r="I23" s="2">
        <f t="shared" si="1"/>
        <v>103.39090401113629</v>
      </c>
      <c r="K23">
        <v>16.25</v>
      </c>
      <c r="L23">
        <v>2320.5169999999998</v>
      </c>
      <c r="M23">
        <v>2042.2380000000001</v>
      </c>
      <c r="N23">
        <v>2327.288</v>
      </c>
      <c r="O23">
        <v>2041.1289999999999</v>
      </c>
      <c r="P23">
        <v>2208.0459999999998</v>
      </c>
      <c r="R23" s="3">
        <f t="shared" si="2"/>
        <v>2187.8435999999997</v>
      </c>
      <c r="S23" s="3">
        <f t="shared" si="3"/>
        <v>63.317167233381475</v>
      </c>
    </row>
    <row r="24" spans="1:19" x14ac:dyDescent="0.25">
      <c r="A24">
        <v>17.5</v>
      </c>
      <c r="B24">
        <v>2821.9430000000002</v>
      </c>
      <c r="C24">
        <v>2368.4</v>
      </c>
      <c r="D24">
        <v>2190.4499999999998</v>
      </c>
      <c r="E24">
        <v>2403.0569999999998</v>
      </c>
      <c r="F24">
        <v>2531.9340000000002</v>
      </c>
      <c r="H24" s="2">
        <f t="shared" si="0"/>
        <v>2463.1567999999997</v>
      </c>
      <c r="I24" s="2">
        <f t="shared" si="1"/>
        <v>104.98039731845185</v>
      </c>
      <c r="K24">
        <v>17.5</v>
      </c>
      <c r="L24">
        <v>2342.5439999999999</v>
      </c>
      <c r="M24">
        <v>2057.0810000000001</v>
      </c>
      <c r="N24">
        <v>2317.011</v>
      </c>
      <c r="O24">
        <v>2038.3050000000001</v>
      </c>
      <c r="P24">
        <v>2211.34</v>
      </c>
      <c r="R24" s="3">
        <f t="shared" si="2"/>
        <v>2193.2562000000003</v>
      </c>
      <c r="S24" s="3">
        <f t="shared" si="3"/>
        <v>63.436062713097151</v>
      </c>
    </row>
    <row r="25" spans="1:19" x14ac:dyDescent="0.25">
      <c r="A25">
        <v>18.75</v>
      </c>
      <c r="B25">
        <v>2841.5479999999998</v>
      </c>
      <c r="C25">
        <v>2374.605</v>
      </c>
      <c r="D25">
        <v>2219.1880000000001</v>
      </c>
      <c r="E25">
        <v>2420.4549999999999</v>
      </c>
      <c r="F25">
        <v>2542.1010000000001</v>
      </c>
      <c r="H25" s="2">
        <f t="shared" si="0"/>
        <v>2479.5794000000001</v>
      </c>
      <c r="I25" s="2">
        <f t="shared" si="1"/>
        <v>104.22313044070395</v>
      </c>
      <c r="K25">
        <v>18.75</v>
      </c>
      <c r="L25">
        <v>2391.7060000000001</v>
      </c>
      <c r="M25">
        <v>2074.096</v>
      </c>
      <c r="N25">
        <v>2337.9879999999998</v>
      </c>
      <c r="O25">
        <v>2039.3150000000001</v>
      </c>
      <c r="P25">
        <v>2214.37</v>
      </c>
      <c r="R25" s="3">
        <f t="shared" si="2"/>
        <v>2211.4949999999999</v>
      </c>
      <c r="S25" s="3">
        <f t="shared" si="3"/>
        <v>69.645239175409543</v>
      </c>
    </row>
    <row r="26" spans="1:19" x14ac:dyDescent="0.25">
      <c r="A26">
        <v>20</v>
      </c>
      <c r="B26">
        <v>2845.08</v>
      </c>
      <c r="C26">
        <v>2395.4879999999998</v>
      </c>
      <c r="D26">
        <v>2243.0650000000001</v>
      </c>
      <c r="E26">
        <v>2435.4609999999998</v>
      </c>
      <c r="F26">
        <v>2569.8739999999998</v>
      </c>
      <c r="H26" s="2">
        <f t="shared" si="0"/>
        <v>2497.7936</v>
      </c>
      <c r="I26" s="2">
        <f t="shared" si="1"/>
        <v>101.25262370951182</v>
      </c>
      <c r="K26">
        <v>20</v>
      </c>
      <c r="L26">
        <v>2420.1610000000001</v>
      </c>
      <c r="M26">
        <v>2096.1019999999999</v>
      </c>
      <c r="N26">
        <v>2354.5940000000001</v>
      </c>
      <c r="O26">
        <v>2028.336</v>
      </c>
      <c r="P26">
        <v>2201.4740000000002</v>
      </c>
      <c r="R26" s="3">
        <f t="shared" si="2"/>
        <v>2220.1333999999997</v>
      </c>
      <c r="S26" s="3">
        <f t="shared" si="3"/>
        <v>74.366960995861604</v>
      </c>
    </row>
    <row r="27" spans="1:19" x14ac:dyDescent="0.25">
      <c r="A27">
        <v>21.25</v>
      </c>
      <c r="B27">
        <v>2852.7280000000001</v>
      </c>
      <c r="C27">
        <v>2397.04</v>
      </c>
      <c r="D27">
        <v>2254.5219999999999</v>
      </c>
      <c r="E27">
        <v>2453.8359999999998</v>
      </c>
      <c r="F27">
        <v>2579.748</v>
      </c>
      <c r="H27" s="2">
        <f t="shared" si="0"/>
        <v>2507.5747999999999</v>
      </c>
      <c r="I27" s="2">
        <f t="shared" si="1"/>
        <v>100.86655106942044</v>
      </c>
      <c r="K27">
        <v>21.25</v>
      </c>
      <c r="L27">
        <v>2439.085</v>
      </c>
      <c r="M27">
        <v>2100.3470000000002</v>
      </c>
      <c r="N27">
        <v>2361.518</v>
      </c>
      <c r="O27">
        <v>2020.146</v>
      </c>
      <c r="P27">
        <v>2189.13</v>
      </c>
      <c r="R27" s="3">
        <f t="shared" si="2"/>
        <v>2222.0452000000005</v>
      </c>
      <c r="S27" s="3">
        <f t="shared" si="3"/>
        <v>78.49079116648015</v>
      </c>
    </row>
    <row r="28" spans="1:19" x14ac:dyDescent="0.25">
      <c r="A28">
        <v>22.5</v>
      </c>
      <c r="B28">
        <v>2859.3240000000001</v>
      </c>
      <c r="C28">
        <v>2395.4490000000001</v>
      </c>
      <c r="D28">
        <v>2252.6170000000002</v>
      </c>
      <c r="E28">
        <v>2440.4760000000001</v>
      </c>
      <c r="F28">
        <v>2585.665</v>
      </c>
      <c r="H28" s="2">
        <f t="shared" si="0"/>
        <v>2506.7061999999996</v>
      </c>
      <c r="I28" s="2">
        <f t="shared" si="1"/>
        <v>102.93195093720898</v>
      </c>
      <c r="K28">
        <v>22.5</v>
      </c>
      <c r="L28">
        <v>2437.1179999999999</v>
      </c>
      <c r="M28">
        <v>2103.681</v>
      </c>
      <c r="N28">
        <v>2365.462</v>
      </c>
      <c r="O28">
        <v>2017.5630000000001</v>
      </c>
      <c r="P28">
        <v>2192.84</v>
      </c>
      <c r="R28" s="3">
        <f t="shared" si="2"/>
        <v>2223.3328000000001</v>
      </c>
      <c r="S28" s="3">
        <f t="shared" si="3"/>
        <v>78.578749009767222</v>
      </c>
    </row>
    <row r="29" spans="1:19" x14ac:dyDescent="0.25">
      <c r="A29">
        <v>23.75</v>
      </c>
      <c r="B29">
        <v>2876.511</v>
      </c>
      <c r="C29">
        <v>2418.33</v>
      </c>
      <c r="D29">
        <v>2269.6660000000002</v>
      </c>
      <c r="E29">
        <v>2425.3209999999999</v>
      </c>
      <c r="F29">
        <v>2589.16</v>
      </c>
      <c r="H29" s="2">
        <f t="shared" si="0"/>
        <v>2515.7976000000003</v>
      </c>
      <c r="I29" s="2">
        <f t="shared" si="1"/>
        <v>103.38348789560156</v>
      </c>
      <c r="K29">
        <v>23.75</v>
      </c>
      <c r="L29">
        <v>2449.7570000000001</v>
      </c>
      <c r="M29">
        <v>2106.4650000000001</v>
      </c>
      <c r="N29">
        <v>2380.8150000000001</v>
      </c>
      <c r="O29">
        <v>2029.4570000000001</v>
      </c>
      <c r="P29">
        <v>2211.8020000000001</v>
      </c>
      <c r="R29" s="3">
        <f t="shared" si="2"/>
        <v>2235.6592000000001</v>
      </c>
      <c r="S29" s="3">
        <f t="shared" si="3"/>
        <v>79.588858777092653</v>
      </c>
    </row>
    <row r="30" spans="1:19" x14ac:dyDescent="0.25">
      <c r="A30">
        <v>25</v>
      </c>
      <c r="B30">
        <v>2900.1959999999999</v>
      </c>
      <c r="C30">
        <v>2450.3829999999998</v>
      </c>
      <c r="D30">
        <v>2304.61</v>
      </c>
      <c r="E30">
        <v>2453.0369999999998</v>
      </c>
      <c r="F30">
        <v>2612.62</v>
      </c>
      <c r="H30" s="2">
        <f t="shared" si="0"/>
        <v>2544.1692000000003</v>
      </c>
      <c r="I30" s="2">
        <f t="shared" si="1"/>
        <v>101.47170389591373</v>
      </c>
      <c r="K30">
        <v>25</v>
      </c>
      <c r="L30">
        <v>2462.0010000000002</v>
      </c>
      <c r="M30">
        <v>2130.1959999999999</v>
      </c>
      <c r="N30">
        <v>2400.9029999999998</v>
      </c>
      <c r="O30">
        <v>2056.7829999999999</v>
      </c>
      <c r="P30">
        <v>2248.6570000000002</v>
      </c>
      <c r="R30" s="3">
        <f t="shared" si="2"/>
        <v>2259.7080000000001</v>
      </c>
      <c r="S30" s="3">
        <f t="shared" si="3"/>
        <v>77.114370983624084</v>
      </c>
    </row>
    <row r="31" spans="1:19" x14ac:dyDescent="0.25">
      <c r="A31">
        <v>26.25</v>
      </c>
      <c r="B31">
        <v>2925.047</v>
      </c>
      <c r="C31">
        <v>2468.306</v>
      </c>
      <c r="D31">
        <v>2339.4029999999998</v>
      </c>
      <c r="E31">
        <v>2488.924</v>
      </c>
      <c r="F31">
        <v>2629.654</v>
      </c>
      <c r="H31" s="2">
        <f t="shared" si="0"/>
        <v>2570.2668000000003</v>
      </c>
      <c r="I31" s="2">
        <f t="shared" si="1"/>
        <v>99.926618034135458</v>
      </c>
      <c r="K31">
        <v>26.25</v>
      </c>
      <c r="L31">
        <v>2494.5439999999999</v>
      </c>
      <c r="M31">
        <v>2145.8580000000002</v>
      </c>
      <c r="N31">
        <v>2411.6880000000001</v>
      </c>
      <c r="O31">
        <v>2066.0590000000002</v>
      </c>
      <c r="P31">
        <v>2270.5990000000002</v>
      </c>
      <c r="R31" s="3">
        <f t="shared" si="2"/>
        <v>2277.7496000000001</v>
      </c>
      <c r="S31" s="3">
        <f t="shared" si="3"/>
        <v>79.749213859824309</v>
      </c>
    </row>
    <row r="32" spans="1:19" x14ac:dyDescent="0.25">
      <c r="A32">
        <v>27.5</v>
      </c>
      <c r="B32">
        <v>2934.3780000000002</v>
      </c>
      <c r="C32">
        <v>2473.855</v>
      </c>
      <c r="D32">
        <v>2328.96</v>
      </c>
      <c r="E32">
        <v>2491.1179999999999</v>
      </c>
      <c r="F32">
        <v>2615.9789999999998</v>
      </c>
      <c r="H32" s="2">
        <f t="shared" si="0"/>
        <v>2568.8579999999997</v>
      </c>
      <c r="I32" s="2">
        <f t="shared" si="1"/>
        <v>102.08951637019346</v>
      </c>
      <c r="K32">
        <v>27.5</v>
      </c>
      <c r="L32">
        <v>2503.7800000000002</v>
      </c>
      <c r="M32">
        <v>2136.8690000000001</v>
      </c>
      <c r="N32">
        <v>2418.4520000000002</v>
      </c>
      <c r="O32">
        <v>2080.076</v>
      </c>
      <c r="P32">
        <v>2255.087</v>
      </c>
      <c r="R32" s="3">
        <f t="shared" si="2"/>
        <v>2278.8527999999997</v>
      </c>
      <c r="S32" s="3">
        <f t="shared" si="3"/>
        <v>80.720694642328269</v>
      </c>
    </row>
    <row r="33" spans="1:19" x14ac:dyDescent="0.25">
      <c r="A33">
        <v>28.75</v>
      </c>
      <c r="B33">
        <v>2938.4839999999999</v>
      </c>
      <c r="C33">
        <v>2467.8629999999998</v>
      </c>
      <c r="D33">
        <v>2329.0610000000001</v>
      </c>
      <c r="E33">
        <v>2478.5010000000002</v>
      </c>
      <c r="F33">
        <v>2600.8420000000001</v>
      </c>
      <c r="H33" s="2">
        <f t="shared" si="0"/>
        <v>2562.9502000000002</v>
      </c>
      <c r="I33" s="2">
        <f t="shared" si="1"/>
        <v>103.28088504432944</v>
      </c>
      <c r="K33">
        <v>28.75</v>
      </c>
      <c r="L33">
        <v>2504.4140000000002</v>
      </c>
      <c r="M33">
        <v>2138.2350000000001</v>
      </c>
      <c r="N33">
        <v>2434.7440000000001</v>
      </c>
      <c r="O33">
        <v>2076.9470000000001</v>
      </c>
      <c r="P33">
        <v>2253.973</v>
      </c>
      <c r="R33" s="3">
        <f t="shared" si="2"/>
        <v>2281.6626000000001</v>
      </c>
      <c r="S33" s="3">
        <f t="shared" si="3"/>
        <v>82.552640327611584</v>
      </c>
    </row>
    <row r="34" spans="1:19" x14ac:dyDescent="0.25">
      <c r="A34">
        <v>30</v>
      </c>
      <c r="B34">
        <v>2954.5949999999998</v>
      </c>
      <c r="C34">
        <v>2489.9450000000002</v>
      </c>
      <c r="D34">
        <v>2372.3310000000001</v>
      </c>
      <c r="E34">
        <v>2509.6120000000001</v>
      </c>
      <c r="F34">
        <v>2615.828</v>
      </c>
      <c r="H34" s="2">
        <f t="shared" si="0"/>
        <v>2588.4621999999999</v>
      </c>
      <c r="I34" s="2">
        <f t="shared" si="1"/>
        <v>99.357385884190748</v>
      </c>
      <c r="K34">
        <v>30</v>
      </c>
      <c r="L34">
        <v>2536.1469999999999</v>
      </c>
      <c r="M34">
        <v>2160.4780000000001</v>
      </c>
      <c r="N34">
        <v>2467.9029999999998</v>
      </c>
      <c r="O34">
        <v>2088.761</v>
      </c>
      <c r="P34">
        <v>2269.9780000000001</v>
      </c>
      <c r="R34" s="3">
        <f t="shared" si="2"/>
        <v>2304.6534000000001</v>
      </c>
      <c r="S34" s="3">
        <f t="shared" si="3"/>
        <v>86.266498842018578</v>
      </c>
    </row>
    <row r="35" spans="1:19" x14ac:dyDescent="0.25">
      <c r="A35">
        <v>31.25</v>
      </c>
      <c r="B35">
        <v>2987.8110000000001</v>
      </c>
      <c r="C35">
        <v>2536.857</v>
      </c>
      <c r="D35">
        <v>2406.1039999999998</v>
      </c>
      <c r="E35">
        <v>2529.328</v>
      </c>
      <c r="F35">
        <v>2652.5659999999998</v>
      </c>
      <c r="H35" s="2">
        <f t="shared" si="0"/>
        <v>2622.5331999999994</v>
      </c>
      <c r="I35" s="2">
        <f t="shared" si="1"/>
        <v>99.297295888357453</v>
      </c>
      <c r="K35">
        <v>31.25</v>
      </c>
      <c r="L35">
        <v>2566.9969999999998</v>
      </c>
      <c r="M35">
        <v>2188.3150000000001</v>
      </c>
      <c r="N35">
        <v>2500.7359999999999</v>
      </c>
      <c r="O35">
        <v>2149.2979999999998</v>
      </c>
      <c r="P35">
        <v>2308.88</v>
      </c>
      <c r="R35" s="3">
        <f t="shared" si="2"/>
        <v>2342.8451999999997</v>
      </c>
      <c r="S35" s="3">
        <f t="shared" si="3"/>
        <v>82.966038328583565</v>
      </c>
    </row>
    <row r="36" spans="1:19" x14ac:dyDescent="0.25">
      <c r="A36">
        <v>32.5</v>
      </c>
      <c r="B36">
        <v>3010.71</v>
      </c>
      <c r="C36">
        <v>2575.576</v>
      </c>
      <c r="D36">
        <v>2424.6019999999999</v>
      </c>
      <c r="E36">
        <v>2504.3609999999999</v>
      </c>
      <c r="F36">
        <v>2694.5569999999998</v>
      </c>
      <c r="H36" s="2">
        <f t="shared" si="0"/>
        <v>2641.9612000000002</v>
      </c>
      <c r="I36" s="2">
        <f t="shared" si="1"/>
        <v>102.30538287959243</v>
      </c>
      <c r="K36">
        <v>32.5</v>
      </c>
      <c r="L36">
        <v>2589.8719999999998</v>
      </c>
      <c r="M36">
        <v>2204.2139999999999</v>
      </c>
      <c r="N36">
        <v>2512.201</v>
      </c>
      <c r="O36">
        <v>2167.2310000000002</v>
      </c>
      <c r="P36">
        <v>2323.7530000000002</v>
      </c>
      <c r="R36" s="3">
        <f t="shared" si="2"/>
        <v>2359.4542000000001</v>
      </c>
      <c r="S36" s="3">
        <f t="shared" si="3"/>
        <v>83.290996350986177</v>
      </c>
    </row>
    <row r="37" spans="1:19" x14ac:dyDescent="0.25">
      <c r="A37">
        <v>33.75</v>
      </c>
      <c r="B37">
        <v>3004.1930000000002</v>
      </c>
      <c r="C37">
        <v>2583.3270000000002</v>
      </c>
      <c r="D37">
        <v>2431.761</v>
      </c>
      <c r="E37">
        <v>2508.73</v>
      </c>
      <c r="F37">
        <v>2720.6030000000001</v>
      </c>
      <c r="H37" s="2">
        <f t="shared" si="0"/>
        <v>2649.7228000000005</v>
      </c>
      <c r="I37" s="2">
        <f t="shared" si="1"/>
        <v>100.61506935066936</v>
      </c>
      <c r="K37">
        <v>33.75</v>
      </c>
      <c r="L37">
        <v>2617.58</v>
      </c>
      <c r="M37">
        <v>2204.386</v>
      </c>
      <c r="N37">
        <v>2527.4090000000001</v>
      </c>
      <c r="O37">
        <v>2159.0079999999998</v>
      </c>
      <c r="P37">
        <v>2347.8180000000002</v>
      </c>
      <c r="R37" s="3">
        <f t="shared" si="2"/>
        <v>2371.2402000000002</v>
      </c>
      <c r="S37" s="3">
        <f t="shared" si="3"/>
        <v>89.023429889215137</v>
      </c>
    </row>
    <row r="38" spans="1:19" x14ac:dyDescent="0.25">
      <c r="A38">
        <v>35</v>
      </c>
      <c r="B38">
        <v>2976.7240000000002</v>
      </c>
      <c r="C38">
        <v>2554.6370000000002</v>
      </c>
      <c r="D38">
        <v>2432.4070000000002</v>
      </c>
      <c r="E38">
        <v>2517.694</v>
      </c>
      <c r="F38">
        <v>2690.1550000000002</v>
      </c>
      <c r="H38" s="2">
        <f t="shared" si="0"/>
        <v>2634.3234000000002</v>
      </c>
      <c r="I38" s="2">
        <f t="shared" si="1"/>
        <v>95.151960126210767</v>
      </c>
      <c r="K38">
        <v>35</v>
      </c>
      <c r="L38">
        <v>2607.91</v>
      </c>
      <c r="M38">
        <v>2202.413</v>
      </c>
      <c r="N38">
        <v>2511.5569999999998</v>
      </c>
      <c r="O38">
        <v>2141.2629999999999</v>
      </c>
      <c r="P38">
        <v>2349.5639999999999</v>
      </c>
      <c r="R38" s="3">
        <f t="shared" si="2"/>
        <v>2362.5414000000001</v>
      </c>
      <c r="S38" s="3">
        <f t="shared" si="3"/>
        <v>88.652424279655179</v>
      </c>
    </row>
    <row r="39" spans="1:19" x14ac:dyDescent="0.25">
      <c r="A39">
        <v>36.25</v>
      </c>
      <c r="B39">
        <v>2850.6729999999998</v>
      </c>
      <c r="C39">
        <v>2447.2649999999999</v>
      </c>
      <c r="D39">
        <v>2333.8670000000002</v>
      </c>
      <c r="E39">
        <v>2416.2179999999998</v>
      </c>
      <c r="F39">
        <v>2573.37</v>
      </c>
      <c r="H39" s="2">
        <f t="shared" si="0"/>
        <v>2524.2786000000001</v>
      </c>
      <c r="I39" s="2">
        <f t="shared" si="1"/>
        <v>90.22417502454644</v>
      </c>
      <c r="K39">
        <v>36.25</v>
      </c>
      <c r="L39">
        <v>2472.422</v>
      </c>
      <c r="M39">
        <v>2111.9209999999998</v>
      </c>
      <c r="N39">
        <v>2402.4070000000002</v>
      </c>
      <c r="O39">
        <v>2057.7429999999999</v>
      </c>
      <c r="P39">
        <v>2240.1149999999998</v>
      </c>
      <c r="R39" s="3">
        <f t="shared" si="2"/>
        <v>2256.9216000000001</v>
      </c>
      <c r="S39" s="3">
        <f t="shared" si="3"/>
        <v>80.18297029768857</v>
      </c>
    </row>
    <row r="40" spans="1:19" x14ac:dyDescent="0.25">
      <c r="A40">
        <v>37.5</v>
      </c>
      <c r="B40">
        <v>2645.0610000000001</v>
      </c>
      <c r="C40">
        <v>2263.498</v>
      </c>
      <c r="D40">
        <v>2150.835</v>
      </c>
      <c r="E40">
        <v>2236.502</v>
      </c>
      <c r="F40">
        <v>2388.134</v>
      </c>
      <c r="H40" s="2">
        <f t="shared" si="0"/>
        <v>2336.806</v>
      </c>
      <c r="I40" s="2">
        <f t="shared" si="1"/>
        <v>85.92900462882136</v>
      </c>
      <c r="K40">
        <v>37.5</v>
      </c>
      <c r="L40">
        <v>2302.3719999999998</v>
      </c>
      <c r="M40">
        <v>1953.146</v>
      </c>
      <c r="N40">
        <v>2210.2689999999998</v>
      </c>
      <c r="O40">
        <v>1913.278</v>
      </c>
      <c r="P40">
        <v>2062.498</v>
      </c>
      <c r="R40" s="3">
        <f t="shared" si="2"/>
        <v>2088.3126000000002</v>
      </c>
      <c r="S40" s="3">
        <f t="shared" si="3"/>
        <v>74.252375300457516</v>
      </c>
    </row>
    <row r="41" spans="1:19" x14ac:dyDescent="0.25">
      <c r="A41">
        <v>38.75</v>
      </c>
      <c r="B41">
        <v>2457.2289999999998</v>
      </c>
      <c r="C41">
        <v>2089.4290000000001</v>
      </c>
      <c r="D41">
        <v>1993.787</v>
      </c>
      <c r="E41">
        <v>2069.0419999999999</v>
      </c>
      <c r="F41">
        <v>2225.2710000000002</v>
      </c>
      <c r="H41" s="2">
        <f t="shared" si="0"/>
        <v>2166.9515999999999</v>
      </c>
      <c r="I41" s="2">
        <f t="shared" si="1"/>
        <v>81.622344778620487</v>
      </c>
      <c r="K41">
        <v>38.75</v>
      </c>
      <c r="L41">
        <v>2141.8739999999998</v>
      </c>
      <c r="M41">
        <v>1802.3219999999999</v>
      </c>
      <c r="N41">
        <v>2045.9580000000001</v>
      </c>
      <c r="O41">
        <v>1755.049</v>
      </c>
      <c r="P41">
        <v>1922.3150000000001</v>
      </c>
      <c r="R41" s="3">
        <f t="shared" si="2"/>
        <v>1933.5036</v>
      </c>
      <c r="S41" s="3">
        <f t="shared" si="3"/>
        <v>72.541042481205068</v>
      </c>
    </row>
    <row r="42" spans="1:19" x14ac:dyDescent="0.25">
      <c r="A42">
        <v>40</v>
      </c>
      <c r="B42">
        <v>2345.17</v>
      </c>
      <c r="C42">
        <v>1983</v>
      </c>
      <c r="D42">
        <v>1892.8820000000001</v>
      </c>
      <c r="E42">
        <v>1964.365</v>
      </c>
      <c r="F42">
        <v>2117.252</v>
      </c>
      <c r="H42" s="2">
        <f t="shared" si="0"/>
        <v>2060.5338000000002</v>
      </c>
      <c r="I42" s="2">
        <f t="shared" si="1"/>
        <v>79.875457695339691</v>
      </c>
      <c r="K42">
        <v>40</v>
      </c>
      <c r="L42">
        <v>2040.0930000000001</v>
      </c>
      <c r="M42">
        <v>1703.54</v>
      </c>
      <c r="N42">
        <v>1939.617</v>
      </c>
      <c r="O42">
        <v>1656.2719999999999</v>
      </c>
      <c r="P42">
        <v>1825.047</v>
      </c>
      <c r="R42" s="3">
        <f t="shared" si="2"/>
        <v>1832.9137999999998</v>
      </c>
      <c r="S42" s="3">
        <f t="shared" si="3"/>
        <v>71.52292848408824</v>
      </c>
    </row>
    <row r="43" spans="1:19" x14ac:dyDescent="0.25">
      <c r="A43">
        <v>41.25</v>
      </c>
      <c r="B43">
        <v>2287.364</v>
      </c>
      <c r="C43">
        <v>1931.039</v>
      </c>
      <c r="D43">
        <v>1845</v>
      </c>
      <c r="E43">
        <v>1903.4970000000001</v>
      </c>
      <c r="F43">
        <v>2058.7420000000002</v>
      </c>
      <c r="H43" s="2">
        <f t="shared" si="0"/>
        <v>2005.1284000000001</v>
      </c>
      <c r="I43" s="2">
        <f t="shared" si="1"/>
        <v>78.737105978439416</v>
      </c>
      <c r="K43">
        <v>41.25</v>
      </c>
      <c r="L43">
        <v>2000.32</v>
      </c>
      <c r="M43">
        <v>1660.0530000000001</v>
      </c>
      <c r="N43">
        <v>1889.374</v>
      </c>
      <c r="O43">
        <v>1625.6759999999999</v>
      </c>
      <c r="P43">
        <v>1761.819</v>
      </c>
      <c r="R43" s="3">
        <f t="shared" si="2"/>
        <v>1787.4484</v>
      </c>
      <c r="S43" s="3">
        <f t="shared" si="3"/>
        <v>70.270872169484264</v>
      </c>
    </row>
    <row r="44" spans="1:19" x14ac:dyDescent="0.25">
      <c r="A44">
        <v>42.5</v>
      </c>
      <c r="B44">
        <v>2288.8200000000002</v>
      </c>
      <c r="C44">
        <v>1927.432</v>
      </c>
      <c r="D44">
        <v>1827.58</v>
      </c>
      <c r="E44">
        <v>1873.7139999999999</v>
      </c>
      <c r="F44">
        <v>2033.5450000000001</v>
      </c>
      <c r="H44" s="2">
        <f t="shared" si="0"/>
        <v>1990.2182</v>
      </c>
      <c r="I44" s="2">
        <f t="shared" si="1"/>
        <v>82.160442485663424</v>
      </c>
      <c r="K44">
        <v>42.5</v>
      </c>
      <c r="L44">
        <v>1992.451</v>
      </c>
      <c r="M44">
        <v>1649.6010000000001</v>
      </c>
      <c r="N44">
        <v>1876.6110000000001</v>
      </c>
      <c r="O44">
        <v>1613.741</v>
      </c>
      <c r="P44">
        <v>1732.674</v>
      </c>
      <c r="R44" s="3">
        <f t="shared" si="2"/>
        <v>1773.0156000000002</v>
      </c>
      <c r="S44" s="3">
        <f t="shared" si="3"/>
        <v>71.102358632889249</v>
      </c>
    </row>
    <row r="45" spans="1:19" x14ac:dyDescent="0.25">
      <c r="A45">
        <v>43.75</v>
      </c>
      <c r="B45">
        <v>2290.7269999999999</v>
      </c>
      <c r="C45">
        <v>1941.6949999999999</v>
      </c>
      <c r="D45">
        <v>1838.193</v>
      </c>
      <c r="E45">
        <v>1868.396</v>
      </c>
      <c r="F45">
        <v>2038.6590000000001</v>
      </c>
      <c r="H45" s="2">
        <f t="shared" si="0"/>
        <v>1995.5340000000001</v>
      </c>
      <c r="I45" s="2">
        <f t="shared" si="1"/>
        <v>81.491586105560586</v>
      </c>
      <c r="K45">
        <v>43.75</v>
      </c>
      <c r="L45">
        <v>1991.5450000000001</v>
      </c>
      <c r="M45">
        <v>1645.8779999999999</v>
      </c>
      <c r="N45">
        <v>1886.598</v>
      </c>
      <c r="O45">
        <v>1610.894</v>
      </c>
      <c r="P45">
        <v>1731.3530000000001</v>
      </c>
      <c r="R45" s="3">
        <f t="shared" si="2"/>
        <v>1773.2536</v>
      </c>
      <c r="S45" s="3">
        <f t="shared" si="3"/>
        <v>72.401288591156998</v>
      </c>
    </row>
    <row r="46" spans="1:19" x14ac:dyDescent="0.25">
      <c r="A46">
        <v>45</v>
      </c>
      <c r="B46">
        <v>2301.056</v>
      </c>
      <c r="C46">
        <v>1947.3610000000001</v>
      </c>
      <c r="D46">
        <v>1854.953</v>
      </c>
      <c r="E46">
        <v>1872.9659999999999</v>
      </c>
      <c r="F46">
        <v>2046.143</v>
      </c>
      <c r="H46" s="2">
        <f t="shared" si="0"/>
        <v>2004.4958000000001</v>
      </c>
      <c r="I46" s="2">
        <f t="shared" si="1"/>
        <v>81.427871205994336</v>
      </c>
      <c r="K46">
        <v>45</v>
      </c>
      <c r="L46">
        <v>1990.7249999999999</v>
      </c>
      <c r="M46">
        <v>1651.23</v>
      </c>
      <c r="N46">
        <v>1901.99</v>
      </c>
      <c r="O46">
        <v>1609.682</v>
      </c>
      <c r="P46">
        <v>1736.374</v>
      </c>
      <c r="R46" s="3">
        <f t="shared" si="2"/>
        <v>1778.0001999999999</v>
      </c>
      <c r="S46" s="3">
        <f t="shared" si="3"/>
        <v>73.061532842118751</v>
      </c>
    </row>
    <row r="47" spans="1:19" x14ac:dyDescent="0.25">
      <c r="A47">
        <v>46.25</v>
      </c>
      <c r="B47">
        <v>2349.3339999999998</v>
      </c>
      <c r="C47">
        <v>1975.0160000000001</v>
      </c>
      <c r="D47">
        <v>1882.2339999999999</v>
      </c>
      <c r="E47">
        <v>1895.6279999999999</v>
      </c>
      <c r="F47">
        <v>2075.944</v>
      </c>
      <c r="H47" s="2">
        <f t="shared" si="0"/>
        <v>2035.6312000000003</v>
      </c>
      <c r="I47" s="2">
        <f t="shared" si="1"/>
        <v>85.685578722676524</v>
      </c>
      <c r="K47">
        <v>46.25</v>
      </c>
      <c r="L47">
        <v>2021.4860000000001</v>
      </c>
      <c r="M47">
        <v>1674.5170000000001</v>
      </c>
      <c r="N47">
        <v>1925.6590000000001</v>
      </c>
      <c r="O47">
        <v>1621.423</v>
      </c>
      <c r="P47">
        <v>1743.057</v>
      </c>
      <c r="R47" s="3">
        <f t="shared" si="2"/>
        <v>1797.2284</v>
      </c>
      <c r="S47" s="3">
        <f t="shared" si="3"/>
        <v>76.054604433656763</v>
      </c>
    </row>
    <row r="48" spans="1:19" x14ac:dyDescent="0.25">
      <c r="A48">
        <v>47.5</v>
      </c>
      <c r="B48">
        <v>2435.7750000000001</v>
      </c>
      <c r="C48">
        <v>2056.4580000000001</v>
      </c>
      <c r="D48">
        <v>1951.117</v>
      </c>
      <c r="E48">
        <v>1959.123</v>
      </c>
      <c r="F48">
        <v>2158.4720000000002</v>
      </c>
      <c r="H48" s="2">
        <f t="shared" si="0"/>
        <v>2112.1889999999999</v>
      </c>
      <c r="I48" s="2">
        <f t="shared" si="1"/>
        <v>89.255069712033745</v>
      </c>
      <c r="K48">
        <v>47.5</v>
      </c>
      <c r="L48">
        <v>2098.5549999999998</v>
      </c>
      <c r="M48">
        <v>1738.454</v>
      </c>
      <c r="N48">
        <v>1986.3889999999999</v>
      </c>
      <c r="O48">
        <v>1668.482</v>
      </c>
      <c r="P48">
        <v>1809.9090000000001</v>
      </c>
      <c r="R48" s="3">
        <f t="shared" si="2"/>
        <v>1860.3578000000002</v>
      </c>
      <c r="S48" s="3">
        <f t="shared" si="3"/>
        <v>79.637839612460581</v>
      </c>
    </row>
    <row r="49" spans="1:19" x14ac:dyDescent="0.25">
      <c r="A49">
        <v>48.75</v>
      </c>
      <c r="B49">
        <v>2560.125</v>
      </c>
      <c r="C49">
        <v>2170.6999999999998</v>
      </c>
      <c r="D49">
        <v>2057.067</v>
      </c>
      <c r="E49">
        <v>2048.9920000000002</v>
      </c>
      <c r="F49">
        <v>2265.1239999999998</v>
      </c>
      <c r="H49" s="2">
        <f t="shared" si="0"/>
        <v>2220.4016000000001</v>
      </c>
      <c r="I49" s="2">
        <f t="shared" si="1"/>
        <v>93.792796402815483</v>
      </c>
      <c r="K49">
        <v>48.75</v>
      </c>
      <c r="L49">
        <v>2206.5140000000001</v>
      </c>
      <c r="M49">
        <v>1817.662</v>
      </c>
      <c r="N49">
        <v>2085.8040000000001</v>
      </c>
      <c r="O49">
        <v>1746.625</v>
      </c>
      <c r="P49">
        <v>1919.5540000000001</v>
      </c>
      <c r="R49" s="3">
        <f t="shared" si="2"/>
        <v>1955.2318</v>
      </c>
      <c r="S49" s="3">
        <f t="shared" si="3"/>
        <v>84.825407673880363</v>
      </c>
    </row>
    <row r="50" spans="1:19" x14ac:dyDescent="0.25">
      <c r="A50">
        <v>50</v>
      </c>
      <c r="B50">
        <v>2678.0079999999998</v>
      </c>
      <c r="C50">
        <v>2305.8629999999998</v>
      </c>
      <c r="D50">
        <v>2154.502</v>
      </c>
      <c r="E50">
        <v>2139.0590000000002</v>
      </c>
      <c r="F50">
        <v>2385.7919999999999</v>
      </c>
      <c r="H50" s="2">
        <f t="shared" si="0"/>
        <v>2332.6448</v>
      </c>
      <c r="I50" s="2">
        <f t="shared" si="1"/>
        <v>97.9867207193913</v>
      </c>
      <c r="K50">
        <v>50</v>
      </c>
      <c r="L50">
        <v>2315.41</v>
      </c>
      <c r="M50">
        <v>1894.587</v>
      </c>
      <c r="N50">
        <v>2175.0059999999999</v>
      </c>
      <c r="O50">
        <v>1838.816</v>
      </c>
      <c r="P50">
        <v>2010.6949999999999</v>
      </c>
      <c r="R50" s="3">
        <f t="shared" si="2"/>
        <v>2046.9027999999998</v>
      </c>
      <c r="S50" s="3">
        <f t="shared" si="3"/>
        <v>88.407513919010256</v>
      </c>
    </row>
    <row r="51" spans="1:19" x14ac:dyDescent="0.25">
      <c r="A51">
        <v>51.25</v>
      </c>
      <c r="B51">
        <v>2756.9859999999999</v>
      </c>
      <c r="C51">
        <v>2423.433</v>
      </c>
      <c r="D51">
        <v>2251.049</v>
      </c>
      <c r="E51">
        <v>2223.5590000000002</v>
      </c>
      <c r="F51">
        <v>2476.4059999999999</v>
      </c>
      <c r="H51" s="2">
        <f t="shared" si="0"/>
        <v>2426.2866000000004</v>
      </c>
      <c r="I51" s="2">
        <f t="shared" si="1"/>
        <v>95.835506652075424</v>
      </c>
      <c r="K51">
        <v>51.25</v>
      </c>
      <c r="L51">
        <v>2415.683</v>
      </c>
      <c r="M51">
        <v>1969.223</v>
      </c>
      <c r="N51">
        <v>2251.2739999999999</v>
      </c>
      <c r="O51">
        <v>1913.7909999999999</v>
      </c>
      <c r="P51">
        <v>2073.9639999999999</v>
      </c>
      <c r="R51" s="3">
        <f t="shared" si="2"/>
        <v>2124.7869999999998</v>
      </c>
      <c r="S51" s="3">
        <f t="shared" si="3"/>
        <v>92.715125903489977</v>
      </c>
    </row>
    <row r="52" spans="1:19" x14ac:dyDescent="0.25">
      <c r="A52">
        <v>52.5</v>
      </c>
      <c r="B52">
        <v>2779.8449999999998</v>
      </c>
      <c r="C52">
        <v>2441.7570000000001</v>
      </c>
      <c r="D52">
        <v>2304.9569999999999</v>
      </c>
      <c r="E52">
        <v>2291.7469999999998</v>
      </c>
      <c r="F52">
        <v>2505.5590000000002</v>
      </c>
      <c r="H52" s="2">
        <f t="shared" si="0"/>
        <v>2464.7729999999997</v>
      </c>
      <c r="I52" s="2">
        <f t="shared" si="1"/>
        <v>88.584070172915389</v>
      </c>
      <c r="K52">
        <v>52.5</v>
      </c>
      <c r="L52">
        <v>2462.221</v>
      </c>
      <c r="M52">
        <v>2010.546</v>
      </c>
      <c r="N52">
        <v>2313.9119999999998</v>
      </c>
      <c r="O52">
        <v>1958.5260000000001</v>
      </c>
      <c r="P52">
        <v>2119.3110000000001</v>
      </c>
      <c r="R52" s="3">
        <f t="shared" si="2"/>
        <v>2172.9031999999997</v>
      </c>
      <c r="S52" s="3">
        <f t="shared" si="3"/>
        <v>94.545713611670379</v>
      </c>
    </row>
    <row r="53" spans="1:19" x14ac:dyDescent="0.25">
      <c r="A53">
        <v>53.75</v>
      </c>
      <c r="B53">
        <v>2753.08</v>
      </c>
      <c r="C53">
        <v>2411.4659999999999</v>
      </c>
      <c r="D53">
        <v>2284.16</v>
      </c>
      <c r="E53">
        <v>2296.3919999999998</v>
      </c>
      <c r="F53">
        <v>2496.239</v>
      </c>
      <c r="H53" s="2">
        <f t="shared" si="0"/>
        <v>2448.2673999999997</v>
      </c>
      <c r="I53" s="2">
        <f t="shared" si="1"/>
        <v>85.604823002912639</v>
      </c>
      <c r="K53">
        <v>53.75</v>
      </c>
      <c r="L53">
        <v>2443.1379999999999</v>
      </c>
      <c r="M53">
        <v>2013.0630000000001</v>
      </c>
      <c r="N53">
        <v>2310.201</v>
      </c>
      <c r="O53">
        <v>1947.001</v>
      </c>
      <c r="P53">
        <v>2104.1120000000001</v>
      </c>
      <c r="R53" s="3">
        <f t="shared" si="2"/>
        <v>2163.5029999999997</v>
      </c>
      <c r="S53" s="3">
        <f t="shared" si="3"/>
        <v>92.937784811668479</v>
      </c>
    </row>
    <row r="54" spans="1:19" x14ac:dyDescent="0.25">
      <c r="A54">
        <v>55</v>
      </c>
      <c r="B54">
        <v>2727.6590000000001</v>
      </c>
      <c r="C54">
        <v>2368.5059999999999</v>
      </c>
      <c r="D54">
        <v>2212.2370000000001</v>
      </c>
      <c r="E54">
        <v>2213.3850000000002</v>
      </c>
      <c r="F54">
        <v>2494.4270000000001</v>
      </c>
      <c r="H54" s="2">
        <f t="shared" si="0"/>
        <v>2403.2428</v>
      </c>
      <c r="I54" s="2">
        <f t="shared" si="1"/>
        <v>96.771967604466937</v>
      </c>
      <c r="K54">
        <v>55</v>
      </c>
      <c r="L54">
        <v>2361.712</v>
      </c>
      <c r="M54">
        <v>1958.3589999999999</v>
      </c>
      <c r="N54">
        <v>2241.3209999999999</v>
      </c>
      <c r="O54">
        <v>1874.83</v>
      </c>
      <c r="P54">
        <v>2034.4169999999999</v>
      </c>
      <c r="R54" s="3">
        <f t="shared" si="2"/>
        <v>2094.1277999999998</v>
      </c>
      <c r="S54" s="3">
        <f t="shared" si="3"/>
        <v>90.376217554951921</v>
      </c>
    </row>
    <row r="55" spans="1:19" x14ac:dyDescent="0.25">
      <c r="A55">
        <v>56.25</v>
      </c>
      <c r="B55">
        <v>2680.1030000000001</v>
      </c>
      <c r="C55">
        <v>2292.0740000000001</v>
      </c>
      <c r="D55">
        <v>2105.3040000000001</v>
      </c>
      <c r="E55">
        <v>2067.0630000000001</v>
      </c>
      <c r="F55">
        <v>2476.6550000000002</v>
      </c>
      <c r="H55" s="2">
        <f t="shared" si="0"/>
        <v>2324.2398000000003</v>
      </c>
      <c r="I55" s="2">
        <f t="shared" si="1"/>
        <v>115.10352730798479</v>
      </c>
      <c r="K55">
        <v>56.25</v>
      </c>
      <c r="L55">
        <v>2236.145</v>
      </c>
      <c r="M55">
        <v>1869.0640000000001</v>
      </c>
      <c r="N55">
        <v>2121.0030000000002</v>
      </c>
      <c r="O55">
        <v>1771.461</v>
      </c>
      <c r="P55">
        <v>1930.3630000000001</v>
      </c>
      <c r="R55" s="3">
        <f t="shared" si="2"/>
        <v>1985.6071999999999</v>
      </c>
      <c r="S55" s="3">
        <f t="shared" si="3"/>
        <v>84.733123971915489</v>
      </c>
    </row>
    <row r="56" spans="1:19" x14ac:dyDescent="0.25">
      <c r="A56">
        <v>57.5</v>
      </c>
      <c r="B56">
        <v>2581.0279999999998</v>
      </c>
      <c r="C56">
        <v>2183.527</v>
      </c>
      <c r="D56">
        <v>1963.7159999999999</v>
      </c>
      <c r="E56">
        <v>1897.8430000000001</v>
      </c>
      <c r="F56">
        <v>2418.7959999999998</v>
      </c>
      <c r="H56" s="2">
        <f t="shared" si="0"/>
        <v>2208.9820000000004</v>
      </c>
      <c r="I56" s="2">
        <f t="shared" si="1"/>
        <v>130.39382382114317</v>
      </c>
      <c r="K56">
        <v>57.5</v>
      </c>
      <c r="L56">
        <v>2078.2130000000002</v>
      </c>
      <c r="M56">
        <v>1756.5250000000001</v>
      </c>
      <c r="N56">
        <v>1977.431</v>
      </c>
      <c r="O56">
        <v>1665.5640000000001</v>
      </c>
      <c r="P56">
        <v>1781.645</v>
      </c>
      <c r="R56" s="3">
        <f t="shared" si="2"/>
        <v>1851.8756000000001</v>
      </c>
      <c r="S56" s="3">
        <f t="shared" si="3"/>
        <v>76.068674071262748</v>
      </c>
    </row>
    <row r="57" spans="1:19" x14ac:dyDescent="0.25">
      <c r="A57">
        <v>58.75</v>
      </c>
      <c r="B57">
        <v>2491.7649999999999</v>
      </c>
      <c r="C57">
        <v>2058.5729999999999</v>
      </c>
      <c r="D57">
        <v>1821.982</v>
      </c>
      <c r="E57">
        <v>1740.37</v>
      </c>
      <c r="F57">
        <v>2360.52</v>
      </c>
      <c r="H57" s="2">
        <f t="shared" si="0"/>
        <v>2094.6419999999998</v>
      </c>
      <c r="I57" s="2">
        <f t="shared" si="1"/>
        <v>146.55218974106185</v>
      </c>
      <c r="K57">
        <v>58.75</v>
      </c>
      <c r="L57">
        <v>1925.787</v>
      </c>
      <c r="M57">
        <v>1651.662</v>
      </c>
      <c r="N57">
        <v>1840.395</v>
      </c>
      <c r="O57">
        <v>1520.2850000000001</v>
      </c>
      <c r="P57">
        <v>1636.375</v>
      </c>
      <c r="R57" s="3">
        <f t="shared" si="2"/>
        <v>1714.9008000000001</v>
      </c>
      <c r="S57" s="3">
        <f t="shared" si="3"/>
        <v>73.573956086647925</v>
      </c>
    </row>
    <row r="58" spans="1:19" x14ac:dyDescent="0.25">
      <c r="A58">
        <v>60</v>
      </c>
      <c r="B58">
        <v>2408.39</v>
      </c>
      <c r="C58">
        <v>1950.605</v>
      </c>
      <c r="D58">
        <v>1712.52</v>
      </c>
      <c r="E58">
        <v>1616.9179999999999</v>
      </c>
      <c r="F58">
        <v>2305.5419999999999</v>
      </c>
      <c r="H58" s="2">
        <f t="shared" si="0"/>
        <v>1998.7949999999996</v>
      </c>
      <c r="I58" s="2">
        <f t="shared" si="1"/>
        <v>156.83868797079458</v>
      </c>
      <c r="K58">
        <v>60</v>
      </c>
      <c r="L58">
        <v>1828.4659999999999</v>
      </c>
      <c r="M58">
        <v>1585.66</v>
      </c>
      <c r="N58">
        <v>1740.606</v>
      </c>
      <c r="O58">
        <v>1411.7550000000001</v>
      </c>
      <c r="P58">
        <v>1531.7850000000001</v>
      </c>
      <c r="R58" s="3">
        <f t="shared" si="2"/>
        <v>1619.6543999999999</v>
      </c>
      <c r="S58" s="3">
        <f t="shared" si="3"/>
        <v>74.27327414528051</v>
      </c>
    </row>
    <row r="59" spans="1:19" x14ac:dyDescent="0.25">
      <c r="A59">
        <v>61.25</v>
      </c>
      <c r="B59">
        <v>2326.326</v>
      </c>
      <c r="C59">
        <v>1870.501</v>
      </c>
      <c r="D59">
        <v>1646.9670000000001</v>
      </c>
      <c r="E59">
        <v>1539.047</v>
      </c>
      <c r="F59">
        <v>2216.915</v>
      </c>
      <c r="H59" s="2">
        <f t="shared" si="0"/>
        <v>1919.9512000000002</v>
      </c>
      <c r="I59" s="2">
        <f t="shared" si="1"/>
        <v>154.17225462008292</v>
      </c>
      <c r="K59">
        <v>61.25</v>
      </c>
      <c r="L59">
        <v>1756.27</v>
      </c>
      <c r="M59">
        <v>1521.5640000000001</v>
      </c>
      <c r="N59">
        <v>1664.556</v>
      </c>
      <c r="O59">
        <v>1366.722</v>
      </c>
      <c r="P59">
        <v>1465.2439999999999</v>
      </c>
      <c r="R59" s="3">
        <f t="shared" si="2"/>
        <v>1554.8711999999998</v>
      </c>
      <c r="S59" s="3">
        <f t="shared" si="3"/>
        <v>69.6902999006318</v>
      </c>
    </row>
    <row r="60" spans="1:19" x14ac:dyDescent="0.25">
      <c r="A60">
        <v>62.5</v>
      </c>
      <c r="B60">
        <v>2257.5770000000002</v>
      </c>
      <c r="C60">
        <v>1822.8620000000001</v>
      </c>
      <c r="D60">
        <v>1600.739</v>
      </c>
      <c r="E60">
        <v>1511.587</v>
      </c>
      <c r="F60">
        <v>2143.4229999999998</v>
      </c>
      <c r="H60" s="2">
        <f t="shared" si="0"/>
        <v>1867.2375999999997</v>
      </c>
      <c r="I60" s="2">
        <f t="shared" si="1"/>
        <v>146.30811141614871</v>
      </c>
      <c r="K60">
        <v>62.5</v>
      </c>
      <c r="L60">
        <v>1702.145</v>
      </c>
      <c r="M60">
        <v>1465.076</v>
      </c>
      <c r="N60">
        <v>1614.9359999999999</v>
      </c>
      <c r="O60">
        <v>1328.249</v>
      </c>
      <c r="P60">
        <v>1428.2439999999999</v>
      </c>
      <c r="R60" s="3">
        <f t="shared" si="2"/>
        <v>1507.73</v>
      </c>
      <c r="S60" s="3">
        <f t="shared" si="3"/>
        <v>66.948164998751068</v>
      </c>
    </row>
    <row r="61" spans="1:19" x14ac:dyDescent="0.25">
      <c r="A61">
        <v>63.75</v>
      </c>
      <c r="B61">
        <v>2190.7539999999999</v>
      </c>
      <c r="C61">
        <v>1770.643</v>
      </c>
      <c r="D61">
        <v>1573.3820000000001</v>
      </c>
      <c r="E61">
        <v>1487.7260000000001</v>
      </c>
      <c r="F61">
        <v>2066.2199999999998</v>
      </c>
      <c r="H61" s="2">
        <f t="shared" si="0"/>
        <v>1817.7450000000001</v>
      </c>
      <c r="I61" s="2">
        <f t="shared" si="1"/>
        <v>136.33047242637977</v>
      </c>
      <c r="K61">
        <v>63.75</v>
      </c>
      <c r="L61">
        <v>1671.96</v>
      </c>
      <c r="M61">
        <v>1427.18</v>
      </c>
      <c r="N61">
        <v>1576.1610000000001</v>
      </c>
      <c r="O61">
        <v>1305.049</v>
      </c>
      <c r="P61">
        <v>1413.123</v>
      </c>
      <c r="R61" s="3">
        <f t="shared" si="2"/>
        <v>1478.6946</v>
      </c>
      <c r="S61" s="3">
        <f t="shared" si="3"/>
        <v>64.790970476294007</v>
      </c>
    </row>
    <row r="62" spans="1:19" x14ac:dyDescent="0.25">
      <c r="A62">
        <v>65</v>
      </c>
      <c r="B62">
        <v>2117.0790000000002</v>
      </c>
      <c r="C62">
        <v>1732.6579999999999</v>
      </c>
      <c r="D62">
        <v>1552.742</v>
      </c>
      <c r="E62">
        <v>1465.182</v>
      </c>
      <c r="F62">
        <v>1978.212</v>
      </c>
      <c r="H62" s="2">
        <f t="shared" si="0"/>
        <v>1769.1745999999998</v>
      </c>
      <c r="I62" s="2">
        <f t="shared" si="1"/>
        <v>123.55608835893109</v>
      </c>
      <c r="K62">
        <v>65</v>
      </c>
      <c r="L62">
        <v>1672.2550000000001</v>
      </c>
      <c r="M62">
        <v>1394.316</v>
      </c>
      <c r="N62">
        <v>1557.0050000000001</v>
      </c>
      <c r="O62">
        <v>1290.365</v>
      </c>
      <c r="P62">
        <v>1394.8030000000001</v>
      </c>
      <c r="R62" s="3">
        <f t="shared" si="2"/>
        <v>1461.7487999999998</v>
      </c>
      <c r="S62" s="3">
        <f t="shared" si="3"/>
        <v>67.745085959352082</v>
      </c>
    </row>
    <row r="63" spans="1:19" x14ac:dyDescent="0.25">
      <c r="A63">
        <v>66.25</v>
      </c>
      <c r="B63">
        <v>2033.9680000000001</v>
      </c>
      <c r="C63">
        <v>1694.192</v>
      </c>
      <c r="D63">
        <v>1531.5650000000001</v>
      </c>
      <c r="E63">
        <v>1453.653</v>
      </c>
      <c r="F63">
        <v>1887.068</v>
      </c>
      <c r="H63" s="2">
        <f t="shared" si="0"/>
        <v>1720.0891999999999</v>
      </c>
      <c r="I63" s="2">
        <f t="shared" si="1"/>
        <v>108.07453640030094</v>
      </c>
      <c r="K63">
        <v>66.25</v>
      </c>
      <c r="L63">
        <v>1665.18</v>
      </c>
      <c r="M63">
        <v>1370.5070000000001</v>
      </c>
      <c r="N63">
        <v>1542.53</v>
      </c>
      <c r="O63">
        <v>1279.7670000000001</v>
      </c>
      <c r="P63">
        <v>1380.7950000000001</v>
      </c>
      <c r="R63" s="3">
        <f t="shared" si="2"/>
        <v>1447.7557999999999</v>
      </c>
      <c r="S63" s="3">
        <f t="shared" si="3"/>
        <v>68.893684215173153</v>
      </c>
    </row>
    <row r="64" spans="1:19" x14ac:dyDescent="0.25">
      <c r="A64">
        <v>67.5</v>
      </c>
      <c r="B64">
        <v>1950.5419999999999</v>
      </c>
      <c r="C64">
        <v>1664.2470000000001</v>
      </c>
      <c r="D64">
        <v>1528.479</v>
      </c>
      <c r="E64">
        <v>1452.5530000000001</v>
      </c>
      <c r="F64">
        <v>1806.3140000000001</v>
      </c>
      <c r="H64" s="2">
        <f t="shared" si="0"/>
        <v>1680.4270000000001</v>
      </c>
      <c r="I64" s="2">
        <f t="shared" si="1"/>
        <v>90.577645413755363</v>
      </c>
      <c r="K64">
        <v>67.5</v>
      </c>
      <c r="L64">
        <v>1661.884</v>
      </c>
      <c r="M64">
        <v>1359.173</v>
      </c>
      <c r="N64">
        <v>1530.6669999999999</v>
      </c>
      <c r="O64">
        <v>1278.5550000000001</v>
      </c>
      <c r="P64">
        <v>1375.067</v>
      </c>
      <c r="R64" s="3">
        <f t="shared" si="2"/>
        <v>1441.0692000000001</v>
      </c>
      <c r="S64" s="3">
        <f t="shared" si="3"/>
        <v>68.651687832419668</v>
      </c>
    </row>
    <row r="65" spans="1:19" x14ac:dyDescent="0.25">
      <c r="A65">
        <v>68.75</v>
      </c>
      <c r="B65">
        <v>1868.914</v>
      </c>
      <c r="C65">
        <v>1630.0909999999999</v>
      </c>
      <c r="D65">
        <v>1536.835</v>
      </c>
      <c r="E65">
        <v>1456.9849999999999</v>
      </c>
      <c r="F65">
        <v>1711.153</v>
      </c>
      <c r="H65" s="2">
        <f t="shared" si="0"/>
        <v>1640.7955999999999</v>
      </c>
      <c r="I65" s="2">
        <f t="shared" si="1"/>
        <v>71.308098992751169</v>
      </c>
      <c r="K65">
        <v>68.75</v>
      </c>
      <c r="L65">
        <v>1663.672</v>
      </c>
      <c r="M65">
        <v>1338.421</v>
      </c>
      <c r="N65">
        <v>1531.5329999999999</v>
      </c>
      <c r="O65">
        <v>1276.095</v>
      </c>
      <c r="P65">
        <v>1379.4680000000001</v>
      </c>
      <c r="R65" s="3">
        <f t="shared" si="2"/>
        <v>1437.8378</v>
      </c>
      <c r="S65" s="3">
        <f t="shared" si="3"/>
        <v>70.438392733934521</v>
      </c>
    </row>
    <row r="66" spans="1:19" x14ac:dyDescent="0.25">
      <c r="A66">
        <v>70</v>
      </c>
      <c r="B66">
        <v>1802.6669999999999</v>
      </c>
      <c r="C66">
        <v>1599.452</v>
      </c>
      <c r="D66">
        <v>1524.6980000000001</v>
      </c>
      <c r="E66">
        <v>1459.355</v>
      </c>
      <c r="F66">
        <v>1644.3109999999999</v>
      </c>
      <c r="H66" s="2">
        <f t="shared" si="0"/>
        <v>1606.0966000000001</v>
      </c>
      <c r="I66" s="2">
        <f t="shared" si="1"/>
        <v>58.439388465828394</v>
      </c>
      <c r="K66">
        <v>70</v>
      </c>
      <c r="L66">
        <v>1653.241</v>
      </c>
      <c r="M66">
        <v>1320.9970000000001</v>
      </c>
      <c r="N66">
        <v>1526.654</v>
      </c>
      <c r="O66">
        <v>1261.0219999999999</v>
      </c>
      <c r="P66">
        <v>1376.2840000000001</v>
      </c>
      <c r="R66" s="3">
        <f t="shared" si="2"/>
        <v>1427.6396</v>
      </c>
      <c r="S66" s="3">
        <f t="shared" si="3"/>
        <v>71.579085459790548</v>
      </c>
    </row>
    <row r="67" spans="1:19" x14ac:dyDescent="0.25">
      <c r="A67">
        <v>71.25</v>
      </c>
      <c r="B67">
        <v>1767.867</v>
      </c>
      <c r="C67">
        <v>1575.7750000000001</v>
      </c>
      <c r="D67">
        <v>1511.6110000000001</v>
      </c>
      <c r="E67">
        <v>1449.893</v>
      </c>
      <c r="F67">
        <v>1607.7460000000001</v>
      </c>
      <c r="H67" s="2">
        <f t="shared" si="0"/>
        <v>1582.5783999999999</v>
      </c>
      <c r="I67" s="2">
        <f t="shared" si="1"/>
        <v>53.690477213003035</v>
      </c>
      <c r="K67">
        <v>71.25</v>
      </c>
      <c r="L67">
        <v>1638.3820000000001</v>
      </c>
      <c r="M67">
        <v>1314.75</v>
      </c>
      <c r="N67">
        <v>1513.9749999999999</v>
      </c>
      <c r="O67">
        <v>1243.5250000000001</v>
      </c>
      <c r="P67">
        <v>1360.2829999999999</v>
      </c>
      <c r="R67" s="3">
        <f t="shared" si="2"/>
        <v>1414.1829999999998</v>
      </c>
      <c r="S67" s="3">
        <f t="shared" si="3"/>
        <v>71.463249057820519</v>
      </c>
    </row>
    <row r="68" spans="1:19" x14ac:dyDescent="0.25">
      <c r="A68">
        <v>72.5</v>
      </c>
      <c r="B68">
        <v>1746.8810000000001</v>
      </c>
      <c r="C68">
        <v>1562.26</v>
      </c>
      <c r="D68">
        <v>1501.385</v>
      </c>
      <c r="E68">
        <v>1433.2860000000001</v>
      </c>
      <c r="F68">
        <v>1590.4290000000001</v>
      </c>
      <c r="H68" s="2">
        <f t="shared" si="0"/>
        <v>1566.8481999999999</v>
      </c>
      <c r="I68" s="2">
        <f t="shared" si="1"/>
        <v>52.494383798078829</v>
      </c>
      <c r="K68">
        <v>72.5</v>
      </c>
      <c r="L68">
        <v>1627.913</v>
      </c>
      <c r="M68">
        <v>1290.7239999999999</v>
      </c>
      <c r="N68">
        <v>1499.596</v>
      </c>
      <c r="O68">
        <v>1227.788</v>
      </c>
      <c r="P68">
        <v>1345.085</v>
      </c>
      <c r="R68" s="3">
        <f t="shared" si="2"/>
        <v>1398.2212000000002</v>
      </c>
      <c r="S68" s="3">
        <f t="shared" si="3"/>
        <v>72.959493036478094</v>
      </c>
    </row>
    <row r="69" spans="1:19" x14ac:dyDescent="0.25">
      <c r="A69">
        <v>73.75</v>
      </c>
      <c r="B69">
        <v>1747.9749999999999</v>
      </c>
      <c r="C69">
        <v>1563.1320000000001</v>
      </c>
      <c r="D69">
        <v>1498.9</v>
      </c>
      <c r="E69">
        <v>1425.566</v>
      </c>
      <c r="F69">
        <v>1579.44</v>
      </c>
      <c r="H69" s="2">
        <f t="shared" ref="H69:H96" si="4">AVERAGE(B69:F69)</f>
        <v>1563.0025999999998</v>
      </c>
      <c r="I69" s="2">
        <f t="shared" ref="I69:I96" si="5">STDEV(B69:F69)/SQRT(COUNT(B69:F69))</f>
        <v>53.611079065431966</v>
      </c>
      <c r="K69">
        <v>73.75</v>
      </c>
      <c r="L69">
        <v>1625.9559999999999</v>
      </c>
      <c r="M69">
        <v>1280.3920000000001</v>
      </c>
      <c r="N69">
        <v>1493.4839999999999</v>
      </c>
      <c r="O69">
        <v>1217.261</v>
      </c>
      <c r="P69">
        <v>1340.028</v>
      </c>
      <c r="R69" s="3">
        <f t="shared" ref="R69:R96" si="6">AVERAGE(L69:P69)</f>
        <v>1391.4242000000002</v>
      </c>
      <c r="S69" s="3">
        <f t="shared" ref="S69:S96" si="7">STDEV(L69:P69)/SQRT(COUNT(L69:P69))</f>
        <v>74.405613710524932</v>
      </c>
    </row>
    <row r="70" spans="1:19" x14ac:dyDescent="0.25">
      <c r="A70">
        <v>75</v>
      </c>
      <c r="B70">
        <v>1815.0060000000001</v>
      </c>
      <c r="C70">
        <v>1624.8589999999999</v>
      </c>
      <c r="D70">
        <v>1548.8389999999999</v>
      </c>
      <c r="E70">
        <v>1469.096</v>
      </c>
      <c r="F70">
        <v>1624.712</v>
      </c>
      <c r="H70" s="2">
        <f t="shared" si="4"/>
        <v>1616.5023999999999</v>
      </c>
      <c r="I70" s="2">
        <f t="shared" si="5"/>
        <v>57.379391757494261</v>
      </c>
      <c r="K70">
        <v>75</v>
      </c>
      <c r="L70">
        <v>1681.3219999999999</v>
      </c>
      <c r="M70">
        <v>1343.21</v>
      </c>
      <c r="N70">
        <v>1529.2449999999999</v>
      </c>
      <c r="O70">
        <v>1266.0260000000001</v>
      </c>
      <c r="P70">
        <v>1382.2550000000001</v>
      </c>
      <c r="R70" s="3">
        <f t="shared" si="6"/>
        <v>1440.4115999999999</v>
      </c>
      <c r="S70" s="3">
        <f t="shared" si="7"/>
        <v>73.881618971568784</v>
      </c>
    </row>
    <row r="71" spans="1:19" x14ac:dyDescent="0.25">
      <c r="A71">
        <v>76.25</v>
      </c>
      <c r="B71">
        <v>1962.251</v>
      </c>
      <c r="C71">
        <v>1806.7159999999999</v>
      </c>
      <c r="D71">
        <v>1745.3689999999999</v>
      </c>
      <c r="E71">
        <v>1595.5540000000001</v>
      </c>
      <c r="F71">
        <v>1768.087</v>
      </c>
      <c r="H71" s="2">
        <f t="shared" si="4"/>
        <v>1775.5953999999997</v>
      </c>
      <c r="I71" s="2">
        <f t="shared" si="5"/>
        <v>58.819096302646457</v>
      </c>
      <c r="K71">
        <v>76.25</v>
      </c>
      <c r="L71">
        <v>1834.6289999999999</v>
      </c>
      <c r="M71">
        <v>1514.8689999999999</v>
      </c>
      <c r="N71">
        <v>1699.921</v>
      </c>
      <c r="O71">
        <v>1436.877</v>
      </c>
      <c r="P71">
        <v>1546.252</v>
      </c>
      <c r="R71" s="3">
        <f t="shared" si="6"/>
        <v>1606.5096000000001</v>
      </c>
      <c r="S71" s="3">
        <f t="shared" si="7"/>
        <v>71.263015377964464</v>
      </c>
    </row>
    <row r="72" spans="1:19" x14ac:dyDescent="0.25">
      <c r="A72">
        <v>77.5</v>
      </c>
      <c r="B72">
        <v>2049.752</v>
      </c>
      <c r="C72">
        <v>1923.201</v>
      </c>
      <c r="D72">
        <v>1865.1980000000001</v>
      </c>
      <c r="E72">
        <v>1707.6590000000001</v>
      </c>
      <c r="F72">
        <v>1865.7380000000001</v>
      </c>
      <c r="H72" s="2">
        <f t="shared" si="4"/>
        <v>1882.3095999999998</v>
      </c>
      <c r="I72" s="2">
        <f t="shared" si="5"/>
        <v>55.126817781003801</v>
      </c>
      <c r="K72">
        <v>77.5</v>
      </c>
      <c r="L72">
        <v>1951.566</v>
      </c>
      <c r="M72">
        <v>1630.4559999999999</v>
      </c>
      <c r="N72">
        <v>1860.646</v>
      </c>
      <c r="O72">
        <v>1548.56</v>
      </c>
      <c r="P72">
        <v>1690.797</v>
      </c>
      <c r="R72" s="3">
        <f t="shared" si="6"/>
        <v>1736.405</v>
      </c>
      <c r="S72" s="3">
        <f t="shared" si="7"/>
        <v>74.270150899267747</v>
      </c>
    </row>
    <row r="73" spans="1:19" x14ac:dyDescent="0.25">
      <c r="A73">
        <v>78.75</v>
      </c>
      <c r="B73">
        <v>2001.713</v>
      </c>
      <c r="C73">
        <v>1874.4259999999999</v>
      </c>
      <c r="D73">
        <v>1810.7080000000001</v>
      </c>
      <c r="E73">
        <v>1677.7159999999999</v>
      </c>
      <c r="F73">
        <v>1834.654</v>
      </c>
      <c r="H73" s="2">
        <f t="shared" si="4"/>
        <v>1839.8434000000002</v>
      </c>
      <c r="I73" s="2">
        <f t="shared" si="5"/>
        <v>52.229694074922556</v>
      </c>
      <c r="K73">
        <v>78.75</v>
      </c>
      <c r="L73">
        <v>1922.636</v>
      </c>
      <c r="M73">
        <v>1580.078</v>
      </c>
      <c r="N73">
        <v>1827.654</v>
      </c>
      <c r="O73">
        <v>1506.17</v>
      </c>
      <c r="P73">
        <v>1628.6210000000001</v>
      </c>
      <c r="R73" s="3">
        <f t="shared" si="6"/>
        <v>1693.0318</v>
      </c>
      <c r="S73" s="3">
        <f t="shared" si="7"/>
        <v>78.315346446529858</v>
      </c>
    </row>
    <row r="74" spans="1:19" x14ac:dyDescent="0.25">
      <c r="A74">
        <v>80</v>
      </c>
      <c r="B74">
        <v>1913.3420000000001</v>
      </c>
      <c r="C74">
        <v>1795.5440000000001</v>
      </c>
      <c r="D74">
        <v>1745.0640000000001</v>
      </c>
      <c r="E74">
        <v>1630.5830000000001</v>
      </c>
      <c r="F74">
        <v>1764.0920000000001</v>
      </c>
      <c r="H74" s="2">
        <f t="shared" si="4"/>
        <v>1769.7250000000004</v>
      </c>
      <c r="I74" s="2">
        <f t="shared" si="5"/>
        <v>45.438340211763901</v>
      </c>
      <c r="K74">
        <v>80</v>
      </c>
      <c r="L74">
        <v>1846.239</v>
      </c>
      <c r="M74">
        <v>1499.3920000000001</v>
      </c>
      <c r="N74">
        <v>1742.61</v>
      </c>
      <c r="O74">
        <v>1446.7550000000001</v>
      </c>
      <c r="P74">
        <v>1567.0740000000001</v>
      </c>
      <c r="R74" s="3">
        <f t="shared" si="6"/>
        <v>1620.414</v>
      </c>
      <c r="S74" s="3">
        <f t="shared" si="7"/>
        <v>75.358384207067473</v>
      </c>
    </row>
    <row r="75" spans="1:19" x14ac:dyDescent="0.25">
      <c r="A75">
        <v>81.25</v>
      </c>
      <c r="B75">
        <v>1988.338</v>
      </c>
      <c r="C75">
        <v>2010.248</v>
      </c>
      <c r="D75">
        <v>1910.0609999999999</v>
      </c>
      <c r="E75">
        <v>1878.9929999999999</v>
      </c>
      <c r="F75">
        <v>1877.86</v>
      </c>
      <c r="H75" s="2">
        <f t="shared" si="4"/>
        <v>1933.1</v>
      </c>
      <c r="I75" s="2">
        <f t="shared" si="5"/>
        <v>27.850378020773817</v>
      </c>
      <c r="K75">
        <v>81.25</v>
      </c>
      <c r="L75">
        <v>1986.566</v>
      </c>
      <c r="M75">
        <v>1698.65</v>
      </c>
      <c r="N75">
        <v>1934.8340000000001</v>
      </c>
      <c r="O75">
        <v>1705.366</v>
      </c>
      <c r="P75">
        <v>1837.28</v>
      </c>
      <c r="R75" s="3">
        <f t="shared" si="6"/>
        <v>1832.5391999999999</v>
      </c>
      <c r="S75" s="3">
        <f t="shared" si="7"/>
        <v>58.442406300904473</v>
      </c>
    </row>
    <row r="76" spans="1:19" x14ac:dyDescent="0.25">
      <c r="A76">
        <v>82.5</v>
      </c>
      <c r="B76">
        <v>2470.7750000000001</v>
      </c>
      <c r="C76">
        <v>2806.0889999999999</v>
      </c>
      <c r="D76">
        <v>2564.41</v>
      </c>
      <c r="E76">
        <v>2658.5540000000001</v>
      </c>
      <c r="F76">
        <v>2479.902</v>
      </c>
      <c r="H76" s="2">
        <f t="shared" si="4"/>
        <v>2595.9459999999999</v>
      </c>
      <c r="I76" s="2">
        <f t="shared" si="5"/>
        <v>62.533331346570669</v>
      </c>
      <c r="K76">
        <v>82.5</v>
      </c>
      <c r="L76">
        <v>2578.1439999999998</v>
      </c>
      <c r="M76">
        <v>2487.7130000000002</v>
      </c>
      <c r="N76">
        <v>2778.0239999999999</v>
      </c>
      <c r="O76">
        <v>2503.1799999999998</v>
      </c>
      <c r="P76">
        <v>2719.5030000000002</v>
      </c>
      <c r="R76" s="3">
        <f t="shared" si="6"/>
        <v>2613.3128000000002</v>
      </c>
      <c r="S76" s="3">
        <f t="shared" si="7"/>
        <v>58.115198472860783</v>
      </c>
    </row>
    <row r="77" spans="1:19" x14ac:dyDescent="0.25">
      <c r="A77">
        <v>83.75</v>
      </c>
      <c r="B77">
        <v>3143.252</v>
      </c>
      <c r="C77">
        <v>3919.1849999999999</v>
      </c>
      <c r="D77">
        <v>3656.21</v>
      </c>
      <c r="E77">
        <v>3789.9879999999998</v>
      </c>
      <c r="F77">
        <v>3379.3420000000001</v>
      </c>
      <c r="H77" s="2">
        <f t="shared" si="4"/>
        <v>3577.5953999999997</v>
      </c>
      <c r="I77" s="2">
        <f t="shared" si="5"/>
        <v>140.70055551262047</v>
      </c>
      <c r="K77">
        <v>83.75</v>
      </c>
      <c r="L77">
        <v>3576.1729999999998</v>
      </c>
      <c r="M77">
        <v>3528.049</v>
      </c>
      <c r="N77">
        <v>3960.9189999999999</v>
      </c>
      <c r="O77">
        <v>3506.2350000000001</v>
      </c>
      <c r="P77">
        <v>3825.9920000000002</v>
      </c>
      <c r="R77" s="3">
        <f t="shared" si="6"/>
        <v>3679.4736000000003</v>
      </c>
      <c r="S77" s="3">
        <f t="shared" si="7"/>
        <v>90.634207310264472</v>
      </c>
    </row>
    <row r="78" spans="1:19" x14ac:dyDescent="0.25">
      <c r="A78">
        <v>85</v>
      </c>
      <c r="B78">
        <v>3607.047</v>
      </c>
      <c r="C78">
        <v>4738.9780000000001</v>
      </c>
      <c r="D78">
        <v>4673.3959999999997</v>
      </c>
      <c r="E78">
        <v>4591.7160000000003</v>
      </c>
      <c r="F78">
        <v>3973.3449999999998</v>
      </c>
      <c r="H78" s="2">
        <f t="shared" si="4"/>
        <v>4316.8963999999996</v>
      </c>
      <c r="I78" s="2">
        <f t="shared" si="5"/>
        <v>223.90672048033807</v>
      </c>
      <c r="K78">
        <v>85</v>
      </c>
      <c r="L78">
        <v>4281.2690000000002</v>
      </c>
      <c r="M78">
        <v>4301.884</v>
      </c>
      <c r="N78">
        <v>4814.1840000000002</v>
      </c>
      <c r="O78">
        <v>4229.3810000000003</v>
      </c>
      <c r="P78">
        <v>4671.1509999999998</v>
      </c>
      <c r="R78" s="3">
        <f t="shared" si="6"/>
        <v>4459.5738000000001</v>
      </c>
      <c r="S78" s="3">
        <f t="shared" si="7"/>
        <v>118.3555460049929</v>
      </c>
    </row>
    <row r="79" spans="1:19" x14ac:dyDescent="0.25">
      <c r="A79">
        <v>86.25</v>
      </c>
      <c r="B79">
        <v>3608.7950000000001</v>
      </c>
      <c r="C79">
        <v>4852.2759999999998</v>
      </c>
      <c r="D79">
        <v>4983.5550000000003</v>
      </c>
      <c r="E79">
        <v>4764.6210000000001</v>
      </c>
      <c r="F79">
        <v>4018.221</v>
      </c>
      <c r="H79" s="2">
        <f t="shared" si="4"/>
        <v>4445.4935999999998</v>
      </c>
      <c r="I79" s="2">
        <f t="shared" si="5"/>
        <v>268.27697539140456</v>
      </c>
      <c r="K79">
        <v>86.25</v>
      </c>
      <c r="L79">
        <v>4423.6030000000001</v>
      </c>
      <c r="M79">
        <v>4453.9449999999997</v>
      </c>
      <c r="N79">
        <v>5186.0119999999997</v>
      </c>
      <c r="O79">
        <v>4362.7619999999997</v>
      </c>
      <c r="P79">
        <v>4829.5169999999998</v>
      </c>
      <c r="R79" s="3">
        <f t="shared" si="6"/>
        <v>4651.1677999999993</v>
      </c>
      <c r="S79" s="3">
        <f t="shared" si="7"/>
        <v>156.80038774295167</v>
      </c>
    </row>
    <row r="80" spans="1:19" x14ac:dyDescent="0.25">
      <c r="A80">
        <v>87.5</v>
      </c>
      <c r="B80">
        <v>3202.5610000000001</v>
      </c>
      <c r="C80">
        <v>4312.848</v>
      </c>
      <c r="D80">
        <v>4490.2719999999999</v>
      </c>
      <c r="E80">
        <v>4257.6310000000003</v>
      </c>
      <c r="F80">
        <v>3552.355</v>
      </c>
      <c r="H80" s="2">
        <f t="shared" si="4"/>
        <v>3963.1334000000002</v>
      </c>
      <c r="I80" s="2">
        <f t="shared" si="5"/>
        <v>248.40627115847974</v>
      </c>
      <c r="K80">
        <v>87.5</v>
      </c>
      <c r="L80">
        <v>3952.239</v>
      </c>
      <c r="M80">
        <v>4020.085</v>
      </c>
      <c r="N80">
        <v>4758.47</v>
      </c>
      <c r="O80">
        <v>3878.7150000000001</v>
      </c>
      <c r="P80">
        <v>4283.3530000000001</v>
      </c>
      <c r="R80" s="3">
        <f t="shared" si="6"/>
        <v>4178.5724</v>
      </c>
      <c r="S80" s="3">
        <f t="shared" si="7"/>
        <v>160.23728106642352</v>
      </c>
    </row>
    <row r="81" spans="1:19" x14ac:dyDescent="0.25">
      <c r="A81">
        <v>88.75</v>
      </c>
      <c r="B81">
        <v>2730.0509999999999</v>
      </c>
      <c r="C81">
        <v>3470.5720000000001</v>
      </c>
      <c r="D81">
        <v>3619.2260000000001</v>
      </c>
      <c r="E81">
        <v>3468.4360000000001</v>
      </c>
      <c r="F81">
        <v>2941.9789999999998</v>
      </c>
      <c r="H81" s="2">
        <f t="shared" si="4"/>
        <v>3246.0527999999999</v>
      </c>
      <c r="I81" s="2">
        <f t="shared" si="5"/>
        <v>172.89304923258192</v>
      </c>
      <c r="K81">
        <v>88.75</v>
      </c>
      <c r="L81">
        <v>3230.9780000000001</v>
      </c>
      <c r="M81">
        <v>3234.674</v>
      </c>
      <c r="N81">
        <v>3998.2130000000002</v>
      </c>
      <c r="O81">
        <v>3141.2020000000002</v>
      </c>
      <c r="P81">
        <v>3369.8739999999998</v>
      </c>
      <c r="R81" s="3">
        <f t="shared" si="6"/>
        <v>3394.9881999999998</v>
      </c>
      <c r="S81" s="3">
        <f t="shared" si="7"/>
        <v>155.16415599499777</v>
      </c>
    </row>
    <row r="82" spans="1:19" x14ac:dyDescent="0.25">
      <c r="A82">
        <v>90</v>
      </c>
      <c r="B82">
        <v>2519.3249999999998</v>
      </c>
      <c r="C82">
        <v>3212.625</v>
      </c>
      <c r="D82">
        <v>3268.3829999999998</v>
      </c>
      <c r="E82">
        <v>3112.96</v>
      </c>
      <c r="F82">
        <v>2739.3150000000001</v>
      </c>
      <c r="H82" s="2">
        <f t="shared" si="4"/>
        <v>2970.5215999999996</v>
      </c>
      <c r="I82" s="2">
        <f t="shared" si="5"/>
        <v>145.71531001085646</v>
      </c>
      <c r="K82">
        <v>90</v>
      </c>
      <c r="L82">
        <v>2869.48</v>
      </c>
      <c r="M82">
        <v>2767.88</v>
      </c>
      <c r="N82">
        <v>3273.0320000000002</v>
      </c>
      <c r="O82">
        <v>2791.6260000000002</v>
      </c>
      <c r="P82">
        <v>2982.41</v>
      </c>
      <c r="R82" s="3">
        <f t="shared" si="6"/>
        <v>2936.8856000000001</v>
      </c>
      <c r="S82" s="3">
        <f t="shared" si="7"/>
        <v>91.998269647640655</v>
      </c>
    </row>
    <row r="83" spans="1:19" x14ac:dyDescent="0.25">
      <c r="A83">
        <v>91.25</v>
      </c>
      <c r="B83">
        <v>2575.3110000000001</v>
      </c>
      <c r="C83">
        <v>3597.0360000000001</v>
      </c>
      <c r="D83">
        <v>3681.5169999999998</v>
      </c>
      <c r="E83">
        <v>3510.9540000000002</v>
      </c>
      <c r="F83">
        <v>2869.9859999999999</v>
      </c>
      <c r="H83" s="2">
        <f t="shared" si="4"/>
        <v>3246.9607999999998</v>
      </c>
      <c r="I83" s="2">
        <f t="shared" si="5"/>
        <v>220.71560886520933</v>
      </c>
      <c r="K83">
        <v>91.25</v>
      </c>
      <c r="L83">
        <v>2979.1750000000002</v>
      </c>
      <c r="M83">
        <v>3017.8670000000002</v>
      </c>
      <c r="N83">
        <v>3478.8180000000002</v>
      </c>
      <c r="O83">
        <v>3085.9630000000002</v>
      </c>
      <c r="P83">
        <v>3308.1309999999999</v>
      </c>
      <c r="R83" s="3">
        <f t="shared" si="6"/>
        <v>3173.9908</v>
      </c>
      <c r="S83" s="3">
        <f t="shared" si="7"/>
        <v>95.128845663342275</v>
      </c>
    </row>
    <row r="84" spans="1:19" x14ac:dyDescent="0.25">
      <c r="A84">
        <v>92.5</v>
      </c>
      <c r="B84">
        <v>2781.4369999999999</v>
      </c>
      <c r="C84">
        <v>4037.3870000000002</v>
      </c>
      <c r="D84">
        <v>4238.143</v>
      </c>
      <c r="E84">
        <v>4097.2510000000002</v>
      </c>
      <c r="F84">
        <v>3072.3029999999999</v>
      </c>
      <c r="H84" s="2">
        <f t="shared" si="4"/>
        <v>3645.3042</v>
      </c>
      <c r="I84" s="2">
        <f t="shared" si="5"/>
        <v>298.66700431323221</v>
      </c>
      <c r="K84">
        <v>92.5</v>
      </c>
      <c r="L84">
        <v>3281.9789999999998</v>
      </c>
      <c r="M84">
        <v>3520.8380000000002</v>
      </c>
      <c r="N84">
        <v>4087.4569999999999</v>
      </c>
      <c r="O84">
        <v>3569.4549999999999</v>
      </c>
      <c r="P84">
        <v>3862.5830000000001</v>
      </c>
      <c r="R84" s="3">
        <f t="shared" si="6"/>
        <v>3664.4623999999994</v>
      </c>
      <c r="S84" s="3">
        <f t="shared" si="7"/>
        <v>140.3787963652631</v>
      </c>
    </row>
    <row r="85" spans="1:19" x14ac:dyDescent="0.25">
      <c r="A85">
        <v>93.75</v>
      </c>
      <c r="B85">
        <v>3183.5509999999999</v>
      </c>
      <c r="C85">
        <v>4225.8270000000002</v>
      </c>
      <c r="D85">
        <v>4489.5789999999997</v>
      </c>
      <c r="E85">
        <v>4377.5889999999999</v>
      </c>
      <c r="F85">
        <v>3247.8870000000002</v>
      </c>
      <c r="H85" s="2">
        <f t="shared" si="4"/>
        <v>3904.8866000000003</v>
      </c>
      <c r="I85" s="2">
        <f t="shared" si="5"/>
        <v>284.6303764677271</v>
      </c>
      <c r="K85">
        <v>93.75</v>
      </c>
      <c r="L85">
        <v>3526.58</v>
      </c>
      <c r="M85">
        <v>3803.953</v>
      </c>
      <c r="N85">
        <v>4510.0360000000001</v>
      </c>
      <c r="O85">
        <v>3838.248</v>
      </c>
      <c r="P85">
        <v>4200.8710000000001</v>
      </c>
      <c r="R85" s="3">
        <f t="shared" si="6"/>
        <v>3975.9375999999997</v>
      </c>
      <c r="S85" s="3">
        <f t="shared" si="7"/>
        <v>171.21850317375166</v>
      </c>
    </row>
    <row r="86" spans="1:19" x14ac:dyDescent="0.25">
      <c r="A86">
        <v>95</v>
      </c>
      <c r="B86">
        <v>3635.9119999999998</v>
      </c>
      <c r="C86">
        <v>4110.1639999999998</v>
      </c>
      <c r="D86">
        <v>4357.7809999999999</v>
      </c>
      <c r="E86">
        <v>4243.8100000000004</v>
      </c>
      <c r="F86">
        <v>3464.614</v>
      </c>
      <c r="H86" s="2">
        <f t="shared" si="4"/>
        <v>3962.4562000000005</v>
      </c>
      <c r="I86" s="2">
        <f t="shared" si="5"/>
        <v>174.89099792510765</v>
      </c>
      <c r="K86">
        <v>95</v>
      </c>
      <c r="L86">
        <v>3692.4549999999999</v>
      </c>
      <c r="M86">
        <v>3753.3090000000002</v>
      </c>
      <c r="N86">
        <v>4517.9219999999996</v>
      </c>
      <c r="O86">
        <v>3759.3870000000002</v>
      </c>
      <c r="P86">
        <v>4119.2790000000005</v>
      </c>
      <c r="R86" s="3">
        <f t="shared" si="6"/>
        <v>3968.4703999999997</v>
      </c>
      <c r="S86" s="3">
        <f t="shared" si="7"/>
        <v>156.65808179267347</v>
      </c>
    </row>
    <row r="87" spans="1:19" x14ac:dyDescent="0.25">
      <c r="A87">
        <v>96.25</v>
      </c>
      <c r="B87">
        <v>4077.107</v>
      </c>
      <c r="C87">
        <v>3983.5639999999999</v>
      </c>
      <c r="D87">
        <v>4100.8040000000001</v>
      </c>
      <c r="E87">
        <v>3959.72</v>
      </c>
      <c r="F87">
        <v>3773.7779999999998</v>
      </c>
      <c r="H87" s="2">
        <f t="shared" si="4"/>
        <v>3978.9945999999995</v>
      </c>
      <c r="I87" s="2">
        <f t="shared" si="5"/>
        <v>57.86614532660704</v>
      </c>
      <c r="K87">
        <v>96.25</v>
      </c>
      <c r="L87">
        <v>3843.53</v>
      </c>
      <c r="M87">
        <v>3519.0259999999998</v>
      </c>
      <c r="N87">
        <v>4258.5940000000001</v>
      </c>
      <c r="O87">
        <v>3506.2</v>
      </c>
      <c r="P87">
        <v>3829.56</v>
      </c>
      <c r="R87" s="3">
        <f t="shared" si="6"/>
        <v>3791.3820000000005</v>
      </c>
      <c r="S87" s="3">
        <f t="shared" si="7"/>
        <v>137.47192265913799</v>
      </c>
    </row>
    <row r="88" spans="1:19" x14ac:dyDescent="0.25">
      <c r="A88">
        <v>97.5</v>
      </c>
      <c r="B88">
        <v>4492.1220000000003</v>
      </c>
      <c r="C88">
        <v>4101.3119999999999</v>
      </c>
      <c r="D88">
        <v>4045.248</v>
      </c>
      <c r="E88">
        <v>3885.7840000000001</v>
      </c>
      <c r="F88">
        <v>4116.2020000000002</v>
      </c>
      <c r="H88" s="2">
        <f t="shared" si="4"/>
        <v>4128.1336000000001</v>
      </c>
      <c r="I88" s="2">
        <f t="shared" si="5"/>
        <v>99.737823303699628</v>
      </c>
      <c r="K88">
        <v>97.5</v>
      </c>
      <c r="L88">
        <v>4168.0789999999997</v>
      </c>
      <c r="M88">
        <v>3500.268</v>
      </c>
      <c r="N88">
        <v>4062.7919999999999</v>
      </c>
      <c r="O88">
        <v>3425.5529999999999</v>
      </c>
      <c r="P88">
        <v>3675.9929999999999</v>
      </c>
      <c r="R88" s="3">
        <f t="shared" si="6"/>
        <v>3766.5369999999994</v>
      </c>
      <c r="S88" s="3">
        <f t="shared" si="7"/>
        <v>149.05879500083176</v>
      </c>
    </row>
    <row r="89" spans="1:19" x14ac:dyDescent="0.25">
      <c r="A89">
        <v>98.75</v>
      </c>
      <c r="B89">
        <v>4756.7529999999997</v>
      </c>
      <c r="C89">
        <v>4362.3440000000001</v>
      </c>
      <c r="D89">
        <v>4222.826</v>
      </c>
      <c r="E89">
        <v>4080.17</v>
      </c>
      <c r="F89">
        <v>4389.6329999999998</v>
      </c>
      <c r="H89" s="2">
        <f t="shared" si="4"/>
        <v>4362.3452000000007</v>
      </c>
      <c r="I89" s="2">
        <f t="shared" si="5"/>
        <v>113.00234231970585</v>
      </c>
      <c r="K89">
        <v>98.75</v>
      </c>
      <c r="L89">
        <v>4515.53</v>
      </c>
      <c r="M89">
        <v>3714.41</v>
      </c>
      <c r="N89">
        <v>4174.4179999999997</v>
      </c>
      <c r="O89">
        <v>3583.6170000000002</v>
      </c>
      <c r="P89">
        <v>3832.7579999999998</v>
      </c>
      <c r="R89" s="3">
        <f t="shared" si="6"/>
        <v>3964.1466</v>
      </c>
      <c r="S89" s="3">
        <f t="shared" si="7"/>
        <v>169.21463079757606</v>
      </c>
    </row>
    <row r="90" spans="1:19" x14ac:dyDescent="0.25">
      <c r="A90">
        <v>100</v>
      </c>
      <c r="B90">
        <v>4774.7190000000001</v>
      </c>
      <c r="C90">
        <v>4510.741</v>
      </c>
      <c r="D90">
        <v>4392.3670000000002</v>
      </c>
      <c r="E90">
        <v>4213.9979999999996</v>
      </c>
      <c r="F90">
        <v>4476.4520000000002</v>
      </c>
      <c r="H90" s="2">
        <f t="shared" si="4"/>
        <v>4473.6553999999996</v>
      </c>
      <c r="I90" s="2">
        <f t="shared" si="5"/>
        <v>91.118665292353853</v>
      </c>
      <c r="K90">
        <v>100</v>
      </c>
      <c r="L90">
        <v>4666.8969999999999</v>
      </c>
      <c r="M90">
        <v>3855.0140000000001</v>
      </c>
      <c r="N90">
        <v>4335.43</v>
      </c>
      <c r="O90">
        <v>3704.067</v>
      </c>
      <c r="P90">
        <v>3980.0830000000001</v>
      </c>
      <c r="R90" s="3">
        <f t="shared" si="6"/>
        <v>4108.2981999999993</v>
      </c>
      <c r="S90" s="3">
        <f t="shared" si="7"/>
        <v>174.30094097089665</v>
      </c>
    </row>
    <row r="91" spans="1:19" x14ac:dyDescent="0.25">
      <c r="A91">
        <v>101.25</v>
      </c>
      <c r="B91">
        <v>4462.9350000000004</v>
      </c>
      <c r="C91">
        <v>4290.009</v>
      </c>
      <c r="D91">
        <v>4218.1329999999998</v>
      </c>
      <c r="E91">
        <v>4046.8440000000001</v>
      </c>
      <c r="F91">
        <v>4264.8320000000003</v>
      </c>
      <c r="H91" s="2">
        <f t="shared" si="4"/>
        <v>4256.5505999999996</v>
      </c>
      <c r="I91" s="2">
        <f t="shared" si="5"/>
        <v>66.796458271827618</v>
      </c>
      <c r="K91">
        <v>101.25</v>
      </c>
      <c r="L91">
        <v>4460.7520000000004</v>
      </c>
      <c r="M91">
        <v>3685.962</v>
      </c>
      <c r="N91">
        <v>4198.5749999999998</v>
      </c>
      <c r="O91">
        <v>3576.4830000000002</v>
      </c>
      <c r="P91">
        <v>3839.9929999999999</v>
      </c>
      <c r="R91" s="3">
        <f t="shared" si="6"/>
        <v>3952.3530000000001</v>
      </c>
      <c r="S91" s="3">
        <f t="shared" si="7"/>
        <v>164.91846589542362</v>
      </c>
    </row>
    <row r="92" spans="1:19" x14ac:dyDescent="0.25">
      <c r="A92">
        <v>102.5</v>
      </c>
      <c r="B92">
        <v>3972.5940000000001</v>
      </c>
      <c r="C92">
        <v>3850.7420000000002</v>
      </c>
      <c r="D92">
        <v>3798.489</v>
      </c>
      <c r="E92">
        <v>3662.337</v>
      </c>
      <c r="F92">
        <v>3868.7660000000001</v>
      </c>
      <c r="H92" s="2">
        <f t="shared" si="4"/>
        <v>3830.5855999999999</v>
      </c>
      <c r="I92" s="2">
        <f t="shared" si="5"/>
        <v>50.67947918497191</v>
      </c>
      <c r="K92">
        <v>102.5</v>
      </c>
      <c r="L92">
        <v>4056.83</v>
      </c>
      <c r="M92">
        <v>3330.9450000000002</v>
      </c>
      <c r="N92">
        <v>3832.9270000000001</v>
      </c>
      <c r="O92">
        <v>3235.8780000000002</v>
      </c>
      <c r="P92">
        <v>3498.67</v>
      </c>
      <c r="R92" s="3">
        <f t="shared" si="6"/>
        <v>3591.05</v>
      </c>
      <c r="S92" s="3">
        <f t="shared" si="7"/>
        <v>154.562498125839</v>
      </c>
    </row>
    <row r="93" spans="1:19" x14ac:dyDescent="0.25">
      <c r="A93">
        <v>103.75</v>
      </c>
      <c r="B93">
        <v>3429.8249999999998</v>
      </c>
      <c r="C93">
        <v>3348.0030000000002</v>
      </c>
      <c r="D93">
        <v>3274.3310000000001</v>
      </c>
      <c r="E93">
        <v>3186.6579999999999</v>
      </c>
      <c r="F93">
        <v>3365.3919999999998</v>
      </c>
      <c r="H93" s="2">
        <f t="shared" si="4"/>
        <v>3320.8417999999997</v>
      </c>
      <c r="I93" s="2">
        <f t="shared" si="5"/>
        <v>41.694325565237271</v>
      </c>
      <c r="K93">
        <v>103.75</v>
      </c>
      <c r="L93">
        <v>3542.7939999999999</v>
      </c>
      <c r="M93">
        <v>2897.4690000000001</v>
      </c>
      <c r="N93">
        <v>3341.2469999999998</v>
      </c>
      <c r="O93">
        <v>2799.2570000000001</v>
      </c>
      <c r="P93">
        <v>3054.2440000000001</v>
      </c>
      <c r="R93" s="3">
        <f t="shared" si="6"/>
        <v>3127.0021999999999</v>
      </c>
      <c r="S93" s="3">
        <f t="shared" si="7"/>
        <v>138.59650373779269</v>
      </c>
    </row>
    <row r="94" spans="1:19" x14ac:dyDescent="0.25">
      <c r="A94">
        <v>105</v>
      </c>
      <c r="B94">
        <v>3039.3319999999999</v>
      </c>
      <c r="C94">
        <v>2919.2959999999998</v>
      </c>
      <c r="D94">
        <v>2823.915</v>
      </c>
      <c r="E94">
        <v>2775.5839999999998</v>
      </c>
      <c r="F94">
        <v>2961.433</v>
      </c>
      <c r="H94" s="2">
        <f t="shared" si="4"/>
        <v>2903.9120000000003</v>
      </c>
      <c r="I94" s="2">
        <f t="shared" si="5"/>
        <v>47.303015173453794</v>
      </c>
      <c r="K94">
        <v>105</v>
      </c>
      <c r="L94">
        <v>3069.6109999999999</v>
      </c>
      <c r="M94">
        <v>2518.4499999999998</v>
      </c>
      <c r="N94">
        <v>2880.28</v>
      </c>
      <c r="O94">
        <v>2453.145</v>
      </c>
      <c r="P94">
        <v>2659.3389999999999</v>
      </c>
      <c r="R94" s="3">
        <f t="shared" si="6"/>
        <v>2716.165</v>
      </c>
      <c r="S94" s="3">
        <f t="shared" si="7"/>
        <v>114.75141481524315</v>
      </c>
    </row>
    <row r="95" spans="1:19" x14ac:dyDescent="0.25">
      <c r="A95">
        <v>106.25</v>
      </c>
      <c r="B95">
        <v>2848.0010000000002</v>
      </c>
      <c r="C95">
        <v>2697.6</v>
      </c>
      <c r="D95">
        <v>2614.1790000000001</v>
      </c>
      <c r="E95">
        <v>2555.7860000000001</v>
      </c>
      <c r="F95">
        <v>2759.2739999999999</v>
      </c>
      <c r="H95" s="2">
        <f t="shared" si="4"/>
        <v>2694.9679999999998</v>
      </c>
      <c r="I95" s="2">
        <f t="shared" si="5"/>
        <v>51.700957338331754</v>
      </c>
      <c r="K95">
        <v>106.25</v>
      </c>
      <c r="L95">
        <v>2867.0830000000001</v>
      </c>
      <c r="M95">
        <v>2323.1970000000001</v>
      </c>
      <c r="N95">
        <v>2612.1689999999999</v>
      </c>
      <c r="O95">
        <v>2286.3960000000002</v>
      </c>
      <c r="P95">
        <v>2449.0940000000001</v>
      </c>
      <c r="R95" s="3">
        <f t="shared" si="6"/>
        <v>2507.5878000000002</v>
      </c>
      <c r="S95" s="3">
        <f t="shared" si="7"/>
        <v>106.42399409127621</v>
      </c>
    </row>
    <row r="96" spans="1:19" x14ac:dyDescent="0.25">
      <c r="A96">
        <v>107.5</v>
      </c>
      <c r="B96">
        <v>2673.4650000000001</v>
      </c>
      <c r="C96">
        <v>2534.5650000000001</v>
      </c>
      <c r="D96">
        <v>2455.6619999999998</v>
      </c>
      <c r="E96">
        <v>2397.9560000000001</v>
      </c>
      <c r="F96">
        <v>2587.0929999999998</v>
      </c>
      <c r="H96" s="2">
        <f t="shared" si="4"/>
        <v>2529.7482000000005</v>
      </c>
      <c r="I96" s="2">
        <f t="shared" si="5"/>
        <v>48.385997593725406</v>
      </c>
      <c r="K96">
        <v>107.5</v>
      </c>
      <c r="L96">
        <v>2713.4690000000001</v>
      </c>
      <c r="M96">
        <v>2186.335</v>
      </c>
      <c r="N96">
        <v>2432.2779999999998</v>
      </c>
      <c r="O96">
        <v>2155.8629999999998</v>
      </c>
      <c r="P96">
        <v>2296.252</v>
      </c>
      <c r="R96" s="3">
        <f t="shared" si="6"/>
        <v>2356.8393999999998</v>
      </c>
      <c r="S96" s="3">
        <f t="shared" si="7"/>
        <v>101.49131755505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BRIGHT!OCT_RAW___\CO04\_dark_profiles_CO04_DARK</vt:lpstr>
      <vt:lpstr>BRIGHT!OCT_RAW___\CO04\_light_profiles_CO04_LIGHT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2019-11-17T03:16:33Z</dcterms:modified>
</cp:coreProperties>
</file>