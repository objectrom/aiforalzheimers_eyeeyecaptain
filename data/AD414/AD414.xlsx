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414\"/>
    </mc:Choice>
  </mc:AlternateContent>
  <xr:revisionPtr revIDLastSave="0" documentId="13_ncr:1_{9E3ACA6D-2195-4DCA-B4DB-90BB8387DE6B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5\_dark_profiles_AD15_DARK" localSheetId="0">BRIGHT!$A$2:$F$96</definedName>
    <definedName name="OCT_RAW___\AD15\_fovea_dark_profiles_AD15_DARK" localSheetId="0">BRIGHT!#REF!</definedName>
    <definedName name="OCT_RAW___\AD15\_fovea_light_profiles_AD15_LIGHT" localSheetId="0">BRIGHT!#REF!</definedName>
    <definedName name="OCT_RAW___\AD15\_light_profiles_AD15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9E856F-CDDE-47E2-9C40-85D8546C0500}" name="[[[OCT RAW]]]\AD15\_dark_profiles_AD15_DARK" type="6" refreshedVersion="6" background="1" saveData="1">
    <textPr codePage="437" sourceFile="E:\[Documents]\[[[OCT RAW]]]\AD15\_dark_profiles_AD15_DARK.txt" space="1" consecutive="1">
      <textFields count="6">
        <textField/>
        <textField/>
        <textField/>
        <textField/>
        <textField/>
        <textField/>
      </textFields>
    </textPr>
  </connection>
  <connection id="2" xr16:uid="{2E95A4BE-9394-4AB7-8D14-97E159F227C2}" name="[[[OCT RAW]]]\AD15\_light_profiles_AD15_LIGHT" type="6" refreshedVersion="6" background="1" saveData="1">
    <textPr codePage="437" sourceFile="E:\[Documents]\[[[OCT RAW]]]\AD15\_light_profiles_AD15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<sst xmlns="http://schemas.openxmlformats.org/spreadsheetml/2006/main" count="12" uniqueCount="8">
  <si>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</si>
  <si>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</si>
  <si>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</si>
  <si>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</si>
  <si>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</si>
  <si>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</si>
  <si>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AD414_DARK</t>
  </si>
  <si>
    <t>AD414_LIGHT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</si>
</sst>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545.68060000000003</c:v>
                </c:pt>
                <c:pt idx="1">
                  <c:v>899.7722</c:v>
                </c:pt>
                <c:pt idx="2">
                  <c:v>1528.2904000000001</c:v>
                </c:pt>
                <c:pt idx="3">
                  <c:v>2232.9118000000003</c:v>
                </c:pt>
                <c:pt idx="4">
                  <c:v>2859.3758000000003</c:v>
                </c:pt>
                <c:pt idx="5">
                  <c:v>3326.2381999999998</c:v>
                </c:pt>
                <c:pt idx="6">
                  <c:v>3652.4668000000006</c:v>
                </c:pt>
                <c:pt idx="7">
                  <c:v>3816.5958000000001</c:v>
                </c:pt>
                <c:pt idx="8">
                  <c:v>3843.3690000000001</c:v>
                </c:pt>
                <c:pt idx="9">
                  <c:v>3729.9646000000002</c:v>
                </c:pt>
                <c:pt idx="10">
                  <c:v>3424.3324000000002</c:v>
                </c:pt>
                <c:pt idx="11">
                  <c:v>2965.6479999999997</c:v>
                </c:pt>
                <c:pt idx="12">
                  <c:v>2629.5769999999998</c:v>
                </c:pt>
                <c:pt idx="13">
                  <c:v>2459.9211999999998</c:v>
                </c:pt>
                <c:pt idx="14">
                  <c:v>2409.5332000000003</c:v>
                </c:pt>
                <c:pt idx="15">
                  <c:v>2420.8278</c:v>
                </c:pt>
                <c:pt idx="16">
                  <c:v>2445.9497999999999</c:v>
                </c:pt>
                <c:pt idx="17">
                  <c:v>2454.5828000000001</c:v>
                </c:pt>
                <c:pt idx="18">
                  <c:v>2450.8667999999998</c:v>
                </c:pt>
                <c:pt idx="19">
                  <c:v>2446.6769999999997</c:v>
                </c:pt>
                <c:pt idx="20">
                  <c:v>2459.0644000000002</c:v>
                </c:pt>
                <c:pt idx="21">
                  <c:v>2493.8324000000002</c:v>
                </c:pt>
                <c:pt idx="22">
                  <c:v>2544.2033999999994</c:v>
                </c:pt>
                <c:pt idx="23">
                  <c:v>2578.0953999999997</c:v>
                </c:pt>
                <c:pt idx="24">
                  <c:v>2585.2647999999999</c:v>
                </c:pt>
                <c:pt idx="25">
                  <c:v>2585.5908000000004</c:v>
                </c:pt>
                <c:pt idx="26">
                  <c:v>2597.3717999999999</c:v>
                </c:pt>
                <c:pt idx="27">
                  <c:v>2613.6747999999998</c:v>
                </c:pt>
                <c:pt idx="28">
                  <c:v>2621.6458000000002</c:v>
                </c:pt>
                <c:pt idx="29">
                  <c:v>2629.1161999999999</c:v>
                </c:pt>
                <c:pt idx="30">
                  <c:v>2628.8631999999998</c:v>
                </c:pt>
                <c:pt idx="31">
                  <c:v>2578.8851999999997</c:v>
                </c:pt>
                <c:pt idx="32">
                  <c:v>2455.7087999999999</c:v>
                </c:pt>
                <c:pt idx="33">
                  <c:v>2283.1850000000004</c:v>
                </c:pt>
                <c:pt idx="34">
                  <c:v>2106.6444000000001</c:v>
                </c:pt>
                <c:pt idx="35">
                  <c:v>2001.6525999999999</c:v>
                </c:pt>
                <c:pt idx="36">
                  <c:v>1969.1461999999999</c:v>
                </c:pt>
                <c:pt idx="37">
                  <c:v>1970.4374</c:v>
                </c:pt>
                <c:pt idx="38">
                  <c:v>1978.0986</c:v>
                </c:pt>
                <c:pt idx="39">
                  <c:v>1997.4874</c:v>
                </c:pt>
                <c:pt idx="40">
                  <c:v>2046.0529999999999</c:v>
                </c:pt>
                <c:pt idx="41">
                  <c:v>2135.5087999999996</c:v>
                </c:pt>
                <c:pt idx="42">
                  <c:v>2242.8666000000003</c:v>
                </c:pt>
                <c:pt idx="43">
                  <c:v>2337.2835999999998</c:v>
                </c:pt>
                <c:pt idx="44">
                  <c:v>2393.1571999999996</c:v>
                </c:pt>
                <c:pt idx="45">
                  <c:v>2402.1446000000005</c:v>
                </c:pt>
                <c:pt idx="46">
                  <c:v>2375.8455999999996</c:v>
                </c:pt>
                <c:pt idx="47">
                  <c:v>2300.4299999999998</c:v>
                </c:pt>
                <c:pt idx="48">
                  <c:v>2156.1922000000004</c:v>
                </c:pt>
                <c:pt idx="49">
                  <c:v>1984.1904000000002</c:v>
                </c:pt>
                <c:pt idx="50">
                  <c:v>1841.7282</c:v>
                </c:pt>
                <c:pt idx="51">
                  <c:v>1755.3113999999998</c:v>
                </c:pt>
                <c:pt idx="52">
                  <c:v>1690.0246</c:v>
                </c:pt>
                <c:pt idx="53">
                  <c:v>1642.7436000000002</c:v>
                </c:pt>
                <c:pt idx="54">
                  <c:v>1606.873</c:v>
                </c:pt>
                <c:pt idx="55">
                  <c:v>1583.4972000000002</c:v>
                </c:pt>
                <c:pt idx="56">
                  <c:v>1568.4728000000002</c:v>
                </c:pt>
                <c:pt idx="57">
                  <c:v>1561.8878000000002</c:v>
                </c:pt>
                <c:pt idx="58">
                  <c:v>1557.5218</c:v>
                </c:pt>
                <c:pt idx="59">
                  <c:v>1549.8184000000001</c:v>
                </c:pt>
                <c:pt idx="60">
                  <c:v>1540.7172</c:v>
                </c:pt>
                <c:pt idx="61">
                  <c:v>1550.9626000000001</c:v>
                </c:pt>
                <c:pt idx="62">
                  <c:v>1610.6331999999998</c:v>
                </c:pt>
                <c:pt idx="63">
                  <c:v>1752.6668000000002</c:v>
                </c:pt>
                <c:pt idx="64">
                  <c:v>1907.9006000000002</c:v>
                </c:pt>
                <c:pt idx="65">
                  <c:v>1966.0022000000001</c:v>
                </c:pt>
                <c:pt idx="66">
                  <c:v>1954.2184000000002</c:v>
                </c:pt>
                <c:pt idx="67">
                  <c:v>2010.4641999999999</c:v>
                </c:pt>
                <c:pt idx="68">
                  <c:v>2320.8717999999999</c:v>
                </c:pt>
                <c:pt idx="69">
                  <c:v>2983.5655999999999</c:v>
                </c:pt>
                <c:pt idx="70">
                  <c:v>3844.1644000000001</c:v>
                </c:pt>
                <c:pt idx="71">
                  <c:v>4458.3166000000001</c:v>
                </c:pt>
                <c:pt idx="72">
                  <c:v>4607.6842000000006</c:v>
                </c:pt>
                <c:pt idx="73">
                  <c:v>4277.0729999999994</c:v>
                </c:pt>
                <c:pt idx="74">
                  <c:v>3831.7957999999999</c:v>
                </c:pt>
                <c:pt idx="75">
                  <c:v>3779.6839999999997</c:v>
                </c:pt>
                <c:pt idx="76">
                  <c:v>4112.5601999999999</c:v>
                </c:pt>
                <c:pt idx="77">
                  <c:v>4401.1894000000002</c:v>
                </c:pt>
                <c:pt idx="78">
                  <c:v>4391.585</c:v>
                </c:pt>
                <c:pt idx="79">
                  <c:v>4174.3339999999998</c:v>
                </c:pt>
                <c:pt idx="80">
                  <c:v>3975.058</c:v>
                </c:pt>
                <c:pt idx="81">
                  <c:v>3956.3208</c:v>
                </c:pt>
                <c:pt idx="82">
                  <c:v>4097.1121999999996</c:v>
                </c:pt>
                <c:pt idx="83">
                  <c:v>4177.0096000000003</c:v>
                </c:pt>
                <c:pt idx="84">
                  <c:v>4078.7350000000006</c:v>
                </c:pt>
                <c:pt idx="85">
                  <c:v>3803.7915999999996</c:v>
                </c:pt>
                <c:pt idx="86">
                  <c:v>3406.4087999999997</c:v>
                </c:pt>
                <c:pt idx="87">
                  <c:v>2992.6808000000001</c:v>
                </c:pt>
                <c:pt idx="88">
                  <c:v>2716.4196000000002</c:v>
                </c:pt>
                <c:pt idx="89">
                  <c:v>2538.7864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532.07940000000008</c:v>
                </c:pt>
                <c:pt idx="1">
                  <c:v>754.36239999999998</c:v>
                </c:pt>
                <c:pt idx="2">
                  <c:v>1372.6428000000001</c:v>
                </c:pt>
                <c:pt idx="3">
                  <c:v>2083.3982000000001</c:v>
                </c:pt>
                <c:pt idx="4">
                  <c:v>2681.8786</c:v>
                </c:pt>
                <c:pt idx="5">
                  <c:v>3076.7258000000006</c:v>
                </c:pt>
                <c:pt idx="6">
                  <c:v>3354.3686000000002</c:v>
                </c:pt>
                <c:pt idx="7">
                  <c:v>3490.8137999999999</c:v>
                </c:pt>
                <c:pt idx="8">
                  <c:v>3520.2570000000001</c:v>
                </c:pt>
                <c:pt idx="9">
                  <c:v>3423.3326000000002</c:v>
                </c:pt>
                <c:pt idx="10">
                  <c:v>3151.8584000000001</c:v>
                </c:pt>
                <c:pt idx="11">
                  <c:v>2739.1894000000002</c:v>
                </c:pt>
                <c:pt idx="12">
                  <c:v>2428.1619999999998</c:v>
                </c:pt>
                <c:pt idx="13">
                  <c:v>2279.3085999999994</c:v>
                </c:pt>
                <c:pt idx="14">
                  <c:v>2239.9796000000001</c:v>
                </c:pt>
                <c:pt idx="15">
                  <c:v>2246.4576000000002</c:v>
                </c:pt>
                <c:pt idx="16">
                  <c:v>2268.7799999999997</c:v>
                </c:pt>
                <c:pt idx="17">
                  <c:v>2283.585</c:v>
                </c:pt>
                <c:pt idx="18">
                  <c:v>2283.9211999999998</c:v>
                </c:pt>
                <c:pt idx="19">
                  <c:v>2281.7902000000004</c:v>
                </c:pt>
                <c:pt idx="20">
                  <c:v>2297.5648000000001</c:v>
                </c:pt>
                <c:pt idx="21">
                  <c:v>2329.9331999999999</c:v>
                </c:pt>
                <c:pt idx="22">
                  <c:v>2369.8200000000002</c:v>
                </c:pt>
                <c:pt idx="23">
                  <c:v>2398.0545999999999</c:v>
                </c:pt>
                <c:pt idx="24">
                  <c:v>2409.8653999999997</c:v>
                </c:pt>
                <c:pt idx="25">
                  <c:v>2416.7469999999998</c:v>
                </c:pt>
                <c:pt idx="26">
                  <c:v>2430.9164000000001</c:v>
                </c:pt>
                <c:pt idx="27">
                  <c:v>2453.6732000000002</c:v>
                </c:pt>
                <c:pt idx="28">
                  <c:v>2467.1794</c:v>
                </c:pt>
                <c:pt idx="29">
                  <c:v>2470.8668000000002</c:v>
                </c:pt>
                <c:pt idx="30">
                  <c:v>2476.6686</c:v>
                </c:pt>
                <c:pt idx="31">
                  <c:v>2431.6925999999999</c:v>
                </c:pt>
                <c:pt idx="32">
                  <c:v>2315.6867999999999</c:v>
                </c:pt>
                <c:pt idx="33">
                  <c:v>2156.3685999999998</c:v>
                </c:pt>
                <c:pt idx="34">
                  <c:v>1994.8142</c:v>
                </c:pt>
                <c:pt idx="35">
                  <c:v>1900.8714</c:v>
                </c:pt>
                <c:pt idx="36">
                  <c:v>1870.1432</c:v>
                </c:pt>
                <c:pt idx="37">
                  <c:v>1867.7756000000002</c:v>
                </c:pt>
                <c:pt idx="38">
                  <c:v>1875.5817999999999</c:v>
                </c:pt>
                <c:pt idx="39">
                  <c:v>1896.1079999999997</c:v>
                </c:pt>
                <c:pt idx="40">
                  <c:v>1945.0745999999999</c:v>
                </c:pt>
                <c:pt idx="41">
                  <c:v>2027.7842000000001</c:v>
                </c:pt>
                <c:pt idx="42">
                  <c:v>2130.5168000000003</c:v>
                </c:pt>
                <c:pt idx="43">
                  <c:v>2213.1342</c:v>
                </c:pt>
                <c:pt idx="44">
                  <c:v>2264.7707999999998</c:v>
                </c:pt>
                <c:pt idx="45">
                  <c:v>2282.6483999999996</c:v>
                </c:pt>
                <c:pt idx="46">
                  <c:v>2261.7889999999998</c:v>
                </c:pt>
                <c:pt idx="47">
                  <c:v>2187.0965999999999</c:v>
                </c:pt>
                <c:pt idx="48">
                  <c:v>2058.1412</c:v>
                </c:pt>
                <c:pt idx="49">
                  <c:v>1913.9844000000001</c:v>
                </c:pt>
                <c:pt idx="50">
                  <c:v>1795.2177999999999</c:v>
                </c:pt>
                <c:pt idx="51">
                  <c:v>1715.4671999999998</c:v>
                </c:pt>
                <c:pt idx="52">
                  <c:v>1653.9137999999998</c:v>
                </c:pt>
                <c:pt idx="53">
                  <c:v>1615.0426000000002</c:v>
                </c:pt>
                <c:pt idx="54">
                  <c:v>1582.1412</c:v>
                </c:pt>
                <c:pt idx="55">
                  <c:v>1550.9165999999998</c:v>
                </c:pt>
                <c:pt idx="56">
                  <c:v>1523.1782000000001</c:v>
                </c:pt>
                <c:pt idx="57">
                  <c:v>1507.9082000000003</c:v>
                </c:pt>
                <c:pt idx="58">
                  <c:v>1501.2055999999998</c:v>
                </c:pt>
                <c:pt idx="59">
                  <c:v>1489.8403999999998</c:v>
                </c:pt>
                <c:pt idx="60">
                  <c:v>1477.087</c:v>
                </c:pt>
                <c:pt idx="61">
                  <c:v>1478.0318</c:v>
                </c:pt>
                <c:pt idx="62">
                  <c:v>1535.8226000000002</c:v>
                </c:pt>
                <c:pt idx="63">
                  <c:v>1686.2115999999999</c:v>
                </c:pt>
                <c:pt idx="64">
                  <c:v>1871.2556</c:v>
                </c:pt>
                <c:pt idx="65">
                  <c:v>1934.1081999999999</c:v>
                </c:pt>
                <c:pt idx="66">
                  <c:v>1869.9865999999997</c:v>
                </c:pt>
                <c:pt idx="67">
                  <c:v>1821.8797999999999</c:v>
                </c:pt>
                <c:pt idx="68">
                  <c:v>2052.3723999999997</c:v>
                </c:pt>
                <c:pt idx="69">
                  <c:v>2764.7731999999996</c:v>
                </c:pt>
                <c:pt idx="70">
                  <c:v>3721.1934000000001</c:v>
                </c:pt>
                <c:pt idx="71">
                  <c:v>4522.3958000000002</c:v>
                </c:pt>
                <c:pt idx="72">
                  <c:v>4764.5774000000001</c:v>
                </c:pt>
                <c:pt idx="73">
                  <c:v>4422.9863999999998</c:v>
                </c:pt>
                <c:pt idx="74">
                  <c:v>3851.4918000000007</c:v>
                </c:pt>
                <c:pt idx="75">
                  <c:v>3681.5680000000002</c:v>
                </c:pt>
                <c:pt idx="76">
                  <c:v>4045.7728000000002</c:v>
                </c:pt>
                <c:pt idx="77">
                  <c:v>4428.3755999999994</c:v>
                </c:pt>
                <c:pt idx="78">
                  <c:v>4501.2831999999999</c:v>
                </c:pt>
                <c:pt idx="79">
                  <c:v>4281.6725999999999</c:v>
                </c:pt>
                <c:pt idx="80">
                  <c:v>3973.4396000000002</c:v>
                </c:pt>
                <c:pt idx="81">
                  <c:v>3846.3839999999996</c:v>
                </c:pt>
                <c:pt idx="82">
                  <c:v>3970.8818000000001</c:v>
                </c:pt>
                <c:pt idx="83">
                  <c:v>4056.9115999999995</c:v>
                </c:pt>
                <c:pt idx="84">
                  <c:v>3965.9931999999999</c:v>
                </c:pt>
                <c:pt idx="85">
                  <c:v>3716.4061999999999</c:v>
                </c:pt>
                <c:pt idx="86">
                  <c:v>3340.9664000000002</c:v>
                </c:pt>
                <c:pt idx="87">
                  <c:v>2937.569</c:v>
                </c:pt>
                <c:pt idx="88">
                  <c:v>2661.2812000000004</c:v>
                </c:pt>
                <c:pt idx="89">
                  <c:v>2483.6296000000002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5\_light_profiles_AD15_LIGHT" connectionId="2" xr16:uid="{50EE5824-DC08-4DB2-8C47-CBCCFF11F52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5\_dark_profiles_AD15_DARK" connectionId="1" xr16:uid="{98DC283D-6969-4492-8807-99E4FFB1C00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0.81799999999999995</v>
      </c>
      <c r="C3">
        <v>0.68899999999999995</v>
      </c>
      <c r="D3">
        <v>-0.17899999999999999</v>
      </c>
      <c r="E3">
        <v>2.3460000000000001</v>
      </c>
      <c r="F3">
        <v>1.5169999999999999</v>
      </c>
      <c r="K3" t="s">
        <v>0</v>
      </c>
      <c r="L3">
        <v>1.2829999999999999</v>
      </c>
      <c r="M3">
        <v>-0.67700000000000005</v>
      </c>
      <c r="N3">
        <v>1.6830000000000001</v>
      </c>
      <c r="O3">
        <v>0.752</v>
      </c>
      <c r="P3">
        <v>0.34699999999999998</v>
      </c>
    </row>
    <row r="4" spans="1:19" x14ac:dyDescent="0.25">
      <c r="A4" t="s">
        <v>1</v>
      </c>
      <c r="B4">
        <v>301.839</v>
      </c>
      <c r="C4">
        <v>302.50900000000001</v>
      </c>
      <c r="D4">
        <v>302.98700000000002</v>
      </c>
      <c r="E4">
        <v>302.78300000000002</v>
      </c>
      <c r="F4">
        <v>300.74799999999999</v>
      </c>
      <c r="H4" s="2">
        <f>AVERAGE(B4:F4)</f>
        <v>302.17320000000001</v>
      </c>
      <c r="I4" s="2">
        <f>STDEV(B4:F4)/SQRT(COUNT(B4:F4))</f>
        <v>0.4055719911433785</v>
      </c>
      <c r="K4" t="s">
        <v>1</v>
      </c>
      <c r="L4">
        <v>303.10399999999998</v>
      </c>
      <c r="M4">
        <v>302.44400000000002</v>
      </c>
      <c r="N4">
        <v>300.92</v>
      </c>
      <c r="O4">
        <v>302.68099999999998</v>
      </c>
      <c r="P4">
        <v>303.56400000000002</v>
      </c>
      <c r="R4" s="3">
        <f>AVERAGE(L4:P4)</f>
        <v>302.54260000000005</v>
      </c>
      <c r="S4" s="3">
        <f>STDEV(L4:P4)/SQRT(COUNT(L4:P4))</f>
        <v>0.44833777445135969</v>
      </c>
    </row>
    <row r="5" spans="1:19" x14ac:dyDescent="0.25">
      <c r="A5" t="s">
        <v>2</v>
      </c>
      <c r="B5">
        <v>66.168000000000006</v>
      </c>
      <c r="C5">
        <v>65.078999999999994</v>
      </c>
      <c r="D5">
        <v>66.421999999999997</v>
      </c>
      <c r="E5">
        <v>65.510999999999996</v>
      </c>
      <c r="F5">
        <v>63.582999999999998</v>
      </c>
      <c r="H5" s="2">
        <f t="shared" ref="H5:H68" si="0">AVERAGE(B5:F5)</f>
        <v>65.35260000000001</v>
      </c>
      <c r="I5" s="2">
        <f t="shared" ref="I5:I68" si="1">STDEV(B5:F5)/SQRT(COUNT(B5:F5))</f>
        <v>0.50199229077745855</v>
      </c>
      <c r="K5" t="s">
        <v>2</v>
      </c>
      <c r="L5">
        <v>66.775000000000006</v>
      </c>
      <c r="M5">
        <v>65.25</v>
      </c>
      <c r="N5">
        <v>66.186999999999998</v>
      </c>
      <c r="O5">
        <v>67.534000000000006</v>
      </c>
      <c r="P5">
        <v>65.602999999999994</v>
      </c>
      <c r="R5" s="3">
        <f t="shared" ref="R5:R68" si="2">AVERAGE(L5:P5)</f>
        <v>66.269800000000004</v>
      </c>
      <c r="S5" s="3">
        <f t="shared" ref="S5:S68" si="3">STDEV(L5:P5)/SQRT(COUNT(L5:P5))</f>
        <v>0.40895591449446167</v>
      </c>
    </row>
    <row r="6" spans="1:19" x14ac:dyDescent="0.25">
      <c r="A6" t="s">
        <v>3</v>
      </c>
      <c r="B6">
        <v>31.09</v>
      </c>
      <c r="C6">
        <v>32.256</v>
      </c>
      <c r="D6">
        <v>31.966000000000001</v>
      </c>
      <c r="E6">
        <v>34.052999999999997</v>
      </c>
      <c r="F6">
        <v>30.274000000000001</v>
      </c>
      <c r="H6" s="2">
        <f t="shared" si="0"/>
        <v>31.927800000000001</v>
      </c>
      <c r="I6" s="2">
        <f t="shared" si="1"/>
        <v>0.63492569644014185</v>
      </c>
      <c r="K6" t="s">
        <v>3</v>
      </c>
      <c r="L6">
        <v>32.131999999999998</v>
      </c>
      <c r="M6">
        <v>31.885000000000002</v>
      </c>
      <c r="N6">
        <v>30.25</v>
      </c>
      <c r="O6">
        <v>30.245999999999999</v>
      </c>
      <c r="P6">
        <v>32.545000000000002</v>
      </c>
      <c r="R6" s="3">
        <f t="shared" si="2"/>
        <v>31.4116</v>
      </c>
      <c r="S6" s="3">
        <f t="shared" si="3"/>
        <v>0.48660133579759135</v>
      </c>
    </row>
    <row r="7" spans="1:19" x14ac:dyDescent="0.25">
      <c r="A7">
        <v>-3.75</v>
      </c>
      <c r="B7">
        <v>540.91099999999994</v>
      </c>
      <c r="C7">
        <v>600.46600000000001</v>
      </c>
      <c r="D7">
        <v>497.572</v>
      </c>
      <c r="E7">
        <v>449.69499999999999</v>
      </c>
      <c r="F7">
        <v>639.75900000000001</v>
      </c>
      <c r="H7" s="2">
        <f t="shared" si="0"/>
        <v>545.68060000000003</v>
      </c>
      <c r="I7" s="2">
        <f t="shared" si="1"/>
        <v>34.207168316889309</v>
      </c>
      <c r="K7">
        <v>-3.75</v>
      </c>
      <c r="L7">
        <v>497.86200000000002</v>
      </c>
      <c r="M7">
        <v>486.70600000000002</v>
      </c>
      <c r="N7">
        <v>759.62300000000005</v>
      </c>
      <c r="O7">
        <v>474.91500000000002</v>
      </c>
      <c r="P7">
        <v>441.291</v>
      </c>
      <c r="R7" s="3">
        <f t="shared" si="2"/>
        <v>532.07940000000008</v>
      </c>
      <c r="S7" s="3">
        <f t="shared" si="3"/>
        <v>57.669735560864076</v>
      </c>
    </row>
    <row r="8" spans="1:19" x14ac:dyDescent="0.25">
      <c r="A8">
        <v>-2.5</v>
      </c>
      <c r="B8">
        <v>984.21100000000001</v>
      </c>
      <c r="C8">
        <v>882.03499999999997</v>
      </c>
      <c r="D8">
        <v>814.303</v>
      </c>
      <c r="E8">
        <v>784.34</v>
      </c>
      <c r="F8">
        <v>1033.972</v>
      </c>
      <c r="H8" s="2">
        <f t="shared" si="0"/>
        <v>899.7722</v>
      </c>
      <c r="I8" s="2">
        <f t="shared" si="1"/>
        <v>48.001917917308219</v>
      </c>
      <c r="K8">
        <v>-2.5</v>
      </c>
      <c r="L8">
        <v>722.87900000000002</v>
      </c>
      <c r="M8">
        <v>675.81500000000005</v>
      </c>
      <c r="N8">
        <v>958.09299999999996</v>
      </c>
      <c r="O8">
        <v>711.65</v>
      </c>
      <c r="P8">
        <v>703.375</v>
      </c>
      <c r="R8" s="3">
        <f t="shared" si="2"/>
        <v>754.36239999999998</v>
      </c>
      <c r="S8" s="3">
        <f t="shared" si="3"/>
        <v>51.522383471264391</v>
      </c>
    </row>
    <row r="9" spans="1:19" x14ac:dyDescent="0.25">
      <c r="A9">
        <v>-1.25</v>
      </c>
      <c r="B9">
        <v>1633.604</v>
      </c>
      <c r="C9">
        <v>1491.6079999999999</v>
      </c>
      <c r="D9">
        <v>1404.047</v>
      </c>
      <c r="E9">
        <v>1455.3879999999999</v>
      </c>
      <c r="F9">
        <v>1656.8050000000001</v>
      </c>
      <c r="H9" s="2">
        <f t="shared" si="0"/>
        <v>1528.2904000000001</v>
      </c>
      <c r="I9" s="2">
        <f t="shared" si="1"/>
        <v>49.851648717570029</v>
      </c>
      <c r="K9">
        <v>-1.25</v>
      </c>
      <c r="L9">
        <v>1358.049</v>
      </c>
      <c r="M9">
        <v>1250.422</v>
      </c>
      <c r="N9">
        <v>1569.0039999999999</v>
      </c>
      <c r="O9">
        <v>1340.2470000000001</v>
      </c>
      <c r="P9">
        <v>1345.492</v>
      </c>
      <c r="R9" s="3">
        <f t="shared" si="2"/>
        <v>1372.6428000000001</v>
      </c>
      <c r="S9" s="3">
        <f t="shared" si="3"/>
        <v>52.676027571752194</v>
      </c>
    </row>
    <row r="10" spans="1:19" x14ac:dyDescent="0.25">
      <c r="A10">
        <v>0</v>
      </c>
      <c r="B10">
        <v>2377.4870000000001</v>
      </c>
      <c r="C10">
        <v>2156.3090000000002</v>
      </c>
      <c r="D10">
        <v>2105.1370000000002</v>
      </c>
      <c r="E10">
        <v>2221.1089999999999</v>
      </c>
      <c r="F10">
        <v>2304.5169999999998</v>
      </c>
      <c r="H10" s="2">
        <f t="shared" si="0"/>
        <v>2232.9118000000003</v>
      </c>
      <c r="I10" s="2">
        <f t="shared" si="1"/>
        <v>49.174682354235863</v>
      </c>
      <c r="K10">
        <v>0</v>
      </c>
      <c r="L10">
        <v>2113.9380000000001</v>
      </c>
      <c r="M10">
        <v>1891.998</v>
      </c>
      <c r="N10">
        <v>2291.683</v>
      </c>
      <c r="O10">
        <v>2055.732</v>
      </c>
      <c r="P10">
        <v>2063.64</v>
      </c>
      <c r="R10" s="3">
        <f t="shared" si="2"/>
        <v>2083.3982000000001</v>
      </c>
      <c r="S10" s="3">
        <f t="shared" si="3"/>
        <v>64.072255674667787</v>
      </c>
    </row>
    <row r="11" spans="1:19" x14ac:dyDescent="0.25">
      <c r="A11">
        <v>1.25</v>
      </c>
      <c r="B11">
        <v>3022.201</v>
      </c>
      <c r="C11">
        <v>2764.4160000000002</v>
      </c>
      <c r="D11">
        <v>2703.8510000000001</v>
      </c>
      <c r="E11">
        <v>2941.953</v>
      </c>
      <c r="F11">
        <v>2864.4580000000001</v>
      </c>
      <c r="H11" s="2">
        <f t="shared" si="0"/>
        <v>2859.3758000000003</v>
      </c>
      <c r="I11" s="2">
        <f t="shared" si="1"/>
        <v>57.689771841635817</v>
      </c>
      <c r="K11">
        <v>1.25</v>
      </c>
      <c r="L11">
        <v>2765.4549999999999</v>
      </c>
      <c r="M11">
        <v>2476.9319999999998</v>
      </c>
      <c r="N11">
        <v>2807.1010000000001</v>
      </c>
      <c r="O11">
        <v>2651.6210000000001</v>
      </c>
      <c r="P11">
        <v>2708.2840000000001</v>
      </c>
      <c r="R11" s="3">
        <f t="shared" si="2"/>
        <v>2681.8786</v>
      </c>
      <c r="S11" s="3">
        <f t="shared" si="3"/>
        <v>57.568020835008781</v>
      </c>
    </row>
    <row r="12" spans="1:19" x14ac:dyDescent="0.25">
      <c r="A12">
        <v>2.5</v>
      </c>
      <c r="B12">
        <v>3537.6010000000001</v>
      </c>
      <c r="C12">
        <v>3200.2249999999999</v>
      </c>
      <c r="D12">
        <v>3073.0129999999999</v>
      </c>
      <c r="E12">
        <v>3415.84</v>
      </c>
      <c r="F12">
        <v>3404.5120000000002</v>
      </c>
      <c r="H12" s="2">
        <f t="shared" si="0"/>
        <v>3326.2381999999998</v>
      </c>
      <c r="I12" s="2">
        <f t="shared" si="1"/>
        <v>83.316214521184335</v>
      </c>
      <c r="K12">
        <v>2.5</v>
      </c>
      <c r="L12">
        <v>3191.0230000000001</v>
      </c>
      <c r="M12">
        <v>2838.2310000000002</v>
      </c>
      <c r="N12">
        <v>3193.8139999999999</v>
      </c>
      <c r="O12">
        <v>3065.7280000000001</v>
      </c>
      <c r="P12">
        <v>3094.8330000000001</v>
      </c>
      <c r="R12" s="3">
        <f t="shared" si="2"/>
        <v>3076.7258000000006</v>
      </c>
      <c r="S12" s="3">
        <f t="shared" si="3"/>
        <v>64.846776493053184</v>
      </c>
    </row>
    <row r="13" spans="1:19" x14ac:dyDescent="0.25">
      <c r="A13">
        <v>3.75</v>
      </c>
      <c r="B13">
        <v>3930.4650000000001</v>
      </c>
      <c r="C13">
        <v>3518.375</v>
      </c>
      <c r="D13">
        <v>3328.2959999999998</v>
      </c>
      <c r="E13">
        <v>3710.2339999999999</v>
      </c>
      <c r="F13">
        <v>3774.9639999999999</v>
      </c>
      <c r="H13" s="2">
        <f t="shared" si="0"/>
        <v>3652.4668000000006</v>
      </c>
      <c r="I13" s="2">
        <f t="shared" si="1"/>
        <v>104.56886032820672</v>
      </c>
      <c r="K13">
        <v>3.75</v>
      </c>
      <c r="L13">
        <v>3497.6350000000002</v>
      </c>
      <c r="M13">
        <v>3116.4789999999998</v>
      </c>
      <c r="N13">
        <v>3486.241</v>
      </c>
      <c r="O13">
        <v>3345.4920000000002</v>
      </c>
      <c r="P13">
        <v>3325.9960000000001</v>
      </c>
      <c r="R13" s="3">
        <f t="shared" si="2"/>
        <v>3354.3686000000002</v>
      </c>
      <c r="S13" s="3">
        <f t="shared" si="3"/>
        <v>69.061874973533733</v>
      </c>
    </row>
    <row r="14" spans="1:19" x14ac:dyDescent="0.25">
      <c r="A14">
        <v>5</v>
      </c>
      <c r="B14">
        <v>4137.0420000000004</v>
      </c>
      <c r="C14">
        <v>3637.951</v>
      </c>
      <c r="D14">
        <v>3479.2559999999999</v>
      </c>
      <c r="E14">
        <v>3879.6460000000002</v>
      </c>
      <c r="F14">
        <v>3949.0839999999998</v>
      </c>
      <c r="H14" s="2">
        <f t="shared" si="0"/>
        <v>3816.5958000000001</v>
      </c>
      <c r="I14" s="2">
        <f t="shared" si="1"/>
        <v>116.17364657804289</v>
      </c>
      <c r="K14">
        <v>5</v>
      </c>
      <c r="L14">
        <v>3627.5059999999999</v>
      </c>
      <c r="M14">
        <v>3273.5219999999999</v>
      </c>
      <c r="N14">
        <v>3623.2849999999999</v>
      </c>
      <c r="O14">
        <v>3449.47</v>
      </c>
      <c r="P14">
        <v>3480.2860000000001</v>
      </c>
      <c r="R14" s="3">
        <f t="shared" si="2"/>
        <v>3490.8137999999999</v>
      </c>
      <c r="S14" s="3">
        <f t="shared" si="3"/>
        <v>65.295193961270982</v>
      </c>
    </row>
    <row r="15" spans="1:19" x14ac:dyDescent="0.25">
      <c r="A15">
        <v>6.25</v>
      </c>
      <c r="B15">
        <v>4170.9930000000004</v>
      </c>
      <c r="C15">
        <v>3656.6930000000002</v>
      </c>
      <c r="D15">
        <v>3516.1990000000001</v>
      </c>
      <c r="E15">
        <v>3913.317</v>
      </c>
      <c r="F15">
        <v>3959.643</v>
      </c>
      <c r="H15" s="2">
        <f t="shared" si="0"/>
        <v>3843.3690000000001</v>
      </c>
      <c r="I15" s="2">
        <f t="shared" si="1"/>
        <v>115.68016014684628</v>
      </c>
      <c r="K15">
        <v>6.25</v>
      </c>
      <c r="L15">
        <v>3640.99</v>
      </c>
      <c r="M15">
        <v>3294.6880000000001</v>
      </c>
      <c r="N15">
        <v>3639.7849999999999</v>
      </c>
      <c r="O15">
        <v>3493.4119999999998</v>
      </c>
      <c r="P15">
        <v>3532.41</v>
      </c>
      <c r="R15" s="3">
        <f t="shared" si="2"/>
        <v>3520.2570000000001</v>
      </c>
      <c r="S15" s="3">
        <f t="shared" si="3"/>
        <v>63.487448865110288</v>
      </c>
    </row>
    <row r="16" spans="1:19" x14ac:dyDescent="0.25">
      <c r="A16">
        <v>7.5</v>
      </c>
      <c r="B16">
        <v>4047.098</v>
      </c>
      <c r="C16">
        <v>3540.654</v>
      </c>
      <c r="D16">
        <v>3412.8310000000001</v>
      </c>
      <c r="E16">
        <v>3822.7860000000001</v>
      </c>
      <c r="F16">
        <v>3826.4540000000002</v>
      </c>
      <c r="H16" s="2">
        <f t="shared" si="0"/>
        <v>3729.9646000000002</v>
      </c>
      <c r="I16" s="2">
        <f t="shared" si="1"/>
        <v>112.8963758335935</v>
      </c>
      <c r="K16">
        <v>7.5</v>
      </c>
      <c r="L16">
        <v>3520.6410000000001</v>
      </c>
      <c r="M16">
        <v>3206.4050000000002</v>
      </c>
      <c r="N16">
        <v>3531.5430000000001</v>
      </c>
      <c r="O16">
        <v>3406.049</v>
      </c>
      <c r="P16">
        <v>3452.0250000000001</v>
      </c>
      <c r="R16" s="3">
        <f t="shared" si="2"/>
        <v>3423.3326000000002</v>
      </c>
      <c r="S16" s="3">
        <f t="shared" si="3"/>
        <v>58.888868076742632</v>
      </c>
    </row>
    <row r="17" spans="1:19" x14ac:dyDescent="0.25">
      <c r="A17">
        <v>8.75</v>
      </c>
      <c r="B17">
        <v>3732.203</v>
      </c>
      <c r="C17">
        <v>3263.873</v>
      </c>
      <c r="D17">
        <v>3115.1039999999998</v>
      </c>
      <c r="E17">
        <v>3497.6849999999999</v>
      </c>
      <c r="F17">
        <v>3512.797</v>
      </c>
      <c r="H17" s="2">
        <f t="shared" si="0"/>
        <v>3424.3324000000002</v>
      </c>
      <c r="I17" s="2">
        <f t="shared" si="1"/>
        <v>107.08882251178227</v>
      </c>
      <c r="K17">
        <v>8.75</v>
      </c>
      <c r="L17">
        <v>3247.163</v>
      </c>
      <c r="M17">
        <v>2946.9609999999998</v>
      </c>
      <c r="N17">
        <v>3236.8739999999998</v>
      </c>
      <c r="O17">
        <v>3134.616</v>
      </c>
      <c r="P17">
        <v>3193.6779999999999</v>
      </c>
      <c r="R17" s="3">
        <f t="shared" si="2"/>
        <v>3151.8584000000001</v>
      </c>
      <c r="S17" s="3">
        <f t="shared" si="3"/>
        <v>54.92710753953827</v>
      </c>
    </row>
    <row r="18" spans="1:19" x14ac:dyDescent="0.25">
      <c r="A18">
        <v>10</v>
      </c>
      <c r="B18">
        <v>3235.761</v>
      </c>
      <c r="C18">
        <v>2829.4859999999999</v>
      </c>
      <c r="D18">
        <v>2683.942</v>
      </c>
      <c r="E18">
        <v>3025.2510000000002</v>
      </c>
      <c r="F18">
        <v>3053.8</v>
      </c>
      <c r="H18" s="2">
        <f t="shared" si="0"/>
        <v>2965.6479999999997</v>
      </c>
      <c r="I18" s="2">
        <f t="shared" si="1"/>
        <v>95.441784916775319</v>
      </c>
      <c r="K18">
        <v>10</v>
      </c>
      <c r="L18">
        <v>2827.8969999999999</v>
      </c>
      <c r="M18">
        <v>2548.7449999999999</v>
      </c>
      <c r="N18">
        <v>2844.663</v>
      </c>
      <c r="O18">
        <v>2693.4319999999998</v>
      </c>
      <c r="P18">
        <v>2781.21</v>
      </c>
      <c r="R18" s="3">
        <f t="shared" si="2"/>
        <v>2739.1894000000002</v>
      </c>
      <c r="S18" s="3">
        <f t="shared" si="3"/>
        <v>54.370147399653078</v>
      </c>
    </row>
    <row r="19" spans="1:19" x14ac:dyDescent="0.25">
      <c r="A19">
        <v>11.25</v>
      </c>
      <c r="B19">
        <v>2865.3220000000001</v>
      </c>
      <c r="C19">
        <v>2524.6689999999999</v>
      </c>
      <c r="D19">
        <v>2390.23</v>
      </c>
      <c r="E19">
        <v>2662.0039999999999</v>
      </c>
      <c r="F19">
        <v>2705.66</v>
      </c>
      <c r="H19" s="2">
        <f t="shared" si="0"/>
        <v>2629.5769999999998</v>
      </c>
      <c r="I19" s="2">
        <f t="shared" si="1"/>
        <v>80.841979539098375</v>
      </c>
      <c r="K19">
        <v>11.25</v>
      </c>
      <c r="L19">
        <v>2518.2939999999999</v>
      </c>
      <c r="M19">
        <v>2264.6930000000002</v>
      </c>
      <c r="N19">
        <v>2521.6460000000002</v>
      </c>
      <c r="O19">
        <v>2371.0540000000001</v>
      </c>
      <c r="P19">
        <v>2465.123</v>
      </c>
      <c r="R19" s="3">
        <f t="shared" si="2"/>
        <v>2428.1619999999998</v>
      </c>
      <c r="S19" s="3">
        <f t="shared" si="3"/>
        <v>49.098161282272038</v>
      </c>
    </row>
    <row r="20" spans="1:19" x14ac:dyDescent="0.25">
      <c r="A20">
        <v>12.5</v>
      </c>
      <c r="B20">
        <v>2682.2930000000001</v>
      </c>
      <c r="C20">
        <v>2363.6590000000001</v>
      </c>
      <c r="D20">
        <v>2253.4609999999998</v>
      </c>
      <c r="E20">
        <v>2476.6570000000002</v>
      </c>
      <c r="F20">
        <v>2523.5360000000001</v>
      </c>
      <c r="H20" s="2">
        <f t="shared" si="0"/>
        <v>2459.9211999999998</v>
      </c>
      <c r="I20" s="2">
        <f t="shared" si="1"/>
        <v>72.687128347734344</v>
      </c>
      <c r="K20">
        <v>12.5</v>
      </c>
      <c r="L20">
        <v>2364.5210000000002</v>
      </c>
      <c r="M20">
        <v>2127.337</v>
      </c>
      <c r="N20">
        <v>2370.2829999999999</v>
      </c>
      <c r="O20">
        <v>2237.62</v>
      </c>
      <c r="P20">
        <v>2296.7820000000002</v>
      </c>
      <c r="R20" s="3">
        <f t="shared" si="2"/>
        <v>2279.3085999999994</v>
      </c>
      <c r="S20" s="3">
        <f t="shared" si="3"/>
        <v>45.097738775464137</v>
      </c>
    </row>
    <row r="21" spans="1:19" x14ac:dyDescent="0.25">
      <c r="A21">
        <v>13.75</v>
      </c>
      <c r="B21">
        <v>2628.2269999999999</v>
      </c>
      <c r="C21">
        <v>2311.634</v>
      </c>
      <c r="D21">
        <v>2221.067</v>
      </c>
      <c r="E21">
        <v>2419.9479999999999</v>
      </c>
      <c r="F21">
        <v>2466.79</v>
      </c>
      <c r="H21" s="2">
        <f t="shared" si="0"/>
        <v>2409.5332000000003</v>
      </c>
      <c r="I21" s="2">
        <f t="shared" si="1"/>
        <v>69.396523424015967</v>
      </c>
      <c r="K21">
        <v>13.75</v>
      </c>
      <c r="L21">
        <v>2314.7420000000002</v>
      </c>
      <c r="M21">
        <v>2098.0700000000002</v>
      </c>
      <c r="N21">
        <v>2321.7919999999999</v>
      </c>
      <c r="O21">
        <v>2202.915</v>
      </c>
      <c r="P21">
        <v>2262.3789999999999</v>
      </c>
      <c r="R21" s="3">
        <f t="shared" si="2"/>
        <v>2239.9796000000001</v>
      </c>
      <c r="S21" s="3">
        <f t="shared" si="3"/>
        <v>41.410468189335873</v>
      </c>
    </row>
    <row r="22" spans="1:19" x14ac:dyDescent="0.25">
      <c r="A22">
        <v>15</v>
      </c>
      <c r="B22">
        <v>2645.627</v>
      </c>
      <c r="C22">
        <v>2319.8960000000002</v>
      </c>
      <c r="D22">
        <v>2235.5259999999998</v>
      </c>
      <c r="E22">
        <v>2423.5039999999999</v>
      </c>
      <c r="F22">
        <v>2479.5859999999998</v>
      </c>
      <c r="H22" s="2">
        <f t="shared" si="0"/>
        <v>2420.8278</v>
      </c>
      <c r="I22" s="2">
        <f t="shared" si="1"/>
        <v>70.18488219296232</v>
      </c>
      <c r="K22">
        <v>15</v>
      </c>
      <c r="L22">
        <v>2315.4380000000001</v>
      </c>
      <c r="M22">
        <v>2110.4409999999998</v>
      </c>
      <c r="N22">
        <v>2319.5410000000002</v>
      </c>
      <c r="O22">
        <v>2209.7199999999998</v>
      </c>
      <c r="P22">
        <v>2277.1480000000001</v>
      </c>
      <c r="R22" s="3">
        <f t="shared" si="2"/>
        <v>2246.4576000000002</v>
      </c>
      <c r="S22" s="3">
        <f t="shared" si="3"/>
        <v>39.301110875648362</v>
      </c>
    </row>
    <row r="23" spans="1:19" x14ac:dyDescent="0.25">
      <c r="A23">
        <v>16.25</v>
      </c>
      <c r="B23">
        <v>2671.6280000000002</v>
      </c>
      <c r="C23">
        <v>2345.9299999999998</v>
      </c>
      <c r="D23">
        <v>2264.5419999999999</v>
      </c>
      <c r="E23">
        <v>2448.9670000000001</v>
      </c>
      <c r="F23">
        <v>2498.6819999999998</v>
      </c>
      <c r="H23" s="2">
        <f t="shared" si="0"/>
        <v>2445.9497999999999</v>
      </c>
      <c r="I23" s="2">
        <f t="shared" si="1"/>
        <v>69.510139066470046</v>
      </c>
      <c r="K23">
        <v>16.25</v>
      </c>
      <c r="L23">
        <v>2345.7600000000002</v>
      </c>
      <c r="M23">
        <v>2130.7660000000001</v>
      </c>
      <c r="N23">
        <v>2341.66</v>
      </c>
      <c r="O23">
        <v>2221.0419999999999</v>
      </c>
      <c r="P23">
        <v>2304.672</v>
      </c>
      <c r="R23" s="3">
        <f t="shared" si="2"/>
        <v>2268.7799999999997</v>
      </c>
      <c r="S23" s="3">
        <f t="shared" si="3"/>
        <v>41.141482292207215</v>
      </c>
    </row>
    <row r="24" spans="1:19" x14ac:dyDescent="0.25">
      <c r="A24">
        <v>17.5</v>
      </c>
      <c r="B24">
        <v>2674.7860000000001</v>
      </c>
      <c r="C24">
        <v>2367.56</v>
      </c>
      <c r="D24">
        <v>2273.6889999999999</v>
      </c>
      <c r="E24">
        <v>2459.6260000000002</v>
      </c>
      <c r="F24">
        <v>2497.2530000000002</v>
      </c>
      <c r="H24" s="2">
        <f t="shared" si="0"/>
        <v>2454.5828000000001</v>
      </c>
      <c r="I24" s="2">
        <f t="shared" si="1"/>
        <v>67.316849199438948</v>
      </c>
      <c r="K24">
        <v>17.5</v>
      </c>
      <c r="L24">
        <v>2364.4650000000001</v>
      </c>
      <c r="M24">
        <v>2138.326</v>
      </c>
      <c r="N24">
        <v>2363.4609999999998</v>
      </c>
      <c r="O24">
        <v>2229.9180000000001</v>
      </c>
      <c r="P24">
        <v>2321.7550000000001</v>
      </c>
      <c r="R24" s="3">
        <f t="shared" si="2"/>
        <v>2283.585</v>
      </c>
      <c r="S24" s="3">
        <f t="shared" si="3"/>
        <v>43.794418962922641</v>
      </c>
    </row>
    <row r="25" spans="1:19" x14ac:dyDescent="0.25">
      <c r="A25">
        <v>18.75</v>
      </c>
      <c r="B25">
        <v>2663.0830000000001</v>
      </c>
      <c r="C25">
        <v>2364.9870000000001</v>
      </c>
      <c r="D25">
        <v>2269.8850000000002</v>
      </c>
      <c r="E25">
        <v>2458.1790000000001</v>
      </c>
      <c r="F25">
        <v>2498.1999999999998</v>
      </c>
      <c r="H25" s="2">
        <f t="shared" si="0"/>
        <v>2450.8667999999998</v>
      </c>
      <c r="I25" s="2">
        <f t="shared" si="1"/>
        <v>66.128423394482923</v>
      </c>
      <c r="K25">
        <v>18.75</v>
      </c>
      <c r="L25">
        <v>2365.904</v>
      </c>
      <c r="M25">
        <v>2136.1109999999999</v>
      </c>
      <c r="N25">
        <v>2370.2220000000002</v>
      </c>
      <c r="O25">
        <v>2219.5340000000001</v>
      </c>
      <c r="P25">
        <v>2327.835</v>
      </c>
      <c r="R25" s="3">
        <f t="shared" si="2"/>
        <v>2283.9211999999998</v>
      </c>
      <c r="S25" s="3">
        <f t="shared" si="3"/>
        <v>45.875372562410895</v>
      </c>
    </row>
    <row r="26" spans="1:19" x14ac:dyDescent="0.25">
      <c r="A26">
        <v>20</v>
      </c>
      <c r="B26">
        <v>2644.134</v>
      </c>
      <c r="C26">
        <v>2355.14</v>
      </c>
      <c r="D26">
        <v>2273.471</v>
      </c>
      <c r="E26">
        <v>2454.4169999999999</v>
      </c>
      <c r="F26">
        <v>2506.223</v>
      </c>
      <c r="H26" s="2">
        <f t="shared" si="0"/>
        <v>2446.6769999999997</v>
      </c>
      <c r="I26" s="2">
        <f t="shared" si="1"/>
        <v>63.629490556659348</v>
      </c>
      <c r="K26">
        <v>20</v>
      </c>
      <c r="L26">
        <v>2353.7510000000002</v>
      </c>
      <c r="M26">
        <v>2133.09</v>
      </c>
      <c r="N26">
        <v>2373.5500000000002</v>
      </c>
      <c r="O26">
        <v>2218.337</v>
      </c>
      <c r="P26">
        <v>2330.223</v>
      </c>
      <c r="R26" s="3">
        <f t="shared" si="2"/>
        <v>2281.7902000000004</v>
      </c>
      <c r="S26" s="3">
        <f t="shared" si="3"/>
        <v>45.87047624496612</v>
      </c>
    </row>
    <row r="27" spans="1:19" x14ac:dyDescent="0.25">
      <c r="A27">
        <v>21.25</v>
      </c>
      <c r="B27">
        <v>2648.511</v>
      </c>
      <c r="C27">
        <v>2366.9290000000001</v>
      </c>
      <c r="D27">
        <v>2289.4560000000001</v>
      </c>
      <c r="E27">
        <v>2468.0500000000002</v>
      </c>
      <c r="F27">
        <v>2522.3760000000002</v>
      </c>
      <c r="H27" s="2">
        <f t="shared" si="0"/>
        <v>2459.0644000000002</v>
      </c>
      <c r="I27" s="2">
        <f t="shared" si="1"/>
        <v>62.143002517258502</v>
      </c>
      <c r="K27">
        <v>21.25</v>
      </c>
      <c r="L27">
        <v>2357.5949999999998</v>
      </c>
      <c r="M27">
        <v>2140.194</v>
      </c>
      <c r="N27">
        <v>2400.268</v>
      </c>
      <c r="O27">
        <v>2245.569</v>
      </c>
      <c r="P27">
        <v>2344.1979999999999</v>
      </c>
      <c r="R27" s="3">
        <f t="shared" si="2"/>
        <v>2297.5648000000001</v>
      </c>
      <c r="S27" s="3">
        <f t="shared" si="3"/>
        <v>46.79495670197803</v>
      </c>
    </row>
    <row r="28" spans="1:19" x14ac:dyDescent="0.25">
      <c r="A28">
        <v>22.5</v>
      </c>
      <c r="B28">
        <v>2695.4870000000001</v>
      </c>
      <c r="C28">
        <v>2388.7429999999999</v>
      </c>
      <c r="D28">
        <v>2320.761</v>
      </c>
      <c r="E28">
        <v>2514.056</v>
      </c>
      <c r="F28">
        <v>2550.1149999999998</v>
      </c>
      <c r="H28" s="2">
        <f t="shared" si="0"/>
        <v>2493.8324000000002</v>
      </c>
      <c r="I28" s="2">
        <f t="shared" si="1"/>
        <v>65.283533242005234</v>
      </c>
      <c r="K28">
        <v>22.5</v>
      </c>
      <c r="L28">
        <v>2388.2930000000001</v>
      </c>
      <c r="M28">
        <v>2163.0189999999998</v>
      </c>
      <c r="N28">
        <v>2442.4520000000002</v>
      </c>
      <c r="O28">
        <v>2290.9569999999999</v>
      </c>
      <c r="P28">
        <v>2364.9450000000002</v>
      </c>
      <c r="R28" s="3">
        <f t="shared" si="2"/>
        <v>2329.9331999999999</v>
      </c>
      <c r="S28" s="3">
        <f t="shared" si="3"/>
        <v>48.30717704275429</v>
      </c>
    </row>
    <row r="29" spans="1:19" x14ac:dyDescent="0.25">
      <c r="A29">
        <v>23.75</v>
      </c>
      <c r="B29">
        <v>2758.741</v>
      </c>
      <c r="C29">
        <v>2432.25</v>
      </c>
      <c r="D29">
        <v>2365.9789999999998</v>
      </c>
      <c r="E29">
        <v>2570.7190000000001</v>
      </c>
      <c r="F29">
        <v>2593.328</v>
      </c>
      <c r="H29" s="2">
        <f t="shared" si="0"/>
        <v>2544.2033999999994</v>
      </c>
      <c r="I29" s="2">
        <f t="shared" si="1"/>
        <v>68.35209788631218</v>
      </c>
      <c r="K29">
        <v>23.75</v>
      </c>
      <c r="L29">
        <v>2437.9110000000001</v>
      </c>
      <c r="M29">
        <v>2198.3200000000002</v>
      </c>
      <c r="N29">
        <v>2480.42</v>
      </c>
      <c r="O29">
        <v>2330.4140000000002</v>
      </c>
      <c r="P29">
        <v>2402.0349999999999</v>
      </c>
      <c r="R29" s="3">
        <f t="shared" si="2"/>
        <v>2369.8200000000002</v>
      </c>
      <c r="S29" s="3">
        <f t="shared" si="3"/>
        <v>49.432597211758932</v>
      </c>
    </row>
    <row r="30" spans="1:19" x14ac:dyDescent="0.25">
      <c r="A30">
        <v>25</v>
      </c>
      <c r="B30">
        <v>2791.2280000000001</v>
      </c>
      <c r="C30">
        <v>2470.058</v>
      </c>
      <c r="D30">
        <v>2401.393</v>
      </c>
      <c r="E30">
        <v>2595.39</v>
      </c>
      <c r="F30">
        <v>2632.4079999999999</v>
      </c>
      <c r="H30" s="2">
        <f t="shared" si="0"/>
        <v>2578.0953999999997</v>
      </c>
      <c r="I30" s="2">
        <f t="shared" si="1"/>
        <v>67.664719335559212</v>
      </c>
      <c r="K30">
        <v>25</v>
      </c>
      <c r="L30">
        <v>2465.6840000000002</v>
      </c>
      <c r="M30">
        <v>2223.9609999999998</v>
      </c>
      <c r="N30">
        <v>2501.37</v>
      </c>
      <c r="O30">
        <v>2359.8049999999998</v>
      </c>
      <c r="P30">
        <v>2439.453</v>
      </c>
      <c r="R30" s="3">
        <f t="shared" si="2"/>
        <v>2398.0545999999999</v>
      </c>
      <c r="S30" s="3">
        <f t="shared" si="3"/>
        <v>49.362561018042854</v>
      </c>
    </row>
    <row r="31" spans="1:19" x14ac:dyDescent="0.25">
      <c r="A31">
        <v>26.25</v>
      </c>
      <c r="B31">
        <v>2794.4549999999999</v>
      </c>
      <c r="C31">
        <v>2484.3310000000001</v>
      </c>
      <c r="D31">
        <v>2408.77</v>
      </c>
      <c r="E31">
        <v>2593.652</v>
      </c>
      <c r="F31">
        <v>2645.116</v>
      </c>
      <c r="H31" s="2">
        <f t="shared" si="0"/>
        <v>2585.2647999999999</v>
      </c>
      <c r="I31" s="2">
        <f t="shared" si="1"/>
        <v>66.614974837043945</v>
      </c>
      <c r="K31">
        <v>26.25</v>
      </c>
      <c r="L31">
        <v>2471.2069999999999</v>
      </c>
      <c r="M31">
        <v>2245.4859999999999</v>
      </c>
      <c r="N31">
        <v>2506.4189999999999</v>
      </c>
      <c r="O31">
        <v>2377.0569999999998</v>
      </c>
      <c r="P31">
        <v>2449.1579999999999</v>
      </c>
      <c r="R31" s="3">
        <f t="shared" si="2"/>
        <v>2409.8653999999997</v>
      </c>
      <c r="S31" s="3">
        <f t="shared" si="3"/>
        <v>46.220274898143991</v>
      </c>
    </row>
    <row r="32" spans="1:19" x14ac:dyDescent="0.25">
      <c r="A32">
        <v>27.5</v>
      </c>
      <c r="B32">
        <v>2804.723</v>
      </c>
      <c r="C32">
        <v>2475.7750000000001</v>
      </c>
      <c r="D32">
        <v>2410.8049999999998</v>
      </c>
      <c r="E32">
        <v>2589.1289999999999</v>
      </c>
      <c r="F32">
        <v>2647.5219999999999</v>
      </c>
      <c r="H32" s="2">
        <f t="shared" si="0"/>
        <v>2585.5908000000004</v>
      </c>
      <c r="I32" s="2">
        <f t="shared" si="1"/>
        <v>68.730087763948035</v>
      </c>
      <c r="K32">
        <v>27.5</v>
      </c>
      <c r="L32">
        <v>2485.0819999999999</v>
      </c>
      <c r="M32">
        <v>2253.4059999999999</v>
      </c>
      <c r="N32">
        <v>2513.386</v>
      </c>
      <c r="O32">
        <v>2383.81</v>
      </c>
      <c r="P32">
        <v>2448.0509999999999</v>
      </c>
      <c r="R32" s="3">
        <f t="shared" si="2"/>
        <v>2416.7469999999998</v>
      </c>
      <c r="S32" s="3">
        <f t="shared" si="3"/>
        <v>46.235179902321129</v>
      </c>
    </row>
    <row r="33" spans="1:19" x14ac:dyDescent="0.25">
      <c r="A33">
        <v>28.75</v>
      </c>
      <c r="B33">
        <v>2814.6619999999998</v>
      </c>
      <c r="C33">
        <v>2475.674</v>
      </c>
      <c r="D33">
        <v>2434.473</v>
      </c>
      <c r="E33">
        <v>2606.7139999999999</v>
      </c>
      <c r="F33">
        <v>2655.3359999999998</v>
      </c>
      <c r="H33" s="2">
        <f t="shared" si="0"/>
        <v>2597.3717999999999</v>
      </c>
      <c r="I33" s="2">
        <f t="shared" si="1"/>
        <v>67.826443871398681</v>
      </c>
      <c r="K33">
        <v>28.75</v>
      </c>
      <c r="L33">
        <v>2505.9780000000001</v>
      </c>
      <c r="M33">
        <v>2272.9079999999999</v>
      </c>
      <c r="N33">
        <v>2534.393</v>
      </c>
      <c r="O33">
        <v>2393.694</v>
      </c>
      <c r="P33">
        <v>2447.6089999999999</v>
      </c>
      <c r="R33" s="3">
        <f t="shared" si="2"/>
        <v>2430.9164000000001</v>
      </c>
      <c r="S33" s="3">
        <f t="shared" si="3"/>
        <v>46.353238813053849</v>
      </c>
    </row>
    <row r="34" spans="1:19" x14ac:dyDescent="0.25">
      <c r="A34">
        <v>30</v>
      </c>
      <c r="B34">
        <v>2831.9319999999998</v>
      </c>
      <c r="C34">
        <v>2479.4850000000001</v>
      </c>
      <c r="D34">
        <v>2452.114</v>
      </c>
      <c r="E34">
        <v>2635.491</v>
      </c>
      <c r="F34">
        <v>2669.3519999999999</v>
      </c>
      <c r="H34" s="2">
        <f t="shared" si="0"/>
        <v>2613.6747999999998</v>
      </c>
      <c r="I34" s="2">
        <f t="shared" si="1"/>
        <v>69.036547224930004</v>
      </c>
      <c r="K34">
        <v>30</v>
      </c>
      <c r="L34">
        <v>2536.9940000000001</v>
      </c>
      <c r="M34">
        <v>2296.6880000000001</v>
      </c>
      <c r="N34">
        <v>2554.1709999999998</v>
      </c>
      <c r="O34">
        <v>2417.52</v>
      </c>
      <c r="P34">
        <v>2462.9929999999999</v>
      </c>
      <c r="R34" s="3">
        <f t="shared" si="2"/>
        <v>2453.6732000000002</v>
      </c>
      <c r="S34" s="3">
        <f t="shared" si="3"/>
        <v>46.411436671794569</v>
      </c>
    </row>
    <row r="35" spans="1:19" x14ac:dyDescent="0.25">
      <c r="A35">
        <v>31.25</v>
      </c>
      <c r="B35">
        <v>2835.9259999999999</v>
      </c>
      <c r="C35">
        <v>2490.701</v>
      </c>
      <c r="D35">
        <v>2459.2440000000001</v>
      </c>
      <c r="E35">
        <v>2638.5010000000002</v>
      </c>
      <c r="F35">
        <v>2683.857</v>
      </c>
      <c r="H35" s="2">
        <f t="shared" si="0"/>
        <v>2621.6458000000002</v>
      </c>
      <c r="I35" s="2">
        <f t="shared" si="1"/>
        <v>68.407317070178948</v>
      </c>
      <c r="K35">
        <v>31.25</v>
      </c>
      <c r="L35">
        <v>2564.8890000000001</v>
      </c>
      <c r="M35">
        <v>2304.0889999999999</v>
      </c>
      <c r="N35">
        <v>2561.0770000000002</v>
      </c>
      <c r="O35">
        <v>2431.3870000000002</v>
      </c>
      <c r="P35">
        <v>2474.4549999999999</v>
      </c>
      <c r="R35" s="3">
        <f t="shared" si="2"/>
        <v>2467.1794</v>
      </c>
      <c r="S35" s="3">
        <f t="shared" si="3"/>
        <v>48.112594007806351</v>
      </c>
    </row>
    <row r="36" spans="1:19" x14ac:dyDescent="0.25">
      <c r="A36">
        <v>32.5</v>
      </c>
      <c r="B36">
        <v>2833.8029999999999</v>
      </c>
      <c r="C36">
        <v>2506.3980000000001</v>
      </c>
      <c r="D36">
        <v>2462.8020000000001</v>
      </c>
      <c r="E36">
        <v>2646.7330000000002</v>
      </c>
      <c r="F36">
        <v>2695.8449999999998</v>
      </c>
      <c r="H36" s="2">
        <f t="shared" si="0"/>
        <v>2629.1161999999999</v>
      </c>
      <c r="I36" s="2">
        <f t="shared" si="1"/>
        <v>66.850557297153429</v>
      </c>
      <c r="K36">
        <v>32.5</v>
      </c>
      <c r="L36">
        <v>2565.1309999999999</v>
      </c>
      <c r="M36">
        <v>2304.837</v>
      </c>
      <c r="N36">
        <v>2565.4050000000002</v>
      </c>
      <c r="O36">
        <v>2433.0929999999998</v>
      </c>
      <c r="P36">
        <v>2485.8679999999999</v>
      </c>
      <c r="R36" s="3">
        <f t="shared" si="2"/>
        <v>2470.8668000000002</v>
      </c>
      <c r="S36" s="3">
        <f t="shared" si="3"/>
        <v>48.497938676195311</v>
      </c>
    </row>
    <row r="37" spans="1:19" x14ac:dyDescent="0.25">
      <c r="A37">
        <v>33.75</v>
      </c>
      <c r="B37">
        <v>2830.971</v>
      </c>
      <c r="C37">
        <v>2512.9760000000001</v>
      </c>
      <c r="D37">
        <v>2470.6559999999999</v>
      </c>
      <c r="E37">
        <v>2639.5920000000001</v>
      </c>
      <c r="F37">
        <v>2690.1210000000001</v>
      </c>
      <c r="H37" s="2">
        <f t="shared" si="0"/>
        <v>2628.8631999999998</v>
      </c>
      <c r="I37" s="2">
        <f t="shared" si="1"/>
        <v>64.488196317930928</v>
      </c>
      <c r="K37">
        <v>33.75</v>
      </c>
      <c r="L37">
        <v>2558.9029999999998</v>
      </c>
      <c r="M37">
        <v>2300.4679999999998</v>
      </c>
      <c r="N37">
        <v>2581.1370000000002</v>
      </c>
      <c r="O37">
        <v>2441.0459999999998</v>
      </c>
      <c r="P37">
        <v>2501.7890000000002</v>
      </c>
      <c r="R37" s="3">
        <f t="shared" si="2"/>
        <v>2476.6686</v>
      </c>
      <c r="S37" s="3">
        <f t="shared" si="3"/>
        <v>50.310435651661813</v>
      </c>
    </row>
    <row r="38" spans="1:19" x14ac:dyDescent="0.25">
      <c r="A38">
        <v>35</v>
      </c>
      <c r="B38">
        <v>2782.002</v>
      </c>
      <c r="C38">
        <v>2469.6779999999999</v>
      </c>
      <c r="D38">
        <v>2429.3290000000002</v>
      </c>
      <c r="E38">
        <v>2579.1080000000002</v>
      </c>
      <c r="F38">
        <v>2634.3090000000002</v>
      </c>
      <c r="H38" s="2">
        <f t="shared" si="0"/>
        <v>2578.8851999999997</v>
      </c>
      <c r="I38" s="2">
        <f t="shared" si="1"/>
        <v>62.698305869776085</v>
      </c>
      <c r="K38">
        <v>35</v>
      </c>
      <c r="L38">
        <v>2507.5770000000002</v>
      </c>
      <c r="M38">
        <v>2259.21</v>
      </c>
      <c r="N38">
        <v>2545.3200000000002</v>
      </c>
      <c r="O38">
        <v>2387.413</v>
      </c>
      <c r="P38">
        <v>2458.9430000000002</v>
      </c>
      <c r="R38" s="3">
        <f t="shared" si="2"/>
        <v>2431.6925999999999</v>
      </c>
      <c r="S38" s="3">
        <f t="shared" si="3"/>
        <v>50.558452692502406</v>
      </c>
    </row>
    <row r="39" spans="1:19" x14ac:dyDescent="0.25">
      <c r="A39">
        <v>36.25</v>
      </c>
      <c r="B39">
        <v>2647.038</v>
      </c>
      <c r="C39">
        <v>2347.4079999999999</v>
      </c>
      <c r="D39">
        <v>2312</v>
      </c>
      <c r="E39">
        <v>2469.491</v>
      </c>
      <c r="F39">
        <v>2502.607</v>
      </c>
      <c r="H39" s="2">
        <f t="shared" si="0"/>
        <v>2455.7087999999999</v>
      </c>
      <c r="I39" s="2">
        <f t="shared" si="1"/>
        <v>59.740076770456213</v>
      </c>
      <c r="K39">
        <v>36.25</v>
      </c>
      <c r="L39">
        <v>2381.29</v>
      </c>
      <c r="M39">
        <v>2158.8049999999998</v>
      </c>
      <c r="N39">
        <v>2423.4349999999999</v>
      </c>
      <c r="O39">
        <v>2273.2710000000002</v>
      </c>
      <c r="P39">
        <v>2341.6329999999998</v>
      </c>
      <c r="R39" s="3">
        <f t="shared" si="2"/>
        <v>2315.6867999999999</v>
      </c>
      <c r="S39" s="3">
        <f t="shared" si="3"/>
        <v>46.366830282433583</v>
      </c>
    </row>
    <row r="40" spans="1:19" x14ac:dyDescent="0.25">
      <c r="A40">
        <v>37.5</v>
      </c>
      <c r="B40">
        <v>2453.5880000000002</v>
      </c>
      <c r="C40">
        <v>2179.2930000000001</v>
      </c>
      <c r="D40">
        <v>2146.1289999999999</v>
      </c>
      <c r="E40">
        <v>2315.3589999999999</v>
      </c>
      <c r="F40">
        <v>2321.556</v>
      </c>
      <c r="H40" s="2">
        <f t="shared" si="0"/>
        <v>2283.1850000000004</v>
      </c>
      <c r="I40" s="2">
        <f t="shared" si="1"/>
        <v>55.282265296385994</v>
      </c>
      <c r="K40">
        <v>37.5</v>
      </c>
      <c r="L40">
        <v>2221.5509999999999</v>
      </c>
      <c r="M40">
        <v>2002.3630000000001</v>
      </c>
      <c r="N40">
        <v>2252.547</v>
      </c>
      <c r="O40">
        <v>2114.8850000000002</v>
      </c>
      <c r="P40">
        <v>2190.4969999999998</v>
      </c>
      <c r="R40" s="3">
        <f t="shared" si="2"/>
        <v>2156.3685999999998</v>
      </c>
      <c r="S40" s="3">
        <f t="shared" si="3"/>
        <v>44.77856154634712</v>
      </c>
    </row>
    <row r="41" spans="1:19" x14ac:dyDescent="0.25">
      <c r="A41">
        <v>38.75</v>
      </c>
      <c r="B41">
        <v>2264.672</v>
      </c>
      <c r="C41">
        <v>2006.8969999999999</v>
      </c>
      <c r="D41">
        <v>1978.9380000000001</v>
      </c>
      <c r="E41">
        <v>2137.6909999999998</v>
      </c>
      <c r="F41">
        <v>2145.0239999999999</v>
      </c>
      <c r="H41" s="2">
        <f t="shared" si="0"/>
        <v>2106.6444000000001</v>
      </c>
      <c r="I41" s="2">
        <f t="shared" si="1"/>
        <v>51.801580978383264</v>
      </c>
      <c r="K41">
        <v>38.75</v>
      </c>
      <c r="L41">
        <v>2044.5640000000001</v>
      </c>
      <c r="M41">
        <v>1866.771</v>
      </c>
      <c r="N41">
        <v>2088.1959999999999</v>
      </c>
      <c r="O41">
        <v>1940.1569999999999</v>
      </c>
      <c r="P41">
        <v>2034.383</v>
      </c>
      <c r="R41" s="3">
        <f t="shared" si="2"/>
        <v>1994.8142</v>
      </c>
      <c r="S41" s="3">
        <f t="shared" si="3"/>
        <v>40.08950216877232</v>
      </c>
    </row>
    <row r="42" spans="1:19" x14ac:dyDescent="0.25">
      <c r="A42">
        <v>40</v>
      </c>
      <c r="B42">
        <v>2156.7629999999999</v>
      </c>
      <c r="C42">
        <v>1911.2660000000001</v>
      </c>
      <c r="D42">
        <v>1880.6130000000001</v>
      </c>
      <c r="E42">
        <v>2022.9449999999999</v>
      </c>
      <c r="F42">
        <v>2036.6759999999999</v>
      </c>
      <c r="H42" s="2">
        <f t="shared" si="0"/>
        <v>2001.6525999999999</v>
      </c>
      <c r="I42" s="2">
        <f t="shared" si="1"/>
        <v>49.274518395008151</v>
      </c>
      <c r="K42">
        <v>40</v>
      </c>
      <c r="L42">
        <v>1938.4179999999999</v>
      </c>
      <c r="M42">
        <v>1785.962</v>
      </c>
      <c r="N42">
        <v>1987.681</v>
      </c>
      <c r="O42">
        <v>1852.498</v>
      </c>
      <c r="P42">
        <v>1939.798</v>
      </c>
      <c r="R42" s="3">
        <f t="shared" si="2"/>
        <v>1900.8714</v>
      </c>
      <c r="S42" s="3">
        <f t="shared" si="3"/>
        <v>36.059041894648281</v>
      </c>
    </row>
    <row r="43" spans="1:19" x14ac:dyDescent="0.25">
      <c r="A43">
        <v>41.25</v>
      </c>
      <c r="B43">
        <v>2121.2600000000002</v>
      </c>
      <c r="C43">
        <v>1883.7339999999999</v>
      </c>
      <c r="D43">
        <v>1851.1</v>
      </c>
      <c r="E43">
        <v>1982.2070000000001</v>
      </c>
      <c r="F43">
        <v>2007.43</v>
      </c>
      <c r="H43" s="2">
        <f t="shared" si="0"/>
        <v>1969.1461999999999</v>
      </c>
      <c r="I43" s="2">
        <f t="shared" si="1"/>
        <v>47.960917022509122</v>
      </c>
      <c r="K43">
        <v>41.25</v>
      </c>
      <c r="L43">
        <v>1907.3589999999999</v>
      </c>
      <c r="M43">
        <v>1760.5219999999999</v>
      </c>
      <c r="N43">
        <v>1947.453</v>
      </c>
      <c r="O43">
        <v>1826.2739999999999</v>
      </c>
      <c r="P43">
        <v>1909.1079999999999</v>
      </c>
      <c r="R43" s="3">
        <f t="shared" si="2"/>
        <v>1870.1432</v>
      </c>
      <c r="S43" s="3">
        <f t="shared" si="3"/>
        <v>33.77972082685114</v>
      </c>
    </row>
    <row r="44" spans="1:19" x14ac:dyDescent="0.25">
      <c r="A44">
        <v>42.5</v>
      </c>
      <c r="B44">
        <v>2117.4760000000001</v>
      </c>
      <c r="C44">
        <v>1883.9349999999999</v>
      </c>
      <c r="D44">
        <v>1853.4580000000001</v>
      </c>
      <c r="E44">
        <v>1981.2090000000001</v>
      </c>
      <c r="F44">
        <v>2016.1089999999999</v>
      </c>
      <c r="H44" s="2">
        <f t="shared" si="0"/>
        <v>1970.4374</v>
      </c>
      <c r="I44" s="2">
        <f t="shared" si="1"/>
        <v>47.428428992114014</v>
      </c>
      <c r="K44">
        <v>42.5</v>
      </c>
      <c r="L44">
        <v>1908.252</v>
      </c>
      <c r="M44">
        <v>1758.9549999999999</v>
      </c>
      <c r="N44">
        <v>1944.6279999999999</v>
      </c>
      <c r="O44">
        <v>1827.0840000000001</v>
      </c>
      <c r="P44">
        <v>1899.9590000000001</v>
      </c>
      <c r="R44" s="3">
        <f t="shared" si="2"/>
        <v>1867.7756000000002</v>
      </c>
      <c r="S44" s="3">
        <f t="shared" si="3"/>
        <v>33.225089069256079</v>
      </c>
    </row>
    <row r="45" spans="1:19" x14ac:dyDescent="0.25">
      <c r="A45">
        <v>43.75</v>
      </c>
      <c r="B45">
        <v>2114.2660000000001</v>
      </c>
      <c r="C45">
        <v>1898.9749999999999</v>
      </c>
      <c r="D45">
        <v>1872.5229999999999</v>
      </c>
      <c r="E45">
        <v>1988.06</v>
      </c>
      <c r="F45">
        <v>2016.6690000000001</v>
      </c>
      <c r="H45" s="2">
        <f t="shared" si="0"/>
        <v>1978.0986</v>
      </c>
      <c r="I45" s="2">
        <f t="shared" si="1"/>
        <v>43.321598228366447</v>
      </c>
      <c r="K45">
        <v>43.75</v>
      </c>
      <c r="L45">
        <v>1911.373</v>
      </c>
      <c r="M45">
        <v>1770.9939999999999</v>
      </c>
      <c r="N45">
        <v>1955.0619999999999</v>
      </c>
      <c r="O45">
        <v>1837.527</v>
      </c>
      <c r="P45">
        <v>1902.953</v>
      </c>
      <c r="R45" s="3">
        <f t="shared" si="2"/>
        <v>1875.5817999999999</v>
      </c>
      <c r="S45" s="3">
        <f t="shared" si="3"/>
        <v>32.197880746098804</v>
      </c>
    </row>
    <row r="46" spans="1:19" x14ac:dyDescent="0.25">
      <c r="A46">
        <v>45</v>
      </c>
      <c r="B46">
        <v>2125.7399999999998</v>
      </c>
      <c r="C46">
        <v>1922.615</v>
      </c>
      <c r="D46">
        <v>1907.269</v>
      </c>
      <c r="E46">
        <v>2004.3</v>
      </c>
      <c r="F46">
        <v>2027.5129999999999</v>
      </c>
      <c r="H46" s="2">
        <f t="shared" si="0"/>
        <v>1997.4874</v>
      </c>
      <c r="I46" s="2">
        <f t="shared" si="1"/>
        <v>39.460051673306218</v>
      </c>
      <c r="K46">
        <v>45</v>
      </c>
      <c r="L46">
        <v>1938.5809999999999</v>
      </c>
      <c r="M46">
        <v>1796.8720000000001</v>
      </c>
      <c r="N46">
        <v>1972.681</v>
      </c>
      <c r="O46">
        <v>1846.8820000000001</v>
      </c>
      <c r="P46">
        <v>1925.5239999999999</v>
      </c>
      <c r="R46" s="3">
        <f t="shared" si="2"/>
        <v>1896.1079999999997</v>
      </c>
      <c r="S46" s="3">
        <f t="shared" si="3"/>
        <v>32.251871175173676</v>
      </c>
    </row>
    <row r="47" spans="1:19" x14ac:dyDescent="0.25">
      <c r="A47">
        <v>46.25</v>
      </c>
      <c r="B47">
        <v>2174.6419999999998</v>
      </c>
      <c r="C47">
        <v>1962.279</v>
      </c>
      <c r="D47">
        <v>1954.2660000000001</v>
      </c>
      <c r="E47">
        <v>2058.8429999999998</v>
      </c>
      <c r="F47">
        <v>2080.2350000000001</v>
      </c>
      <c r="H47" s="2">
        <f t="shared" si="0"/>
        <v>2046.0529999999999</v>
      </c>
      <c r="I47" s="2">
        <f t="shared" si="1"/>
        <v>40.810574971445782</v>
      </c>
      <c r="K47">
        <v>46.25</v>
      </c>
      <c r="L47">
        <v>1996.355</v>
      </c>
      <c r="M47">
        <v>1840.059</v>
      </c>
      <c r="N47">
        <v>2032.009</v>
      </c>
      <c r="O47">
        <v>1890.4059999999999</v>
      </c>
      <c r="P47">
        <v>1966.5440000000001</v>
      </c>
      <c r="R47" s="3">
        <f t="shared" si="2"/>
        <v>1945.0745999999999</v>
      </c>
      <c r="S47" s="3">
        <f t="shared" si="3"/>
        <v>35.117756572138845</v>
      </c>
    </row>
    <row r="48" spans="1:19" x14ac:dyDescent="0.25">
      <c r="A48">
        <v>47.5</v>
      </c>
      <c r="B48">
        <v>2270.6439999999998</v>
      </c>
      <c r="C48">
        <v>2041.347</v>
      </c>
      <c r="D48">
        <v>2040.1759999999999</v>
      </c>
      <c r="E48">
        <v>2152.069</v>
      </c>
      <c r="F48">
        <v>2173.308</v>
      </c>
      <c r="H48" s="2">
        <f t="shared" si="0"/>
        <v>2135.5087999999996</v>
      </c>
      <c r="I48" s="2">
        <f t="shared" si="1"/>
        <v>43.542697067820654</v>
      </c>
      <c r="K48">
        <v>47.5</v>
      </c>
      <c r="L48">
        <v>2071.8240000000001</v>
      </c>
      <c r="M48">
        <v>1925.894</v>
      </c>
      <c r="N48">
        <v>2127.6680000000001</v>
      </c>
      <c r="O48">
        <v>1970.2070000000001</v>
      </c>
      <c r="P48">
        <v>2043.328</v>
      </c>
      <c r="R48" s="3">
        <f t="shared" si="2"/>
        <v>2027.7842000000001</v>
      </c>
      <c r="S48" s="3">
        <f t="shared" si="3"/>
        <v>35.954578304299453</v>
      </c>
    </row>
    <row r="49" spans="1:19" x14ac:dyDescent="0.25">
      <c r="A49">
        <v>48.75</v>
      </c>
      <c r="B49">
        <v>2398.6779999999999</v>
      </c>
      <c r="C49">
        <v>2142.3139999999999</v>
      </c>
      <c r="D49">
        <v>2136.473</v>
      </c>
      <c r="E49">
        <v>2258.5970000000002</v>
      </c>
      <c r="F49">
        <v>2278.2710000000002</v>
      </c>
      <c r="H49" s="2">
        <f t="shared" si="0"/>
        <v>2242.8666000000003</v>
      </c>
      <c r="I49" s="2">
        <f t="shared" si="1"/>
        <v>48.584222172017952</v>
      </c>
      <c r="K49">
        <v>48.75</v>
      </c>
      <c r="L49">
        <v>2174.5369999999998</v>
      </c>
      <c r="M49">
        <v>2031.2739999999999</v>
      </c>
      <c r="N49">
        <v>2222.8389999999999</v>
      </c>
      <c r="O49">
        <v>2078.5120000000002</v>
      </c>
      <c r="P49">
        <v>2145.422</v>
      </c>
      <c r="R49" s="3">
        <f t="shared" si="2"/>
        <v>2130.5168000000003</v>
      </c>
      <c r="S49" s="3">
        <f t="shared" si="3"/>
        <v>34.085894577376123</v>
      </c>
    </row>
    <row r="50" spans="1:19" x14ac:dyDescent="0.25">
      <c r="A50">
        <v>50</v>
      </c>
      <c r="B50">
        <v>2505.8679999999999</v>
      </c>
      <c r="C50">
        <v>2232.4940000000001</v>
      </c>
      <c r="D50">
        <v>2222.989</v>
      </c>
      <c r="E50">
        <v>2350.7730000000001</v>
      </c>
      <c r="F50">
        <v>2374.2939999999999</v>
      </c>
      <c r="H50" s="2">
        <f t="shared" si="0"/>
        <v>2337.2835999999998</v>
      </c>
      <c r="I50" s="2">
        <f t="shared" si="1"/>
        <v>51.969485951469601</v>
      </c>
      <c r="K50">
        <v>50</v>
      </c>
      <c r="L50">
        <v>2270.5790000000002</v>
      </c>
      <c r="M50">
        <v>2100.931</v>
      </c>
      <c r="N50">
        <v>2296.5419999999999</v>
      </c>
      <c r="O50">
        <v>2167.4479999999999</v>
      </c>
      <c r="P50">
        <v>2230.1709999999998</v>
      </c>
      <c r="R50" s="3">
        <f t="shared" si="2"/>
        <v>2213.1342</v>
      </c>
      <c r="S50" s="3">
        <f t="shared" si="3"/>
        <v>35.513240955170509</v>
      </c>
    </row>
    <row r="51" spans="1:19" x14ac:dyDescent="0.25">
      <c r="A51">
        <v>51.25</v>
      </c>
      <c r="B51">
        <v>2562.6410000000001</v>
      </c>
      <c r="C51">
        <v>2291.7950000000001</v>
      </c>
      <c r="D51">
        <v>2281.2809999999999</v>
      </c>
      <c r="E51">
        <v>2401.366</v>
      </c>
      <c r="F51">
        <v>2428.703</v>
      </c>
      <c r="H51" s="2">
        <f t="shared" si="0"/>
        <v>2393.1571999999996</v>
      </c>
      <c r="I51" s="2">
        <f t="shared" si="1"/>
        <v>51.403417431528823</v>
      </c>
      <c r="K51">
        <v>51.25</v>
      </c>
      <c r="L51">
        <v>2325.0729999999999</v>
      </c>
      <c r="M51">
        <v>2145.1869999999999</v>
      </c>
      <c r="N51">
        <v>2358.6660000000002</v>
      </c>
      <c r="O51">
        <v>2214.931</v>
      </c>
      <c r="P51">
        <v>2279.9969999999998</v>
      </c>
      <c r="R51" s="3">
        <f t="shared" si="2"/>
        <v>2264.7707999999998</v>
      </c>
      <c r="S51" s="3">
        <f t="shared" si="3"/>
        <v>38.385408660583529</v>
      </c>
    </row>
    <row r="52" spans="1:19" x14ac:dyDescent="0.25">
      <c r="A52">
        <v>52.5</v>
      </c>
      <c r="B52">
        <v>2579.268</v>
      </c>
      <c r="C52">
        <v>2296.125</v>
      </c>
      <c r="D52">
        <v>2299.0100000000002</v>
      </c>
      <c r="E52">
        <v>2399.835</v>
      </c>
      <c r="F52">
        <v>2436.4850000000001</v>
      </c>
      <c r="H52" s="2">
        <f t="shared" si="0"/>
        <v>2402.1446000000005</v>
      </c>
      <c r="I52" s="2">
        <f t="shared" si="1"/>
        <v>52.170009322023304</v>
      </c>
      <c r="K52">
        <v>52.5</v>
      </c>
      <c r="L52">
        <v>2329.1680000000001</v>
      </c>
      <c r="M52">
        <v>2164.2849999999999</v>
      </c>
      <c r="N52">
        <v>2379.7719999999999</v>
      </c>
      <c r="O52">
        <v>2229.5920000000001</v>
      </c>
      <c r="P52">
        <v>2310.4250000000002</v>
      </c>
      <c r="R52" s="3">
        <f t="shared" si="2"/>
        <v>2282.6483999999996</v>
      </c>
      <c r="S52" s="3">
        <f t="shared" si="3"/>
        <v>38.205681782426048</v>
      </c>
    </row>
    <row r="53" spans="1:19" x14ac:dyDescent="0.25">
      <c r="A53">
        <v>53.75</v>
      </c>
      <c r="B53">
        <v>2563.6529999999998</v>
      </c>
      <c r="C53">
        <v>2277.375</v>
      </c>
      <c r="D53">
        <v>2283.105</v>
      </c>
      <c r="E53">
        <v>2359.8580000000002</v>
      </c>
      <c r="F53">
        <v>2395.2370000000001</v>
      </c>
      <c r="H53" s="2">
        <f t="shared" si="0"/>
        <v>2375.8455999999996</v>
      </c>
      <c r="I53" s="2">
        <f t="shared" si="1"/>
        <v>52.057913517158902</v>
      </c>
      <c r="K53">
        <v>53.75</v>
      </c>
      <c r="L53">
        <v>2298.2199999999998</v>
      </c>
      <c r="M53">
        <v>2148.27</v>
      </c>
      <c r="N53">
        <v>2357.6750000000002</v>
      </c>
      <c r="O53">
        <v>2213.3980000000001</v>
      </c>
      <c r="P53">
        <v>2291.3820000000001</v>
      </c>
      <c r="R53" s="3">
        <f t="shared" si="2"/>
        <v>2261.7889999999998</v>
      </c>
      <c r="S53" s="3">
        <f t="shared" si="3"/>
        <v>36.486532205733127</v>
      </c>
    </row>
    <row r="54" spans="1:19" x14ac:dyDescent="0.25">
      <c r="A54">
        <v>55</v>
      </c>
      <c r="B54">
        <v>2483.7460000000001</v>
      </c>
      <c r="C54">
        <v>2209.9369999999999</v>
      </c>
      <c r="D54">
        <v>2217.0349999999999</v>
      </c>
      <c r="E54">
        <v>2276.6480000000001</v>
      </c>
      <c r="F54">
        <v>2314.7840000000001</v>
      </c>
      <c r="H54" s="2">
        <f t="shared" si="0"/>
        <v>2300.4299999999998</v>
      </c>
      <c r="I54" s="2">
        <f t="shared" si="1"/>
        <v>49.759464310822352</v>
      </c>
      <c r="K54">
        <v>55</v>
      </c>
      <c r="L54">
        <v>2220.9780000000001</v>
      </c>
      <c r="M54">
        <v>2075.7339999999999</v>
      </c>
      <c r="N54">
        <v>2282.8780000000002</v>
      </c>
      <c r="O54">
        <v>2144.9259999999999</v>
      </c>
      <c r="P54">
        <v>2210.9670000000001</v>
      </c>
      <c r="R54" s="3">
        <f t="shared" si="2"/>
        <v>2187.0965999999999</v>
      </c>
      <c r="S54" s="3">
        <f t="shared" si="3"/>
        <v>35.40608000838278</v>
      </c>
    </row>
    <row r="55" spans="1:19" x14ac:dyDescent="0.25">
      <c r="A55">
        <v>56.25</v>
      </c>
      <c r="B55">
        <v>2317.4630000000002</v>
      </c>
      <c r="C55">
        <v>2072.4960000000001</v>
      </c>
      <c r="D55">
        <v>2075.9650000000001</v>
      </c>
      <c r="E55">
        <v>2136.5120000000002</v>
      </c>
      <c r="F55">
        <v>2178.5250000000001</v>
      </c>
      <c r="H55" s="2">
        <f t="shared" si="0"/>
        <v>2156.1922000000004</v>
      </c>
      <c r="I55" s="2">
        <f t="shared" si="1"/>
        <v>44.908681050995042</v>
      </c>
      <c r="K55">
        <v>56.25</v>
      </c>
      <c r="L55">
        <v>2093.7179999999998</v>
      </c>
      <c r="M55">
        <v>1946.606</v>
      </c>
      <c r="N55">
        <v>2151.0790000000002</v>
      </c>
      <c r="O55">
        <v>2006.5820000000001</v>
      </c>
      <c r="P55">
        <v>2092.721</v>
      </c>
      <c r="R55" s="3">
        <f t="shared" si="2"/>
        <v>2058.1412</v>
      </c>
      <c r="S55" s="3">
        <f t="shared" si="3"/>
        <v>36.192097119951477</v>
      </c>
    </row>
    <row r="56" spans="1:19" x14ac:dyDescent="0.25">
      <c r="A56">
        <v>57.5</v>
      </c>
      <c r="B56">
        <v>2120.567</v>
      </c>
      <c r="C56">
        <v>1917.2550000000001</v>
      </c>
      <c r="D56">
        <v>1902.4580000000001</v>
      </c>
      <c r="E56">
        <v>1967.777</v>
      </c>
      <c r="F56">
        <v>2012.895</v>
      </c>
      <c r="H56" s="2">
        <f t="shared" si="0"/>
        <v>1984.1904000000002</v>
      </c>
      <c r="I56" s="2">
        <f t="shared" si="1"/>
        <v>39.276242037139937</v>
      </c>
      <c r="K56">
        <v>57.5</v>
      </c>
      <c r="L56">
        <v>1940.644</v>
      </c>
      <c r="M56">
        <v>1809.8630000000001</v>
      </c>
      <c r="N56">
        <v>2006.088</v>
      </c>
      <c r="O56">
        <v>1856.454</v>
      </c>
      <c r="P56">
        <v>1956.873</v>
      </c>
      <c r="R56" s="3">
        <f t="shared" si="2"/>
        <v>1913.9844000000001</v>
      </c>
      <c r="S56" s="3">
        <f t="shared" si="3"/>
        <v>35.485385919558489</v>
      </c>
    </row>
    <row r="57" spans="1:19" x14ac:dyDescent="0.25">
      <c r="A57">
        <v>58.75</v>
      </c>
      <c r="B57">
        <v>1957.546</v>
      </c>
      <c r="C57">
        <v>1788.47</v>
      </c>
      <c r="D57">
        <v>1769.549</v>
      </c>
      <c r="E57">
        <v>1822.951</v>
      </c>
      <c r="F57">
        <v>1870.125</v>
      </c>
      <c r="H57" s="2">
        <f t="shared" si="0"/>
        <v>1841.7282</v>
      </c>
      <c r="I57" s="2">
        <f t="shared" si="1"/>
        <v>33.629597876572959</v>
      </c>
      <c r="K57">
        <v>58.75</v>
      </c>
      <c r="L57">
        <v>1817.845</v>
      </c>
      <c r="M57">
        <v>1687.482</v>
      </c>
      <c r="N57">
        <v>1879.973</v>
      </c>
      <c r="O57">
        <v>1733.9290000000001</v>
      </c>
      <c r="P57">
        <v>1856.86</v>
      </c>
      <c r="R57" s="3">
        <f t="shared" si="2"/>
        <v>1795.2177999999999</v>
      </c>
      <c r="S57" s="3">
        <f t="shared" si="3"/>
        <v>36.645951027910286</v>
      </c>
    </row>
    <row r="58" spans="1:19" x14ac:dyDescent="0.25">
      <c r="A58">
        <v>60</v>
      </c>
      <c r="B58">
        <v>1872.1669999999999</v>
      </c>
      <c r="C58">
        <v>1707.355</v>
      </c>
      <c r="D58">
        <v>1690.4929999999999</v>
      </c>
      <c r="E58">
        <v>1730.3530000000001</v>
      </c>
      <c r="F58">
        <v>1776.1890000000001</v>
      </c>
      <c r="H58" s="2">
        <f t="shared" si="0"/>
        <v>1755.3113999999998</v>
      </c>
      <c r="I58" s="2">
        <f t="shared" si="1"/>
        <v>32.569363244619929</v>
      </c>
      <c r="K58">
        <v>60</v>
      </c>
      <c r="L58">
        <v>1723.181</v>
      </c>
      <c r="M58">
        <v>1618.451</v>
      </c>
      <c r="N58">
        <v>1795.5150000000001</v>
      </c>
      <c r="O58">
        <v>1664.49</v>
      </c>
      <c r="P58">
        <v>1775.6990000000001</v>
      </c>
      <c r="R58" s="3">
        <f t="shared" si="2"/>
        <v>1715.4671999999998</v>
      </c>
      <c r="S58" s="3">
        <f t="shared" si="3"/>
        <v>33.245932614983161</v>
      </c>
    </row>
    <row r="59" spans="1:19" x14ac:dyDescent="0.25">
      <c r="A59">
        <v>61.25</v>
      </c>
      <c r="B59">
        <v>1811.7750000000001</v>
      </c>
      <c r="C59">
        <v>1644.58</v>
      </c>
      <c r="D59">
        <v>1617.4490000000001</v>
      </c>
      <c r="E59">
        <v>1672.5989999999999</v>
      </c>
      <c r="F59">
        <v>1703.72</v>
      </c>
      <c r="H59" s="2">
        <f t="shared" si="0"/>
        <v>1690.0246</v>
      </c>
      <c r="I59" s="2">
        <f t="shared" si="1"/>
        <v>33.650263595698632</v>
      </c>
      <c r="K59">
        <v>61.25</v>
      </c>
      <c r="L59">
        <v>1647.5530000000001</v>
      </c>
      <c r="M59">
        <v>1556.296</v>
      </c>
      <c r="N59">
        <v>1733.5239999999999</v>
      </c>
      <c r="O59">
        <v>1603.6790000000001</v>
      </c>
      <c r="P59">
        <v>1728.5170000000001</v>
      </c>
      <c r="R59" s="3">
        <f t="shared" si="2"/>
        <v>1653.9137999999998</v>
      </c>
      <c r="S59" s="3">
        <f t="shared" si="3"/>
        <v>34.638599263538332</v>
      </c>
    </row>
    <row r="60" spans="1:19" x14ac:dyDescent="0.25">
      <c r="A60">
        <v>62.5</v>
      </c>
      <c r="B60">
        <v>1757.2550000000001</v>
      </c>
      <c r="C60">
        <v>1592.154</v>
      </c>
      <c r="D60">
        <v>1575.4949999999999</v>
      </c>
      <c r="E60">
        <v>1633.713</v>
      </c>
      <c r="F60">
        <v>1655.1010000000001</v>
      </c>
      <c r="H60" s="2">
        <f t="shared" si="0"/>
        <v>1642.7436000000002</v>
      </c>
      <c r="I60" s="2">
        <f t="shared" si="1"/>
        <v>31.959974680215282</v>
      </c>
      <c r="K60">
        <v>62.5</v>
      </c>
      <c r="L60">
        <v>1614.826</v>
      </c>
      <c r="M60">
        <v>1508.152</v>
      </c>
      <c r="N60">
        <v>1681.367</v>
      </c>
      <c r="O60">
        <v>1556.5340000000001</v>
      </c>
      <c r="P60">
        <v>1714.3340000000001</v>
      </c>
      <c r="R60" s="3">
        <f t="shared" si="2"/>
        <v>1615.0426000000002</v>
      </c>
      <c r="S60" s="3">
        <f t="shared" si="3"/>
        <v>38.148795333011485</v>
      </c>
    </row>
    <row r="61" spans="1:19" x14ac:dyDescent="0.25">
      <c r="A61">
        <v>63.75</v>
      </c>
      <c r="B61">
        <v>1713.1</v>
      </c>
      <c r="C61">
        <v>1553.5509999999999</v>
      </c>
      <c r="D61">
        <v>1550.3040000000001</v>
      </c>
      <c r="E61">
        <v>1598.0930000000001</v>
      </c>
      <c r="F61">
        <v>1619.317</v>
      </c>
      <c r="H61" s="2">
        <f t="shared" si="0"/>
        <v>1606.873</v>
      </c>
      <c r="I61" s="2">
        <f t="shared" si="1"/>
        <v>29.630562355446429</v>
      </c>
      <c r="K61">
        <v>63.75</v>
      </c>
      <c r="L61">
        <v>1573.463</v>
      </c>
      <c r="M61">
        <v>1480.4059999999999</v>
      </c>
      <c r="N61">
        <v>1643.3710000000001</v>
      </c>
      <c r="O61">
        <v>1516.501</v>
      </c>
      <c r="P61">
        <v>1696.9649999999999</v>
      </c>
      <c r="R61" s="3">
        <f t="shared" si="2"/>
        <v>1582.1412</v>
      </c>
      <c r="S61" s="3">
        <f t="shared" si="3"/>
        <v>39.791702266176053</v>
      </c>
    </row>
    <row r="62" spans="1:19" x14ac:dyDescent="0.25">
      <c r="A62">
        <v>65</v>
      </c>
      <c r="B62">
        <v>1686.9259999999999</v>
      </c>
      <c r="C62">
        <v>1529.37</v>
      </c>
      <c r="D62">
        <v>1531.6669999999999</v>
      </c>
      <c r="E62">
        <v>1571.6010000000001</v>
      </c>
      <c r="F62">
        <v>1597.922</v>
      </c>
      <c r="H62" s="2">
        <f t="shared" si="0"/>
        <v>1583.4972000000002</v>
      </c>
      <c r="I62" s="2">
        <f t="shared" si="1"/>
        <v>28.86454097227254</v>
      </c>
      <c r="K62">
        <v>65</v>
      </c>
      <c r="L62">
        <v>1545.481</v>
      </c>
      <c r="M62">
        <v>1455.5709999999999</v>
      </c>
      <c r="N62">
        <v>1614.81</v>
      </c>
      <c r="O62">
        <v>1488.203</v>
      </c>
      <c r="P62">
        <v>1650.518</v>
      </c>
      <c r="R62" s="3">
        <f t="shared" si="2"/>
        <v>1550.9165999999998</v>
      </c>
      <c r="S62" s="3">
        <f t="shared" si="3"/>
        <v>36.780518115709036</v>
      </c>
    </row>
    <row r="63" spans="1:19" x14ac:dyDescent="0.25">
      <c r="A63">
        <v>66.25</v>
      </c>
      <c r="B63">
        <v>1667.614</v>
      </c>
      <c r="C63">
        <v>1515.816</v>
      </c>
      <c r="D63">
        <v>1520.3409999999999</v>
      </c>
      <c r="E63">
        <v>1551.556</v>
      </c>
      <c r="F63">
        <v>1587.037</v>
      </c>
      <c r="H63" s="2">
        <f t="shared" si="0"/>
        <v>1568.4728000000002</v>
      </c>
      <c r="I63" s="2">
        <f t="shared" si="1"/>
        <v>27.882964278211173</v>
      </c>
      <c r="K63">
        <v>66.25</v>
      </c>
      <c r="L63">
        <v>1527.2339999999999</v>
      </c>
      <c r="M63">
        <v>1437.1679999999999</v>
      </c>
      <c r="N63">
        <v>1593.8979999999999</v>
      </c>
      <c r="O63">
        <v>1457.873</v>
      </c>
      <c r="P63">
        <v>1599.7180000000001</v>
      </c>
      <c r="R63" s="3">
        <f t="shared" si="2"/>
        <v>1523.1782000000001</v>
      </c>
      <c r="S63" s="3">
        <f t="shared" si="3"/>
        <v>33.569781248021272</v>
      </c>
    </row>
    <row r="64" spans="1:19" x14ac:dyDescent="0.25">
      <c r="A64">
        <v>67.5</v>
      </c>
      <c r="B64">
        <v>1650.4280000000001</v>
      </c>
      <c r="C64">
        <v>1508.605</v>
      </c>
      <c r="D64">
        <v>1516.578</v>
      </c>
      <c r="E64">
        <v>1545.0139999999999</v>
      </c>
      <c r="F64">
        <v>1588.8140000000001</v>
      </c>
      <c r="H64" s="2">
        <f t="shared" si="0"/>
        <v>1561.8878000000002</v>
      </c>
      <c r="I64" s="2">
        <f t="shared" si="1"/>
        <v>26.21177897510967</v>
      </c>
      <c r="K64">
        <v>67.5</v>
      </c>
      <c r="L64">
        <v>1516.595</v>
      </c>
      <c r="M64">
        <v>1431.6179999999999</v>
      </c>
      <c r="N64">
        <v>1583.0740000000001</v>
      </c>
      <c r="O64">
        <v>1442.7380000000001</v>
      </c>
      <c r="P64">
        <v>1565.5160000000001</v>
      </c>
      <c r="R64" s="3">
        <f t="shared" si="2"/>
        <v>1507.9082000000003</v>
      </c>
      <c r="S64" s="3">
        <f t="shared" si="3"/>
        <v>30.91226794397333</v>
      </c>
    </row>
    <row r="65" spans="1:19" x14ac:dyDescent="0.25">
      <c r="A65">
        <v>68.75</v>
      </c>
      <c r="B65">
        <v>1641.6220000000001</v>
      </c>
      <c r="C65">
        <v>1501.991</v>
      </c>
      <c r="D65">
        <v>1518.3330000000001</v>
      </c>
      <c r="E65">
        <v>1547.796</v>
      </c>
      <c r="F65">
        <v>1577.867</v>
      </c>
      <c r="H65" s="2">
        <f t="shared" si="0"/>
        <v>1557.5218</v>
      </c>
      <c r="I65" s="2">
        <f t="shared" si="1"/>
        <v>24.698981540541304</v>
      </c>
      <c r="K65">
        <v>68.75</v>
      </c>
      <c r="L65">
        <v>1512.36</v>
      </c>
      <c r="M65">
        <v>1425.932</v>
      </c>
      <c r="N65">
        <v>1581.221</v>
      </c>
      <c r="O65">
        <v>1430.6949999999999</v>
      </c>
      <c r="P65">
        <v>1555.82</v>
      </c>
      <c r="R65" s="3">
        <f t="shared" si="2"/>
        <v>1501.2055999999998</v>
      </c>
      <c r="S65" s="3">
        <f t="shared" si="3"/>
        <v>31.739153370246029</v>
      </c>
    </row>
    <row r="66" spans="1:19" x14ac:dyDescent="0.25">
      <c r="A66">
        <v>70</v>
      </c>
      <c r="B66">
        <v>1637.008</v>
      </c>
      <c r="C66">
        <v>1496.3910000000001</v>
      </c>
      <c r="D66">
        <v>1513.5419999999999</v>
      </c>
      <c r="E66">
        <v>1540.5160000000001</v>
      </c>
      <c r="F66">
        <v>1561.635</v>
      </c>
      <c r="H66" s="2">
        <f t="shared" si="0"/>
        <v>1549.8184000000001</v>
      </c>
      <c r="I66" s="2">
        <f t="shared" si="1"/>
        <v>24.49352699918899</v>
      </c>
      <c r="K66">
        <v>70</v>
      </c>
      <c r="L66">
        <v>1496.2560000000001</v>
      </c>
      <c r="M66">
        <v>1423.2349999999999</v>
      </c>
      <c r="N66">
        <v>1574.1120000000001</v>
      </c>
      <c r="O66">
        <v>1427.181</v>
      </c>
      <c r="P66">
        <v>1528.4179999999999</v>
      </c>
      <c r="R66" s="3">
        <f t="shared" si="2"/>
        <v>1489.8403999999998</v>
      </c>
      <c r="S66" s="3">
        <f t="shared" si="3"/>
        <v>29.149248214319364</v>
      </c>
    </row>
    <row r="67" spans="1:19" x14ac:dyDescent="0.25">
      <c r="A67">
        <v>71.25</v>
      </c>
      <c r="B67">
        <v>1623.1569999999999</v>
      </c>
      <c r="C67">
        <v>1500.1869999999999</v>
      </c>
      <c r="D67">
        <v>1495.665</v>
      </c>
      <c r="E67">
        <v>1530.357</v>
      </c>
      <c r="F67">
        <v>1554.22</v>
      </c>
      <c r="H67" s="2">
        <f t="shared" si="0"/>
        <v>1540.7172</v>
      </c>
      <c r="I67" s="2">
        <f t="shared" si="1"/>
        <v>23.193078507175365</v>
      </c>
      <c r="K67">
        <v>71.25</v>
      </c>
      <c r="L67">
        <v>1487.36</v>
      </c>
      <c r="M67">
        <v>1412.9760000000001</v>
      </c>
      <c r="N67">
        <v>1558.2819999999999</v>
      </c>
      <c r="O67">
        <v>1415.6469999999999</v>
      </c>
      <c r="P67">
        <v>1511.17</v>
      </c>
      <c r="R67" s="3">
        <f t="shared" si="2"/>
        <v>1477.087</v>
      </c>
      <c r="S67" s="3">
        <f t="shared" si="3"/>
        <v>28.057893153264359</v>
      </c>
    </row>
    <row r="68" spans="1:19" x14ac:dyDescent="0.25">
      <c r="A68">
        <v>72.5</v>
      </c>
      <c r="B68">
        <v>1622.45</v>
      </c>
      <c r="C68">
        <v>1519.4259999999999</v>
      </c>
      <c r="D68">
        <v>1490.08</v>
      </c>
      <c r="E68">
        <v>1536.6859999999999</v>
      </c>
      <c r="F68">
        <v>1586.171</v>
      </c>
      <c r="H68" s="2">
        <f t="shared" si="0"/>
        <v>1550.9626000000001</v>
      </c>
      <c r="I68" s="2">
        <f t="shared" si="1"/>
        <v>23.722509583937384</v>
      </c>
      <c r="K68">
        <v>72.5</v>
      </c>
      <c r="L68">
        <v>1493.502</v>
      </c>
      <c r="M68">
        <v>1406.8630000000001</v>
      </c>
      <c r="N68">
        <v>1545.9459999999999</v>
      </c>
      <c r="O68">
        <v>1423.3520000000001</v>
      </c>
      <c r="P68">
        <v>1520.4960000000001</v>
      </c>
      <c r="R68" s="3">
        <f t="shared" si="2"/>
        <v>1478.0318</v>
      </c>
      <c r="S68" s="3">
        <f t="shared" si="3"/>
        <v>27.119875140568013</v>
      </c>
    </row>
    <row r="69" spans="1:19" x14ac:dyDescent="0.25">
      <c r="A69">
        <v>73.75</v>
      </c>
      <c r="B69">
        <v>1656.5260000000001</v>
      </c>
      <c r="C69">
        <v>1592.751</v>
      </c>
      <c r="D69">
        <v>1549.1759999999999</v>
      </c>
      <c r="E69">
        <v>1596.175</v>
      </c>
      <c r="F69">
        <v>1658.538</v>
      </c>
      <c r="H69" s="2">
        <f t="shared" ref="H69:H96" si="4">AVERAGE(B69:F69)</f>
        <v>1610.6331999999998</v>
      </c>
      <c r="I69" s="2">
        <f t="shared" ref="I69:I96" si="5">STDEV(B69:F69)/SQRT(COUNT(B69:F69))</f>
        <v>20.864825677201349</v>
      </c>
      <c r="K69">
        <v>73.75</v>
      </c>
      <c r="L69">
        <v>1551.2280000000001</v>
      </c>
      <c r="M69">
        <v>1460.64</v>
      </c>
      <c r="N69">
        <v>1597.827</v>
      </c>
      <c r="O69">
        <v>1462.4829999999999</v>
      </c>
      <c r="P69">
        <v>1606.9349999999999</v>
      </c>
      <c r="R69" s="3">
        <f t="shared" ref="R69:R96" si="6">AVERAGE(L69:P69)</f>
        <v>1535.8226000000002</v>
      </c>
      <c r="S69" s="3">
        <f t="shared" ref="S69:S96" si="7">STDEV(L69:P69)/SQRT(COUNT(L69:P69))</f>
        <v>31.756861993276338</v>
      </c>
    </row>
    <row r="70" spans="1:19" x14ac:dyDescent="0.25">
      <c r="A70">
        <v>75</v>
      </c>
      <c r="B70">
        <v>1802.357</v>
      </c>
      <c r="C70">
        <v>1753.2639999999999</v>
      </c>
      <c r="D70">
        <v>1713.0060000000001</v>
      </c>
      <c r="E70">
        <v>1725.3119999999999</v>
      </c>
      <c r="F70">
        <v>1769.395</v>
      </c>
      <c r="H70" s="2">
        <f t="shared" si="4"/>
        <v>1752.6668000000002</v>
      </c>
      <c r="I70" s="2">
        <f t="shared" si="5"/>
        <v>15.922577427665399</v>
      </c>
      <c r="K70">
        <v>75</v>
      </c>
      <c r="L70">
        <v>1731.931</v>
      </c>
      <c r="M70">
        <v>1623.7239999999999</v>
      </c>
      <c r="N70">
        <v>1740.511</v>
      </c>
      <c r="O70">
        <v>1614.2159999999999</v>
      </c>
      <c r="P70">
        <v>1720.6759999999999</v>
      </c>
      <c r="R70" s="3">
        <f t="shared" si="6"/>
        <v>1686.2115999999999</v>
      </c>
      <c r="S70" s="3">
        <f t="shared" si="7"/>
        <v>27.671781490536546</v>
      </c>
    </row>
    <row r="71" spans="1:19" x14ac:dyDescent="0.25">
      <c r="A71">
        <v>76.25</v>
      </c>
      <c r="B71">
        <v>1987.933</v>
      </c>
      <c r="C71">
        <v>1903.085</v>
      </c>
      <c r="D71">
        <v>1912.52</v>
      </c>
      <c r="E71">
        <v>1878.7819999999999</v>
      </c>
      <c r="F71">
        <v>1857.183</v>
      </c>
      <c r="H71" s="2">
        <f t="shared" si="4"/>
        <v>1907.9006000000002</v>
      </c>
      <c r="I71" s="2">
        <f t="shared" si="5"/>
        <v>22.21472678787655</v>
      </c>
      <c r="K71">
        <v>76.25</v>
      </c>
      <c r="L71">
        <v>1931.604</v>
      </c>
      <c r="M71">
        <v>1800.1679999999999</v>
      </c>
      <c r="N71">
        <v>1933.883</v>
      </c>
      <c r="O71">
        <v>1821.971</v>
      </c>
      <c r="P71">
        <v>1868.652</v>
      </c>
      <c r="R71" s="3">
        <f t="shared" si="6"/>
        <v>1871.2556</v>
      </c>
      <c r="S71" s="3">
        <f t="shared" si="7"/>
        <v>27.434757167870124</v>
      </c>
    </row>
    <row r="72" spans="1:19" x14ac:dyDescent="0.25">
      <c r="A72">
        <v>77.5</v>
      </c>
      <c r="B72">
        <v>2034.5239999999999</v>
      </c>
      <c r="C72">
        <v>1978.894</v>
      </c>
      <c r="D72">
        <v>1958.38</v>
      </c>
      <c r="E72">
        <v>1941.5940000000001</v>
      </c>
      <c r="F72">
        <v>1916.6189999999999</v>
      </c>
      <c r="H72" s="2">
        <f t="shared" si="4"/>
        <v>1966.0022000000001</v>
      </c>
      <c r="I72" s="2">
        <f t="shared" si="5"/>
        <v>19.942409815265542</v>
      </c>
      <c r="K72">
        <v>77.5</v>
      </c>
      <c r="L72">
        <v>1985.385</v>
      </c>
      <c r="M72">
        <v>1854.098</v>
      </c>
      <c r="N72">
        <v>1995.8109999999999</v>
      </c>
      <c r="O72">
        <v>1909.17</v>
      </c>
      <c r="P72">
        <v>1926.077</v>
      </c>
      <c r="R72" s="3">
        <f t="shared" si="6"/>
        <v>1934.1081999999999</v>
      </c>
      <c r="S72" s="3">
        <f t="shared" si="7"/>
        <v>26.004414858635052</v>
      </c>
    </row>
    <row r="73" spans="1:19" x14ac:dyDescent="0.25">
      <c r="A73">
        <v>78.75</v>
      </c>
      <c r="B73">
        <v>1988.691</v>
      </c>
      <c r="C73">
        <v>1994.146</v>
      </c>
      <c r="D73">
        <v>1872.296</v>
      </c>
      <c r="E73">
        <v>1899.25</v>
      </c>
      <c r="F73">
        <v>2016.7090000000001</v>
      </c>
      <c r="H73" s="2">
        <f t="shared" si="4"/>
        <v>1954.2184000000002</v>
      </c>
      <c r="I73" s="2">
        <f t="shared" si="5"/>
        <v>28.653492894584417</v>
      </c>
      <c r="K73">
        <v>78.75</v>
      </c>
      <c r="L73">
        <v>1900.7929999999999</v>
      </c>
      <c r="M73">
        <v>1786.7470000000001</v>
      </c>
      <c r="N73">
        <v>1944.172</v>
      </c>
      <c r="O73">
        <v>1840.7139999999999</v>
      </c>
      <c r="P73">
        <v>1877.5070000000001</v>
      </c>
      <c r="R73" s="3">
        <f t="shared" si="6"/>
        <v>1869.9865999999997</v>
      </c>
      <c r="S73" s="3">
        <f t="shared" si="7"/>
        <v>26.734603409439224</v>
      </c>
    </row>
    <row r="74" spans="1:19" x14ac:dyDescent="0.25">
      <c r="A74">
        <v>80</v>
      </c>
      <c r="B74">
        <v>1924.8</v>
      </c>
      <c r="C74">
        <v>2097.047</v>
      </c>
      <c r="D74">
        <v>1827.723</v>
      </c>
      <c r="E74">
        <v>1955.874</v>
      </c>
      <c r="F74">
        <v>2246.877</v>
      </c>
      <c r="H74" s="2">
        <f t="shared" si="4"/>
        <v>2010.4641999999999</v>
      </c>
      <c r="I74" s="2">
        <f t="shared" si="5"/>
        <v>73.177996875700273</v>
      </c>
      <c r="K74">
        <v>80</v>
      </c>
      <c r="L74">
        <v>1817.095</v>
      </c>
      <c r="M74">
        <v>1758.7439999999999</v>
      </c>
      <c r="N74">
        <v>1911.605</v>
      </c>
      <c r="O74">
        <v>1736.3920000000001</v>
      </c>
      <c r="P74">
        <v>1885.5630000000001</v>
      </c>
      <c r="R74" s="3">
        <f t="shared" si="6"/>
        <v>1821.8797999999999</v>
      </c>
      <c r="S74" s="3">
        <f t="shared" si="7"/>
        <v>34.22232383897974</v>
      </c>
    </row>
    <row r="75" spans="1:19" x14ac:dyDescent="0.25">
      <c r="A75">
        <v>81.25</v>
      </c>
      <c r="B75">
        <v>2097.741</v>
      </c>
      <c r="C75">
        <v>2388.9949999999999</v>
      </c>
      <c r="D75">
        <v>2093.2170000000001</v>
      </c>
      <c r="E75">
        <v>2276.5459999999998</v>
      </c>
      <c r="F75">
        <v>2747.86</v>
      </c>
      <c r="H75" s="2">
        <f t="shared" si="4"/>
        <v>2320.8717999999999</v>
      </c>
      <c r="I75" s="2">
        <f t="shared" si="5"/>
        <v>120.52770049552963</v>
      </c>
      <c r="K75">
        <v>81.25</v>
      </c>
      <c r="L75">
        <v>2009.9749999999999</v>
      </c>
      <c r="M75">
        <v>2010.97</v>
      </c>
      <c r="N75">
        <v>2095.0250000000001</v>
      </c>
      <c r="O75">
        <v>1841.4870000000001</v>
      </c>
      <c r="P75">
        <v>2304.4050000000002</v>
      </c>
      <c r="R75" s="3">
        <f t="shared" si="6"/>
        <v>2052.3723999999997</v>
      </c>
      <c r="S75" s="3">
        <f t="shared" si="7"/>
        <v>75.274174168568621</v>
      </c>
    </row>
    <row r="76" spans="1:19" x14ac:dyDescent="0.25">
      <c r="A76">
        <v>82.5</v>
      </c>
      <c r="B76">
        <v>2761.643</v>
      </c>
      <c r="C76">
        <v>2935.3119999999999</v>
      </c>
      <c r="D76">
        <v>2816.614</v>
      </c>
      <c r="E76">
        <v>3005.9279999999999</v>
      </c>
      <c r="F76">
        <v>3398.3310000000001</v>
      </c>
      <c r="H76" s="2">
        <f t="shared" si="4"/>
        <v>2983.5655999999999</v>
      </c>
      <c r="I76" s="2">
        <f t="shared" si="5"/>
        <v>112.24555693148839</v>
      </c>
      <c r="K76">
        <v>82.5</v>
      </c>
      <c r="L76">
        <v>2704.1840000000002</v>
      </c>
      <c r="M76">
        <v>2740.6509999999998</v>
      </c>
      <c r="N76">
        <v>2847.375</v>
      </c>
      <c r="O76">
        <v>2454.018</v>
      </c>
      <c r="P76">
        <v>3077.6379999999999</v>
      </c>
      <c r="R76" s="3">
        <f t="shared" si="6"/>
        <v>2764.7731999999996</v>
      </c>
      <c r="S76" s="3">
        <f t="shared" si="7"/>
        <v>101.37286778492555</v>
      </c>
    </row>
    <row r="77" spans="1:19" x14ac:dyDescent="0.25">
      <c r="A77">
        <v>83.75</v>
      </c>
      <c r="B77">
        <v>3701.8339999999998</v>
      </c>
      <c r="C77">
        <v>3765.5709999999999</v>
      </c>
      <c r="D77">
        <v>3832.3789999999999</v>
      </c>
      <c r="E77">
        <v>3865.0880000000002</v>
      </c>
      <c r="F77">
        <v>4055.95</v>
      </c>
      <c r="H77" s="2">
        <f t="shared" si="4"/>
        <v>3844.1644000000001</v>
      </c>
      <c r="I77" s="2">
        <f t="shared" si="5"/>
        <v>59.943597800432372</v>
      </c>
      <c r="K77">
        <v>83.75</v>
      </c>
      <c r="L77">
        <v>3666.395</v>
      </c>
      <c r="M77">
        <v>3670.6379999999999</v>
      </c>
      <c r="N77">
        <v>3845.8009999999999</v>
      </c>
      <c r="O77">
        <v>3434.0540000000001</v>
      </c>
      <c r="P77">
        <v>3989.0790000000002</v>
      </c>
      <c r="R77" s="3">
        <f t="shared" si="6"/>
        <v>3721.1934000000001</v>
      </c>
      <c r="S77" s="3">
        <f t="shared" si="7"/>
        <v>93.620910273613561</v>
      </c>
    </row>
    <row r="78" spans="1:19" x14ac:dyDescent="0.25">
      <c r="A78">
        <v>85</v>
      </c>
      <c r="B78">
        <v>4408.1409999999996</v>
      </c>
      <c r="C78">
        <v>4363.7719999999999</v>
      </c>
      <c r="D78">
        <v>4572.9269999999997</v>
      </c>
      <c r="E78">
        <v>4518.0919999999996</v>
      </c>
      <c r="F78">
        <v>4428.6509999999998</v>
      </c>
      <c r="H78" s="2">
        <f t="shared" si="4"/>
        <v>4458.3166000000001</v>
      </c>
      <c r="I78" s="2">
        <f t="shared" si="5"/>
        <v>38.108373280159789</v>
      </c>
      <c r="K78">
        <v>85</v>
      </c>
      <c r="L78">
        <v>4414.7190000000001</v>
      </c>
      <c r="M78">
        <v>4386.09</v>
      </c>
      <c r="N78">
        <v>4759.1379999999999</v>
      </c>
      <c r="O78">
        <v>4324.9459999999999</v>
      </c>
      <c r="P78">
        <v>4727.0860000000002</v>
      </c>
      <c r="R78" s="3">
        <f t="shared" si="6"/>
        <v>4522.3958000000002</v>
      </c>
      <c r="S78" s="3">
        <f t="shared" si="7"/>
        <v>91.407038877977016</v>
      </c>
    </row>
    <row r="79" spans="1:19" x14ac:dyDescent="0.25">
      <c r="A79">
        <v>86.25</v>
      </c>
      <c r="B79">
        <v>4604.1009999999997</v>
      </c>
      <c r="C79">
        <v>4577.8059999999996</v>
      </c>
      <c r="D79">
        <v>4773.2790000000005</v>
      </c>
      <c r="E79">
        <v>4707.3540000000003</v>
      </c>
      <c r="F79">
        <v>4375.8810000000003</v>
      </c>
      <c r="H79" s="2">
        <f t="shared" si="4"/>
        <v>4607.6842000000006</v>
      </c>
      <c r="I79" s="2">
        <f t="shared" si="5"/>
        <v>67.821079505858677</v>
      </c>
      <c r="K79">
        <v>86.25</v>
      </c>
      <c r="L79">
        <v>4636.6869999999999</v>
      </c>
      <c r="M79">
        <v>4605.5879999999997</v>
      </c>
      <c r="N79">
        <v>5056.1350000000002</v>
      </c>
      <c r="O79">
        <v>4636.59</v>
      </c>
      <c r="P79">
        <v>4887.8869999999997</v>
      </c>
      <c r="R79" s="3">
        <f t="shared" si="6"/>
        <v>4764.5774000000001</v>
      </c>
      <c r="S79" s="3">
        <f t="shared" si="7"/>
        <v>88.945334293935872</v>
      </c>
    </row>
    <row r="80" spans="1:19" x14ac:dyDescent="0.25">
      <c r="A80">
        <v>87.5</v>
      </c>
      <c r="B80">
        <v>4245.0749999999998</v>
      </c>
      <c r="C80">
        <v>4309.1009999999997</v>
      </c>
      <c r="D80">
        <v>4417.4620000000004</v>
      </c>
      <c r="E80">
        <v>4407.7889999999998</v>
      </c>
      <c r="F80">
        <v>4005.9380000000001</v>
      </c>
      <c r="H80" s="2">
        <f t="shared" si="4"/>
        <v>4277.0729999999994</v>
      </c>
      <c r="I80" s="2">
        <f t="shared" si="5"/>
        <v>74.953184385321478</v>
      </c>
      <c r="K80">
        <v>87.5</v>
      </c>
      <c r="L80">
        <v>4295.9660000000003</v>
      </c>
      <c r="M80">
        <v>4286.8909999999996</v>
      </c>
      <c r="N80">
        <v>4700.9040000000005</v>
      </c>
      <c r="O80">
        <v>4323.442</v>
      </c>
      <c r="P80">
        <v>4507.7290000000003</v>
      </c>
      <c r="R80" s="3">
        <f t="shared" si="6"/>
        <v>4422.9863999999998</v>
      </c>
      <c r="S80" s="3">
        <f t="shared" si="7"/>
        <v>80.307137955850564</v>
      </c>
    </row>
    <row r="81" spans="1:19" x14ac:dyDescent="0.25">
      <c r="A81">
        <v>88.75</v>
      </c>
      <c r="B81">
        <v>3737.9740000000002</v>
      </c>
      <c r="C81">
        <v>3900.3310000000001</v>
      </c>
      <c r="D81">
        <v>3866.4589999999998</v>
      </c>
      <c r="E81">
        <v>3934.1590000000001</v>
      </c>
      <c r="F81">
        <v>3720.056</v>
      </c>
      <c r="H81" s="2">
        <f t="shared" si="4"/>
        <v>3831.7957999999999</v>
      </c>
      <c r="I81" s="2">
        <f t="shared" si="5"/>
        <v>43.396514172684412</v>
      </c>
      <c r="K81">
        <v>88.75</v>
      </c>
      <c r="L81">
        <v>3805.89</v>
      </c>
      <c r="M81">
        <v>3762.1390000000001</v>
      </c>
      <c r="N81">
        <v>4058.0369999999998</v>
      </c>
      <c r="O81">
        <v>3663.0639999999999</v>
      </c>
      <c r="P81">
        <v>3968.3290000000002</v>
      </c>
      <c r="R81" s="3">
        <f t="shared" si="6"/>
        <v>3851.4918000000007</v>
      </c>
      <c r="S81" s="3">
        <f t="shared" si="7"/>
        <v>71.372380439074618</v>
      </c>
    </row>
    <row r="82" spans="1:19" x14ac:dyDescent="0.25">
      <c r="A82">
        <v>90</v>
      </c>
      <c r="B82">
        <v>3765.4879999999998</v>
      </c>
      <c r="C82">
        <v>3729.2249999999999</v>
      </c>
      <c r="D82">
        <v>3817.4250000000002</v>
      </c>
      <c r="E82">
        <v>3809.6640000000002</v>
      </c>
      <c r="F82">
        <v>3776.6179999999999</v>
      </c>
      <c r="H82" s="2">
        <f t="shared" si="4"/>
        <v>3779.6839999999997</v>
      </c>
      <c r="I82" s="2">
        <f t="shared" si="5"/>
        <v>15.937724012543386</v>
      </c>
      <c r="K82">
        <v>90</v>
      </c>
      <c r="L82">
        <v>3683.567</v>
      </c>
      <c r="M82">
        <v>3559.01</v>
      </c>
      <c r="N82">
        <v>3870.75</v>
      </c>
      <c r="O82">
        <v>3418.1729999999998</v>
      </c>
      <c r="P82">
        <v>3876.34</v>
      </c>
      <c r="R82" s="3">
        <f t="shared" si="6"/>
        <v>3681.5680000000002</v>
      </c>
      <c r="S82" s="3">
        <f t="shared" si="7"/>
        <v>88.917755959650748</v>
      </c>
    </row>
    <row r="83" spans="1:19" x14ac:dyDescent="0.25">
      <c r="A83">
        <v>91.25</v>
      </c>
      <c r="B83">
        <v>4120.5609999999997</v>
      </c>
      <c r="C83">
        <v>4063.8330000000001</v>
      </c>
      <c r="D83">
        <v>4182.7610000000004</v>
      </c>
      <c r="E83">
        <v>4140.2749999999996</v>
      </c>
      <c r="F83">
        <v>4055.3710000000001</v>
      </c>
      <c r="H83" s="2">
        <f t="shared" si="4"/>
        <v>4112.5601999999999</v>
      </c>
      <c r="I83" s="2">
        <f t="shared" si="5"/>
        <v>23.880138061577465</v>
      </c>
      <c r="K83">
        <v>91.25</v>
      </c>
      <c r="L83">
        <v>4042.8359999999998</v>
      </c>
      <c r="M83">
        <v>3850.7539999999999</v>
      </c>
      <c r="N83">
        <v>4294.3940000000002</v>
      </c>
      <c r="O83">
        <v>3787.7080000000001</v>
      </c>
      <c r="P83">
        <v>4253.1719999999996</v>
      </c>
      <c r="R83" s="3">
        <f t="shared" si="6"/>
        <v>4045.7728000000002</v>
      </c>
      <c r="S83" s="3">
        <f t="shared" si="7"/>
        <v>102.33897776429076</v>
      </c>
    </row>
    <row r="84" spans="1:19" x14ac:dyDescent="0.25">
      <c r="A84">
        <v>92.5</v>
      </c>
      <c r="B84">
        <v>4422.95</v>
      </c>
      <c r="C84">
        <v>4410.1710000000003</v>
      </c>
      <c r="D84">
        <v>4578.9449999999997</v>
      </c>
      <c r="E84">
        <v>4401.0240000000003</v>
      </c>
      <c r="F84">
        <v>4192.857</v>
      </c>
      <c r="H84" s="2">
        <f t="shared" si="4"/>
        <v>4401.1894000000002</v>
      </c>
      <c r="I84" s="2">
        <f t="shared" si="5"/>
        <v>61.462859691524237</v>
      </c>
      <c r="K84">
        <v>92.5</v>
      </c>
      <c r="L84">
        <v>4374.3559999999998</v>
      </c>
      <c r="M84">
        <v>4252.6210000000001</v>
      </c>
      <c r="N84">
        <v>4713.1040000000003</v>
      </c>
      <c r="O84">
        <v>4204.915</v>
      </c>
      <c r="P84">
        <v>4596.8819999999996</v>
      </c>
      <c r="R84" s="3">
        <f t="shared" si="6"/>
        <v>4428.3755999999994</v>
      </c>
      <c r="S84" s="3">
        <f t="shared" si="7"/>
        <v>98.28710621571885</v>
      </c>
    </row>
    <row r="85" spans="1:19" x14ac:dyDescent="0.25">
      <c r="A85">
        <v>93.75</v>
      </c>
      <c r="B85">
        <v>4421.9269999999997</v>
      </c>
      <c r="C85">
        <v>4468.098</v>
      </c>
      <c r="D85">
        <v>4598.326</v>
      </c>
      <c r="E85">
        <v>4372.384</v>
      </c>
      <c r="F85">
        <v>4097.1899999999996</v>
      </c>
      <c r="H85" s="2">
        <f t="shared" si="4"/>
        <v>4391.585</v>
      </c>
      <c r="I85" s="2">
        <f t="shared" si="5"/>
        <v>82.629840747758976</v>
      </c>
      <c r="K85">
        <v>93.75</v>
      </c>
      <c r="L85">
        <v>4408.6729999999998</v>
      </c>
      <c r="M85">
        <v>4383.07</v>
      </c>
      <c r="N85">
        <v>4828.1909999999998</v>
      </c>
      <c r="O85">
        <v>4298.3019999999997</v>
      </c>
      <c r="P85">
        <v>4588.18</v>
      </c>
      <c r="R85" s="3">
        <f t="shared" si="6"/>
        <v>4501.2831999999999</v>
      </c>
      <c r="S85" s="3">
        <f t="shared" si="7"/>
        <v>94.385417544978878</v>
      </c>
    </row>
    <row r="86" spans="1:19" x14ac:dyDescent="0.25">
      <c r="A86">
        <v>95</v>
      </c>
      <c r="B86">
        <v>4218.4070000000002</v>
      </c>
      <c r="C86">
        <v>4257.5320000000002</v>
      </c>
      <c r="D86">
        <v>4337.7290000000003</v>
      </c>
      <c r="E86">
        <v>4152.4579999999996</v>
      </c>
      <c r="F86">
        <v>3905.5439999999999</v>
      </c>
      <c r="H86" s="2">
        <f t="shared" si="4"/>
        <v>4174.3339999999998</v>
      </c>
      <c r="I86" s="2">
        <f t="shared" si="5"/>
        <v>73.582907673589588</v>
      </c>
      <c r="K86">
        <v>95</v>
      </c>
      <c r="L86">
        <v>4215.7659999999996</v>
      </c>
      <c r="M86">
        <v>4202.5169999999998</v>
      </c>
      <c r="N86">
        <v>4565.7359999999999</v>
      </c>
      <c r="O86">
        <v>4018.7440000000001</v>
      </c>
      <c r="P86">
        <v>4405.6000000000004</v>
      </c>
      <c r="R86" s="3">
        <f t="shared" si="6"/>
        <v>4281.6725999999999</v>
      </c>
      <c r="S86" s="3">
        <f t="shared" si="7"/>
        <v>93.752534185268814</v>
      </c>
    </row>
    <row r="87" spans="1:19" x14ac:dyDescent="0.25">
      <c r="A87">
        <v>96.25</v>
      </c>
      <c r="B87">
        <v>4068.2089999999998</v>
      </c>
      <c r="C87">
        <v>4037.6219999999998</v>
      </c>
      <c r="D87">
        <v>3992.2710000000002</v>
      </c>
      <c r="E87">
        <v>3952.14</v>
      </c>
      <c r="F87">
        <v>3825.0479999999998</v>
      </c>
      <c r="H87" s="2">
        <f t="shared" si="4"/>
        <v>3975.058</v>
      </c>
      <c r="I87" s="2">
        <f t="shared" si="5"/>
        <v>42.376812698691744</v>
      </c>
      <c r="K87">
        <v>96.25</v>
      </c>
      <c r="L87">
        <v>3962.13</v>
      </c>
      <c r="M87">
        <v>3905.3389999999999</v>
      </c>
      <c r="N87">
        <v>4207.9080000000004</v>
      </c>
      <c r="O87">
        <v>3686.712</v>
      </c>
      <c r="P87">
        <v>4105.1090000000004</v>
      </c>
      <c r="R87" s="3">
        <f t="shared" si="6"/>
        <v>3973.4396000000002</v>
      </c>
      <c r="S87" s="3">
        <f t="shared" si="7"/>
        <v>89.244209019185178</v>
      </c>
    </row>
    <row r="88" spans="1:19" x14ac:dyDescent="0.25">
      <c r="A88">
        <v>97.5</v>
      </c>
      <c r="B88">
        <v>4089.748</v>
      </c>
      <c r="C88">
        <v>3930.4409999999998</v>
      </c>
      <c r="D88">
        <v>3876.125</v>
      </c>
      <c r="E88">
        <v>3922.183</v>
      </c>
      <c r="F88">
        <v>3963.107</v>
      </c>
      <c r="H88" s="2">
        <f t="shared" si="4"/>
        <v>3956.3208</v>
      </c>
      <c r="I88" s="2">
        <f t="shared" si="5"/>
        <v>36.135432739072058</v>
      </c>
      <c r="K88">
        <v>97.5</v>
      </c>
      <c r="L88">
        <v>3867.04</v>
      </c>
      <c r="M88">
        <v>3737.5729999999999</v>
      </c>
      <c r="N88">
        <v>4056.7310000000002</v>
      </c>
      <c r="O88">
        <v>3609.1</v>
      </c>
      <c r="P88">
        <v>3961.4760000000001</v>
      </c>
      <c r="R88" s="3">
        <f t="shared" si="6"/>
        <v>3846.3839999999996</v>
      </c>
      <c r="S88" s="3">
        <f t="shared" si="7"/>
        <v>79.392137389668562</v>
      </c>
    </row>
    <row r="89" spans="1:19" x14ac:dyDescent="0.25">
      <c r="A89">
        <v>98.75</v>
      </c>
      <c r="B89">
        <v>4292.8670000000002</v>
      </c>
      <c r="C89">
        <v>3985.8090000000002</v>
      </c>
      <c r="D89">
        <v>4010.1559999999999</v>
      </c>
      <c r="E89">
        <v>4060.0569999999998</v>
      </c>
      <c r="F89">
        <v>4136.6719999999996</v>
      </c>
      <c r="H89" s="2">
        <f t="shared" si="4"/>
        <v>4097.1121999999996</v>
      </c>
      <c r="I89" s="2">
        <f t="shared" si="5"/>
        <v>55.320787410701236</v>
      </c>
      <c r="K89">
        <v>98.75</v>
      </c>
      <c r="L89">
        <v>4009.7440000000001</v>
      </c>
      <c r="M89">
        <v>3827.45</v>
      </c>
      <c r="N89">
        <v>4196.9120000000003</v>
      </c>
      <c r="O89">
        <v>3765.8159999999998</v>
      </c>
      <c r="P89">
        <v>4054.4870000000001</v>
      </c>
      <c r="R89" s="3">
        <f t="shared" si="6"/>
        <v>3970.8818000000001</v>
      </c>
      <c r="S89" s="3">
        <f t="shared" si="7"/>
        <v>78.171099182754318</v>
      </c>
    </row>
    <row r="90" spans="1:19" x14ac:dyDescent="0.25">
      <c r="A90">
        <v>100</v>
      </c>
      <c r="B90">
        <v>4371.442</v>
      </c>
      <c r="C90">
        <v>4074.4140000000002</v>
      </c>
      <c r="D90">
        <v>4100.8969999999999</v>
      </c>
      <c r="E90">
        <v>4122.2849999999999</v>
      </c>
      <c r="F90">
        <v>4216.01</v>
      </c>
      <c r="H90" s="2">
        <f t="shared" si="4"/>
        <v>4177.0096000000003</v>
      </c>
      <c r="I90" s="2">
        <f t="shared" si="5"/>
        <v>54.147371234991638</v>
      </c>
      <c r="K90">
        <v>100</v>
      </c>
      <c r="L90">
        <v>4057.75</v>
      </c>
      <c r="M90">
        <v>3912.5219999999999</v>
      </c>
      <c r="N90">
        <v>4317.9399999999996</v>
      </c>
      <c r="O90">
        <v>3869.9360000000001</v>
      </c>
      <c r="P90">
        <v>4126.41</v>
      </c>
      <c r="R90" s="3">
        <f t="shared" si="6"/>
        <v>4056.9115999999995</v>
      </c>
      <c r="S90" s="3">
        <f t="shared" si="7"/>
        <v>80.24175587161578</v>
      </c>
    </row>
    <row r="91" spans="1:19" x14ac:dyDescent="0.25">
      <c r="A91">
        <v>101.25</v>
      </c>
      <c r="B91">
        <v>4226.3230000000003</v>
      </c>
      <c r="C91">
        <v>4018.6460000000002</v>
      </c>
      <c r="D91">
        <v>4005.308</v>
      </c>
      <c r="E91">
        <v>4041.0920000000001</v>
      </c>
      <c r="F91">
        <v>4102.3059999999996</v>
      </c>
      <c r="H91" s="2">
        <f t="shared" si="4"/>
        <v>4078.7350000000006</v>
      </c>
      <c r="I91" s="2">
        <f t="shared" si="5"/>
        <v>40.470370324473215</v>
      </c>
      <c r="K91">
        <v>101.25</v>
      </c>
      <c r="L91">
        <v>3903.681</v>
      </c>
      <c r="M91">
        <v>3847.482</v>
      </c>
      <c r="N91">
        <v>4247.4669999999996</v>
      </c>
      <c r="O91">
        <v>3775.4459999999999</v>
      </c>
      <c r="P91">
        <v>4055.89</v>
      </c>
      <c r="R91" s="3">
        <f t="shared" si="6"/>
        <v>3965.9931999999999</v>
      </c>
      <c r="S91" s="3">
        <f t="shared" si="7"/>
        <v>84.126358817792593</v>
      </c>
    </row>
    <row r="92" spans="1:19" x14ac:dyDescent="0.25">
      <c r="A92">
        <v>102.5</v>
      </c>
      <c r="B92">
        <v>3892.0880000000002</v>
      </c>
      <c r="C92">
        <v>3758.6689999999999</v>
      </c>
      <c r="D92">
        <v>3768.0279999999998</v>
      </c>
      <c r="E92">
        <v>3778.9059999999999</v>
      </c>
      <c r="F92">
        <v>3821.2669999999998</v>
      </c>
      <c r="H92" s="2">
        <f t="shared" si="4"/>
        <v>3803.7915999999996</v>
      </c>
      <c r="I92" s="2">
        <f t="shared" si="5"/>
        <v>24.531633721788751</v>
      </c>
      <c r="K92">
        <v>102.5</v>
      </c>
      <c r="L92">
        <v>3619.7539999999999</v>
      </c>
      <c r="M92">
        <v>3629.4769999999999</v>
      </c>
      <c r="N92">
        <v>3998.0129999999999</v>
      </c>
      <c r="O92">
        <v>3522.9009999999998</v>
      </c>
      <c r="P92">
        <v>3811.886</v>
      </c>
      <c r="R92" s="3">
        <f t="shared" si="6"/>
        <v>3716.4061999999999</v>
      </c>
      <c r="S92" s="3">
        <f t="shared" si="7"/>
        <v>84.487093102674578</v>
      </c>
    </row>
    <row r="93" spans="1:19" x14ac:dyDescent="0.25">
      <c r="A93">
        <v>103.75</v>
      </c>
      <c r="B93">
        <v>3442.7240000000002</v>
      </c>
      <c r="C93">
        <v>3384.9639999999999</v>
      </c>
      <c r="D93">
        <v>3402.915</v>
      </c>
      <c r="E93">
        <v>3366.377</v>
      </c>
      <c r="F93">
        <v>3435.0639999999999</v>
      </c>
      <c r="H93" s="2">
        <f t="shared" si="4"/>
        <v>3406.4087999999997</v>
      </c>
      <c r="I93" s="2">
        <f t="shared" si="5"/>
        <v>14.516448144777032</v>
      </c>
      <c r="K93">
        <v>103.75</v>
      </c>
      <c r="L93">
        <v>3218.83</v>
      </c>
      <c r="M93">
        <v>3292.846</v>
      </c>
      <c r="N93">
        <v>3625.1280000000002</v>
      </c>
      <c r="O93">
        <v>3128.7080000000001</v>
      </c>
      <c r="P93">
        <v>3439.32</v>
      </c>
      <c r="R93" s="3">
        <f t="shared" si="6"/>
        <v>3340.9664000000002</v>
      </c>
      <c r="S93" s="3">
        <f t="shared" si="7"/>
        <v>87.380703538939343</v>
      </c>
    </row>
    <row r="94" spans="1:19" x14ac:dyDescent="0.25">
      <c r="A94">
        <v>105</v>
      </c>
      <c r="B94">
        <v>2992.0149999999999</v>
      </c>
      <c r="C94">
        <v>2978.4140000000002</v>
      </c>
      <c r="D94">
        <v>2984.453</v>
      </c>
      <c r="E94">
        <v>2925.0140000000001</v>
      </c>
      <c r="F94">
        <v>3083.5079999999998</v>
      </c>
      <c r="H94" s="2">
        <f t="shared" si="4"/>
        <v>2992.6808000000001</v>
      </c>
      <c r="I94" s="2">
        <f t="shared" si="5"/>
        <v>25.593024095249024</v>
      </c>
      <c r="K94">
        <v>105</v>
      </c>
      <c r="L94">
        <v>2788.431</v>
      </c>
      <c r="M94">
        <v>2909.7440000000001</v>
      </c>
      <c r="N94">
        <v>3235.5909999999999</v>
      </c>
      <c r="O94">
        <v>2711.9450000000002</v>
      </c>
      <c r="P94">
        <v>3042.134</v>
      </c>
      <c r="R94" s="3">
        <f t="shared" si="6"/>
        <v>2937.569</v>
      </c>
      <c r="S94" s="3">
        <f t="shared" si="7"/>
        <v>93.186242212571216</v>
      </c>
    </row>
    <row r="95" spans="1:19" x14ac:dyDescent="0.25">
      <c r="A95">
        <v>106.25</v>
      </c>
      <c r="B95">
        <v>2710.6979999999999</v>
      </c>
      <c r="C95">
        <v>2700.9690000000001</v>
      </c>
      <c r="D95">
        <v>2703.7550000000001</v>
      </c>
      <c r="E95">
        <v>2617.5250000000001</v>
      </c>
      <c r="F95">
        <v>2849.1509999999998</v>
      </c>
      <c r="H95" s="2">
        <f t="shared" si="4"/>
        <v>2716.4196000000002</v>
      </c>
      <c r="I95" s="2">
        <f t="shared" si="5"/>
        <v>37.302557750910282</v>
      </c>
      <c r="K95">
        <v>106.25</v>
      </c>
      <c r="L95">
        <v>2513.1579999999999</v>
      </c>
      <c r="M95">
        <v>2639.21</v>
      </c>
      <c r="N95">
        <v>2955.4929999999999</v>
      </c>
      <c r="O95">
        <v>2449.366</v>
      </c>
      <c r="P95">
        <v>2749.1790000000001</v>
      </c>
      <c r="R95" s="3">
        <f t="shared" si="6"/>
        <v>2661.2812000000004</v>
      </c>
      <c r="S95" s="3">
        <f t="shared" si="7"/>
        <v>89.895016197451127</v>
      </c>
    </row>
    <row r="96" spans="1:19" x14ac:dyDescent="0.25">
      <c r="A96">
        <v>107.5</v>
      </c>
      <c r="B96">
        <v>2528.2440000000001</v>
      </c>
      <c r="C96">
        <v>2531.837</v>
      </c>
      <c r="D96">
        <v>2535.1990000000001</v>
      </c>
      <c r="E96">
        <v>2423.83</v>
      </c>
      <c r="F96">
        <v>2674.8220000000001</v>
      </c>
      <c r="H96" s="2">
        <f t="shared" si="4"/>
        <v>2538.7864</v>
      </c>
      <c r="I96" s="2">
        <f t="shared" si="5"/>
        <v>39.933046568725537</v>
      </c>
      <c r="K96">
        <v>107.5</v>
      </c>
      <c r="L96">
        <v>2339.9110000000001</v>
      </c>
      <c r="M96">
        <v>2473.2260000000001</v>
      </c>
      <c r="N96">
        <v>2762.0030000000002</v>
      </c>
      <c r="O96">
        <v>2289.7649999999999</v>
      </c>
      <c r="P96">
        <v>2553.2429999999999</v>
      </c>
      <c r="R96" s="3">
        <f t="shared" si="6"/>
        <v>2483.6296000000002</v>
      </c>
      <c r="S96" s="3">
        <f t="shared" si="7"/>
        <v>83.870295486304343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BRIGHT!OCT_RAW___\AD15\_dark_profiles_AD15_DARK</vt:lpstr>
      <vt:lpstr>BRIGHT!OCT_RAW___\AD15\_light_profiles_AD15_LIGHT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2019-11-17T03:00:40Z</dcterms:modified>
</cp:coreProperties>
</file>