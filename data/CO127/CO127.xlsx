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127\"/>
    </mc:Choice>
  </mc:AlternateContent>
  <xr:revisionPtr revIDLastSave="0" documentId="13_ncr:1_{2F13211E-742B-4027-BFF7-A6BFD9929268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02\_dark_profiles_CO02_DARK" localSheetId="0">BRIGHT!$A$2:$F$96</definedName>
    <definedName name="OCT_RAW___\CO02\_fovea_dark_profiles_CO02_DARK" localSheetId="0">BRIGHT!#REF!</definedName>
    <definedName name="OCT_RAW___\CO02\_fovea_light_profiles_CO02_LIGHT" localSheetId="0">BRIGHT!#REF!</definedName>
    <definedName name="OCT_RAW___\CO02\_light_profiles_CO02_LIGHT" localSheetId="0">BRIGHT!$K$2:$O$96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C46EC2-FCCD-465B-9B86-F0A7F6FB4BA4}" name="[[[OCT RAW]]]\CO02\_dark_profiles_CO02_DARK" type="6" refreshedVersion="6" background="1" saveData="1">
    <textPr codePage="437" sourceFile="E:\[Documents]\[[[OCT RAW]]]\CO02\_dark_profiles_CO02_DARK.txt" space="1" consecutive="1">
      <textFields count="6">
        <textField/>
        <textField/>
        <textField/>
        <textField/>
        <textField/>
        <textField/>
      </textFields>
    </textPr>
  </connection>
  <connection id="2" xr16:uid="{7B0AE210-A44E-4F16-BCEA-2124AE74FC47}" name="[[[OCT RAW]]]\CO02\_light_profiles_CO02_LIGHT" type="6" refreshedVersion="6" background="1" saveData="1">
    <textPr codePage="437" sourceFile="E:\[Documents]\[[[OCT RAW]]]\CO02\_light_profiles_CO02_LIGHT.txt" space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<sst xmlns="http://schemas.openxmlformats.org/spreadsheetml/2006/main" count="106" uniqueCount="9">
  <si>
    <t>angle</t>
  </si>
  <si>
    <t>whole</t>
  </si>
  <si>
    <t>RPEtoOLM</t>
  </si>
  <si>
    <t>RNFL</t>
  </si>
  <si>
    <t>DARK 500 microns to 2750 microns</t>
  </si>
  <si>
    <t>LIGHT 500 microns to 2750 microns</t>
  </si>
  <si>
    <t>NA</t>
  </si>
  <si>
    <t>CO127_DARK</t>
  </si>
  <si>
    <t>CO127_LIGHT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</si>
</sst>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489.95439999999996</c:v>
                </c:pt>
                <c:pt idx="1">
                  <c:v>708.15159999999992</c:v>
                </c:pt>
                <c:pt idx="2">
                  <c:v>1229.4394</c:v>
                </c:pt>
                <c:pt idx="3">
                  <c:v>1803.7806</c:v>
                </c:pt>
                <c:pt idx="4">
                  <c:v>2342.9688000000001</c:v>
                </c:pt>
                <c:pt idx="5">
                  <c:v>2739.0757999999996</c:v>
                </c:pt>
                <c:pt idx="6">
                  <c:v>2977.5392000000002</c:v>
                </c:pt>
                <c:pt idx="7">
                  <c:v>3108.1786000000002</c:v>
                </c:pt>
                <c:pt idx="8">
                  <c:v>3156.9211999999998</c:v>
                </c:pt>
                <c:pt idx="9">
                  <c:v>3103.4794000000002</c:v>
                </c:pt>
                <c:pt idx="10">
                  <c:v>2885.3764000000001</c:v>
                </c:pt>
                <c:pt idx="11">
                  <c:v>2507.4193999999998</c:v>
                </c:pt>
                <c:pt idx="12">
                  <c:v>2254.9223999999999</c:v>
                </c:pt>
                <c:pt idx="13">
                  <c:v>2109.9784</c:v>
                </c:pt>
                <c:pt idx="14">
                  <c:v>2050.6241999999997</c:v>
                </c:pt>
                <c:pt idx="15">
                  <c:v>2034.1021999999998</c:v>
                </c:pt>
                <c:pt idx="16">
                  <c:v>2032.6010000000001</c:v>
                </c:pt>
                <c:pt idx="17">
                  <c:v>2042.7966000000001</c:v>
                </c:pt>
                <c:pt idx="18">
                  <c:v>2061.6483999999996</c:v>
                </c:pt>
                <c:pt idx="19">
                  <c:v>2083.0155999999997</c:v>
                </c:pt>
                <c:pt idx="20">
                  <c:v>2092.5275999999999</c:v>
                </c:pt>
                <c:pt idx="21">
                  <c:v>2094.5811999999996</c:v>
                </c:pt>
                <c:pt idx="22">
                  <c:v>2087.1315999999997</c:v>
                </c:pt>
                <c:pt idx="23">
                  <c:v>2084.9067999999997</c:v>
                </c:pt>
                <c:pt idx="24">
                  <c:v>2101.2896000000001</c:v>
                </c:pt>
                <c:pt idx="25">
                  <c:v>2123.4389999999999</c:v>
                </c:pt>
                <c:pt idx="26">
                  <c:v>2145.7565999999997</c:v>
                </c:pt>
                <c:pt idx="27">
                  <c:v>2160.4782</c:v>
                </c:pt>
                <c:pt idx="28">
                  <c:v>2163.1944000000003</c:v>
                </c:pt>
                <c:pt idx="29">
                  <c:v>2155.6634000000004</c:v>
                </c:pt>
                <c:pt idx="30">
                  <c:v>2139.9390000000003</c:v>
                </c:pt>
                <c:pt idx="31">
                  <c:v>2093.3501999999999</c:v>
                </c:pt>
                <c:pt idx="32">
                  <c:v>1994.5478000000003</c:v>
                </c:pt>
                <c:pt idx="33">
                  <c:v>1866.8451999999997</c:v>
                </c:pt>
                <c:pt idx="34">
                  <c:v>1738.9207999999999</c:v>
                </c:pt>
                <c:pt idx="35">
                  <c:v>1660.4295999999999</c:v>
                </c:pt>
                <c:pt idx="36">
                  <c:v>1620.1894</c:v>
                </c:pt>
                <c:pt idx="37">
                  <c:v>1604.4887999999999</c:v>
                </c:pt>
                <c:pt idx="38">
                  <c:v>1605.7382</c:v>
                </c:pt>
                <c:pt idx="39">
                  <c:v>1624.4159999999999</c:v>
                </c:pt>
                <c:pt idx="40">
                  <c:v>1664.2168000000001</c:v>
                </c:pt>
                <c:pt idx="41">
                  <c:v>1719.9022</c:v>
                </c:pt>
                <c:pt idx="42">
                  <c:v>1783.5597999999998</c:v>
                </c:pt>
                <c:pt idx="43">
                  <c:v>1854.9313999999999</c:v>
                </c:pt>
                <c:pt idx="44">
                  <c:v>1914.1242000000002</c:v>
                </c:pt>
                <c:pt idx="45">
                  <c:v>1931.3340000000003</c:v>
                </c:pt>
                <c:pt idx="46">
                  <c:v>1911.925</c:v>
                </c:pt>
                <c:pt idx="47">
                  <c:v>1856.9288000000001</c:v>
                </c:pt>
                <c:pt idx="48">
                  <c:v>1763.7476000000001</c:v>
                </c:pt>
                <c:pt idx="49">
                  <c:v>1647.5527999999999</c:v>
                </c:pt>
                <c:pt idx="50">
                  <c:v>1536.374</c:v>
                </c:pt>
                <c:pt idx="51">
                  <c:v>1462.3818000000001</c:v>
                </c:pt>
                <c:pt idx="52">
                  <c:v>1413.9526000000001</c:v>
                </c:pt>
                <c:pt idx="53">
                  <c:v>1380.1764000000001</c:v>
                </c:pt>
                <c:pt idx="54">
                  <c:v>1353.2750000000001</c:v>
                </c:pt>
                <c:pt idx="55">
                  <c:v>1321.0512000000001</c:v>
                </c:pt>
                <c:pt idx="56">
                  <c:v>1293.4081999999999</c:v>
                </c:pt>
                <c:pt idx="57">
                  <c:v>1268.6806000000001</c:v>
                </c:pt>
                <c:pt idx="58">
                  <c:v>1245.0617999999999</c:v>
                </c:pt>
                <c:pt idx="59">
                  <c:v>1225.9940000000001</c:v>
                </c:pt>
                <c:pt idx="60">
                  <c:v>1209.4567999999999</c:v>
                </c:pt>
                <c:pt idx="61">
                  <c:v>1197.0909999999999</c:v>
                </c:pt>
                <c:pt idx="62">
                  <c:v>1217.4186000000002</c:v>
                </c:pt>
                <c:pt idx="63">
                  <c:v>1312.6759999999999</c:v>
                </c:pt>
                <c:pt idx="64">
                  <c:v>1439.8421999999998</c:v>
                </c:pt>
                <c:pt idx="65">
                  <c:v>1495.6223999999997</c:v>
                </c:pt>
                <c:pt idx="66">
                  <c:v>1453.1892</c:v>
                </c:pt>
                <c:pt idx="67">
                  <c:v>1415.2994000000001</c:v>
                </c:pt>
                <c:pt idx="68">
                  <c:v>1540.0825999999997</c:v>
                </c:pt>
                <c:pt idx="69">
                  <c:v>1919.848</c:v>
                </c:pt>
                <c:pt idx="70">
                  <c:v>2548.6994</c:v>
                </c:pt>
                <c:pt idx="71">
                  <c:v>3066.6592000000001</c:v>
                </c:pt>
                <c:pt idx="72">
                  <c:v>3261.982</c:v>
                </c:pt>
                <c:pt idx="73">
                  <c:v>3086.8244</c:v>
                </c:pt>
                <c:pt idx="74">
                  <c:v>2725.9942000000001</c:v>
                </c:pt>
                <c:pt idx="75">
                  <c:v>2500.1705999999999</c:v>
                </c:pt>
                <c:pt idx="76">
                  <c:v>2540.4954000000002</c:v>
                </c:pt>
                <c:pt idx="77">
                  <c:v>2682.5237999999999</c:v>
                </c:pt>
                <c:pt idx="78">
                  <c:v>2810.5632000000001</c:v>
                </c:pt>
                <c:pt idx="79">
                  <c:v>2966.9144000000001</c:v>
                </c:pt>
                <c:pt idx="80">
                  <c:v>3204.6152000000002</c:v>
                </c:pt>
                <c:pt idx="81">
                  <c:v>3476.4450000000006</c:v>
                </c:pt>
                <c:pt idx="82">
                  <c:v>3696.5364</c:v>
                </c:pt>
                <c:pt idx="83">
                  <c:v>3745.0046000000002</c:v>
                </c:pt>
                <c:pt idx="84">
                  <c:v>3629.9049999999997</c:v>
                </c:pt>
                <c:pt idx="85">
                  <c:v>3371.6135999999997</c:v>
                </c:pt>
                <c:pt idx="86">
                  <c:v>3005.4404000000004</c:v>
                </c:pt>
                <c:pt idx="87">
                  <c:v>2738.6127999999999</c:v>
                </c:pt>
                <c:pt idx="88">
                  <c:v>2649.4795999999997</c:v>
                </c:pt>
                <c:pt idx="89">
                  <c:v>2620.2754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591.90899999999999</c:v>
                </c:pt>
                <c:pt idx="1">
                  <c:v>825.37275</c:v>
                </c:pt>
                <c:pt idx="2">
                  <c:v>1423.5037500000001</c:v>
                </c:pt>
                <c:pt idx="3">
                  <c:v>2075.1277499999997</c:v>
                </c:pt>
                <c:pt idx="4">
                  <c:v>2657.89275</c:v>
                </c:pt>
                <c:pt idx="5">
                  <c:v>3070.5632500000002</c:v>
                </c:pt>
                <c:pt idx="6">
                  <c:v>3303.8952499999996</c:v>
                </c:pt>
                <c:pt idx="7">
                  <c:v>3445.1212500000001</c:v>
                </c:pt>
                <c:pt idx="8">
                  <c:v>3499.5552499999994</c:v>
                </c:pt>
                <c:pt idx="9">
                  <c:v>3428.8632500000003</c:v>
                </c:pt>
                <c:pt idx="10">
                  <c:v>3188.71675</c:v>
                </c:pt>
                <c:pt idx="11">
                  <c:v>2767.4845</c:v>
                </c:pt>
                <c:pt idx="12">
                  <c:v>2460.9480000000003</c:v>
                </c:pt>
                <c:pt idx="13">
                  <c:v>2307.0142500000002</c:v>
                </c:pt>
                <c:pt idx="14">
                  <c:v>2249.0487499999999</c:v>
                </c:pt>
                <c:pt idx="15">
                  <c:v>2238.4042499999996</c:v>
                </c:pt>
                <c:pt idx="16">
                  <c:v>2236.5617499999998</c:v>
                </c:pt>
                <c:pt idx="17">
                  <c:v>2243.2937499999998</c:v>
                </c:pt>
                <c:pt idx="18">
                  <c:v>2263.94175</c:v>
                </c:pt>
                <c:pt idx="19">
                  <c:v>2287.54925</c:v>
                </c:pt>
                <c:pt idx="20">
                  <c:v>2306.0122500000002</c:v>
                </c:pt>
                <c:pt idx="21">
                  <c:v>2304.4882500000003</c:v>
                </c:pt>
                <c:pt idx="22">
                  <c:v>2300.0615000000003</c:v>
                </c:pt>
                <c:pt idx="23">
                  <c:v>2294.0415000000003</c:v>
                </c:pt>
                <c:pt idx="24">
                  <c:v>2307.2890000000002</c:v>
                </c:pt>
                <c:pt idx="25">
                  <c:v>2326.2697499999999</c:v>
                </c:pt>
                <c:pt idx="26">
                  <c:v>2350.7905000000001</c:v>
                </c:pt>
                <c:pt idx="27">
                  <c:v>2370.1154999999999</c:v>
                </c:pt>
                <c:pt idx="28">
                  <c:v>2384.23425</c:v>
                </c:pt>
                <c:pt idx="29">
                  <c:v>2387.96675</c:v>
                </c:pt>
                <c:pt idx="30">
                  <c:v>2378.5970000000002</c:v>
                </c:pt>
                <c:pt idx="31">
                  <c:v>2330.0182500000001</c:v>
                </c:pt>
                <c:pt idx="32">
                  <c:v>2224.3462500000001</c:v>
                </c:pt>
                <c:pt idx="33">
                  <c:v>2074.3705</c:v>
                </c:pt>
                <c:pt idx="34">
                  <c:v>1929.0562500000001</c:v>
                </c:pt>
                <c:pt idx="35">
                  <c:v>1837.5474999999999</c:v>
                </c:pt>
                <c:pt idx="36">
                  <c:v>1792.3385000000001</c:v>
                </c:pt>
                <c:pt idx="37">
                  <c:v>1779.6457499999999</c:v>
                </c:pt>
                <c:pt idx="38">
                  <c:v>1783.6927500000002</c:v>
                </c:pt>
                <c:pt idx="39">
                  <c:v>1796.83</c:v>
                </c:pt>
                <c:pt idx="40">
                  <c:v>1828.65725</c:v>
                </c:pt>
                <c:pt idx="41">
                  <c:v>1883.4577499999998</c:v>
                </c:pt>
                <c:pt idx="42">
                  <c:v>1939.3915000000002</c:v>
                </c:pt>
                <c:pt idx="43">
                  <c:v>1996.9524999999999</c:v>
                </c:pt>
                <c:pt idx="44">
                  <c:v>2074.8827499999998</c:v>
                </c:pt>
                <c:pt idx="45">
                  <c:v>2118.5970000000002</c:v>
                </c:pt>
                <c:pt idx="46">
                  <c:v>2100.2189999999996</c:v>
                </c:pt>
                <c:pt idx="47">
                  <c:v>2034.6132499999999</c:v>
                </c:pt>
                <c:pt idx="48">
                  <c:v>1917.9702499999999</c:v>
                </c:pt>
                <c:pt idx="49">
                  <c:v>1771.4145000000001</c:v>
                </c:pt>
                <c:pt idx="50">
                  <c:v>1632.03325</c:v>
                </c:pt>
                <c:pt idx="51">
                  <c:v>1540.4637499999999</c:v>
                </c:pt>
                <c:pt idx="52">
                  <c:v>1493.5224999999998</c:v>
                </c:pt>
                <c:pt idx="53">
                  <c:v>1463.3100000000002</c:v>
                </c:pt>
                <c:pt idx="54">
                  <c:v>1433.3877499999999</c:v>
                </c:pt>
                <c:pt idx="55">
                  <c:v>1416.3802499999999</c:v>
                </c:pt>
                <c:pt idx="56">
                  <c:v>1410.9794999999999</c:v>
                </c:pt>
                <c:pt idx="57">
                  <c:v>1407.3915</c:v>
                </c:pt>
                <c:pt idx="58">
                  <c:v>1396.47425</c:v>
                </c:pt>
                <c:pt idx="59">
                  <c:v>1382.3244999999999</c:v>
                </c:pt>
                <c:pt idx="60">
                  <c:v>1365.3097499999999</c:v>
                </c:pt>
                <c:pt idx="61">
                  <c:v>1350.5352499999999</c:v>
                </c:pt>
                <c:pt idx="62">
                  <c:v>1361.009</c:v>
                </c:pt>
                <c:pt idx="63">
                  <c:v>1441.88175</c:v>
                </c:pt>
                <c:pt idx="64">
                  <c:v>1591.0722499999999</c:v>
                </c:pt>
                <c:pt idx="65">
                  <c:v>1646.9875000000002</c:v>
                </c:pt>
                <c:pt idx="66">
                  <c:v>1586.7829999999999</c:v>
                </c:pt>
                <c:pt idx="67">
                  <c:v>1535.9470000000001</c:v>
                </c:pt>
                <c:pt idx="68">
                  <c:v>1669.85175</c:v>
                </c:pt>
                <c:pt idx="69">
                  <c:v>2187.9494999999997</c:v>
                </c:pt>
                <c:pt idx="70">
                  <c:v>3018.1364999999996</c:v>
                </c:pt>
                <c:pt idx="71">
                  <c:v>3724.9172499999995</c:v>
                </c:pt>
                <c:pt idx="72">
                  <c:v>4002.2637500000005</c:v>
                </c:pt>
                <c:pt idx="73">
                  <c:v>3776.0597500000003</c:v>
                </c:pt>
                <c:pt idx="74">
                  <c:v>3271.5254999999997</c:v>
                </c:pt>
                <c:pt idx="75">
                  <c:v>2897.8277499999999</c:v>
                </c:pt>
                <c:pt idx="76">
                  <c:v>2938.2627499999999</c:v>
                </c:pt>
                <c:pt idx="77">
                  <c:v>3155.0854999999997</c:v>
                </c:pt>
                <c:pt idx="78">
                  <c:v>3356.8777500000001</c:v>
                </c:pt>
                <c:pt idx="79">
                  <c:v>3526.6364999999996</c:v>
                </c:pt>
                <c:pt idx="80">
                  <c:v>3707.2635</c:v>
                </c:pt>
                <c:pt idx="81">
                  <c:v>3948.4832499999998</c:v>
                </c:pt>
                <c:pt idx="82">
                  <c:v>4172.8697499999998</c:v>
                </c:pt>
                <c:pt idx="83">
                  <c:v>4248.17875</c:v>
                </c:pt>
                <c:pt idx="84">
                  <c:v>4138.9302499999994</c:v>
                </c:pt>
                <c:pt idx="85">
                  <c:v>3882.8022499999997</c:v>
                </c:pt>
                <c:pt idx="86">
                  <c:v>3479.48425</c:v>
                </c:pt>
                <c:pt idx="87">
                  <c:v>3136.3957499999997</c:v>
                </c:pt>
                <c:pt idx="88">
                  <c:v>3007.4977499999995</c:v>
                </c:pt>
                <c:pt idx="89">
                  <c:v>2975.2235000000001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2\_dark_profiles_CO02_DARK" connectionId="1" xr16:uid="{6BAF46FB-29E2-4876-A3CE-26D70F2878F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2\_light_profiles_CO02_LIGHT" connectionId="2" xr16:uid="{807BA207-0741-4077-9137-1BCF988D988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D3" sqref="D3:D4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7</v>
      </c>
      <c r="B2">
        <v>1</v>
      </c>
      <c r="C2">
        <v>2</v>
      </c>
      <c r="D2">
        <v>3</v>
      </c>
      <c r="E2">
        <v>4</v>
      </c>
      <c r="F2">
        <v>5</v>
      </c>
      <c r="K2" t="s">
        <v>8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-1.9830000000000001</v>
      </c>
      <c r="C3">
        <v>-2.931</v>
      </c>
      <c r="D3">
        <v>-1.752</v>
      </c>
      <c r="E3">
        <v>5.8689999999999998</v>
      </c>
      <c r="F3">
        <v>2.8769999999999998</v>
      </c>
      <c r="K3" t="s">
        <v>0</v>
      </c>
      <c r="L3" t="s">
        <v>6</v>
      </c>
      <c r="M3">
        <v>1.99</v>
      </c>
      <c r="N3">
        <v>1.7809999999999999</v>
      </c>
      <c r="O3">
        <v>2.3340000000000001</v>
      </c>
      <c r="P3">
        <v>3.81</v>
      </c>
    </row>
    <row r="4" spans="1:19" x14ac:dyDescent="0.25">
      <c r="A4" t="s">
        <v>1</v>
      </c>
      <c r="B4">
        <v>295.988</v>
      </c>
      <c r="C4">
        <v>295.86900000000003</v>
      </c>
      <c r="D4">
        <v>295.24599999999998</v>
      </c>
      <c r="E4">
        <v>293.35899999999998</v>
      </c>
      <c r="F4">
        <v>295.53699999999998</v>
      </c>
      <c r="H4" s="2">
        <f>AVERAGE(B4:F4)</f>
        <v>295.19979999999998</v>
      </c>
      <c r="I4" s="2">
        <f>STDEV(B4:F4)/SQRT(COUNT(B4:F4))</f>
        <v>0.47819822249774679</v>
      </c>
      <c r="K4" t="s">
        <v>1</v>
      </c>
      <c r="L4" t="s">
        <v>6</v>
      </c>
      <c r="M4">
        <v>295.762</v>
      </c>
      <c r="N4">
        <v>295.04700000000003</v>
      </c>
      <c r="O4">
        <v>295.78399999999999</v>
      </c>
      <c r="P4">
        <v>294.32600000000002</v>
      </c>
      <c r="R4" s="3">
        <f>AVERAGE(L4:P4)</f>
        <v>295.22974999999997</v>
      </c>
      <c r="S4" s="3">
        <f>STDEV(L4:P4)/SQRT(COUNT(L4:P4))</f>
        <v>0.34648770420703517</v>
      </c>
    </row>
    <row r="5" spans="1:19" x14ac:dyDescent="0.25">
      <c r="A5" t="s">
        <v>2</v>
      </c>
      <c r="B5">
        <v>65.03</v>
      </c>
      <c r="C5">
        <v>65.078999999999994</v>
      </c>
      <c r="D5">
        <v>64.69</v>
      </c>
      <c r="E5">
        <v>62.613</v>
      </c>
      <c r="F5">
        <v>63.125</v>
      </c>
      <c r="H5" s="2">
        <f t="shared" ref="H5:H68" si="0">AVERAGE(B5:F5)</f>
        <v>64.107399999999998</v>
      </c>
      <c r="I5" s="2">
        <f t="shared" ref="I5:I68" si="1">STDEV(B5:F5)/SQRT(COUNT(B5:F5))</f>
        <v>0.51637976335251501</v>
      </c>
      <c r="K5" t="s">
        <v>2</v>
      </c>
      <c r="L5" t="s">
        <v>6</v>
      </c>
      <c r="M5">
        <v>63.716999999999999</v>
      </c>
      <c r="N5">
        <v>64.108999999999995</v>
      </c>
      <c r="O5">
        <v>64.3</v>
      </c>
      <c r="P5">
        <v>63.817999999999998</v>
      </c>
      <c r="R5" s="3">
        <f t="shared" ref="R5:R68" si="2">AVERAGE(L5:P5)</f>
        <v>63.98599999999999</v>
      </c>
      <c r="S5" s="3">
        <f t="shared" ref="S5:S68" si="3">STDEV(L5:P5)/SQRT(COUNT(L5:P5))</f>
        <v>0.13363819314352662</v>
      </c>
    </row>
    <row r="6" spans="1:19" x14ac:dyDescent="0.25">
      <c r="A6" t="s">
        <v>3</v>
      </c>
      <c r="B6">
        <v>33.835000000000001</v>
      </c>
      <c r="C6">
        <v>34.765999999999998</v>
      </c>
      <c r="D6">
        <v>32.860999999999997</v>
      </c>
      <c r="E6">
        <v>34.082999999999998</v>
      </c>
      <c r="F6">
        <v>34.545000000000002</v>
      </c>
      <c r="H6" s="2">
        <f t="shared" si="0"/>
        <v>34.017999999999994</v>
      </c>
      <c r="I6" s="2">
        <f t="shared" si="1"/>
        <v>0.33268573759630915</v>
      </c>
      <c r="K6" t="s">
        <v>3</v>
      </c>
      <c r="L6" t="s">
        <v>6</v>
      </c>
      <c r="M6">
        <v>33.524999999999999</v>
      </c>
      <c r="N6">
        <v>31.809000000000001</v>
      </c>
      <c r="O6">
        <v>33.518000000000001</v>
      </c>
      <c r="P6">
        <v>33.155999999999999</v>
      </c>
      <c r="R6" s="3">
        <f t="shared" si="2"/>
        <v>33.002000000000002</v>
      </c>
      <c r="S6" s="3">
        <f t="shared" si="3"/>
        <v>0.40689372076747471</v>
      </c>
    </row>
    <row r="7" spans="1:19" x14ac:dyDescent="0.25">
      <c r="A7">
        <v>-3.75</v>
      </c>
      <c r="B7">
        <v>430.86700000000002</v>
      </c>
      <c r="C7">
        <v>496.45400000000001</v>
      </c>
      <c r="D7">
        <v>518.85299999999995</v>
      </c>
      <c r="E7">
        <v>467.51499999999999</v>
      </c>
      <c r="F7">
        <v>536.08299999999997</v>
      </c>
      <c r="H7" s="2">
        <f t="shared" si="0"/>
        <v>489.95439999999996</v>
      </c>
      <c r="I7" s="2">
        <f t="shared" si="1"/>
        <v>18.708379314093445</v>
      </c>
      <c r="K7">
        <v>-3.75</v>
      </c>
      <c r="L7" t="s">
        <v>6</v>
      </c>
      <c r="M7">
        <v>711.78300000000002</v>
      </c>
      <c r="N7">
        <v>571.81200000000001</v>
      </c>
      <c r="O7">
        <v>602.774</v>
      </c>
      <c r="P7">
        <v>481.267</v>
      </c>
      <c r="R7" s="3">
        <f t="shared" si="2"/>
        <v>591.90899999999999</v>
      </c>
      <c r="S7" s="3">
        <f t="shared" si="3"/>
        <v>47.551170397442874</v>
      </c>
    </row>
    <row r="8" spans="1:19" x14ac:dyDescent="0.25">
      <c r="A8">
        <v>-2.5</v>
      </c>
      <c r="B8">
        <v>702.22500000000002</v>
      </c>
      <c r="C8">
        <v>745.803</v>
      </c>
      <c r="D8">
        <v>853.61</v>
      </c>
      <c r="E8">
        <v>571.79</v>
      </c>
      <c r="F8">
        <v>667.33</v>
      </c>
      <c r="H8" s="2">
        <f t="shared" si="0"/>
        <v>708.15159999999992</v>
      </c>
      <c r="I8" s="2">
        <f t="shared" si="1"/>
        <v>46.298913389625078</v>
      </c>
      <c r="K8">
        <v>-2.5</v>
      </c>
      <c r="L8" t="s">
        <v>6</v>
      </c>
      <c r="M8">
        <v>933.93499999999995</v>
      </c>
      <c r="N8">
        <v>879.42899999999997</v>
      </c>
      <c r="O8">
        <v>810.87599999999998</v>
      </c>
      <c r="P8">
        <v>677.25099999999998</v>
      </c>
      <c r="R8" s="3">
        <f t="shared" si="2"/>
        <v>825.37275</v>
      </c>
      <c r="S8" s="3">
        <f t="shared" si="3"/>
        <v>55.421151853143471</v>
      </c>
    </row>
    <row r="9" spans="1:19" x14ac:dyDescent="0.25">
      <c r="A9">
        <v>-1.25</v>
      </c>
      <c r="B9">
        <v>1368.482</v>
      </c>
      <c r="C9">
        <v>1342.2850000000001</v>
      </c>
      <c r="D9">
        <v>1436.6179999999999</v>
      </c>
      <c r="E9">
        <v>916.23900000000003</v>
      </c>
      <c r="F9">
        <v>1083.5730000000001</v>
      </c>
      <c r="H9" s="2">
        <f t="shared" si="0"/>
        <v>1229.4394</v>
      </c>
      <c r="I9" s="2">
        <f t="shared" si="1"/>
        <v>98.580282907182038</v>
      </c>
      <c r="K9">
        <v>-1.25</v>
      </c>
      <c r="L9" t="s">
        <v>6</v>
      </c>
      <c r="M9">
        <v>1507.8</v>
      </c>
      <c r="N9">
        <v>1553.905</v>
      </c>
      <c r="O9">
        <v>1409.797</v>
      </c>
      <c r="P9">
        <v>1222.5129999999999</v>
      </c>
      <c r="R9" s="3">
        <f t="shared" si="2"/>
        <v>1423.5037500000001</v>
      </c>
      <c r="S9" s="3">
        <f t="shared" si="3"/>
        <v>73.425415869183212</v>
      </c>
    </row>
    <row r="10" spans="1:19" x14ac:dyDescent="0.25">
      <c r="A10">
        <v>0</v>
      </c>
      <c r="B10">
        <v>2060.9160000000002</v>
      </c>
      <c r="C10">
        <v>1965.6590000000001</v>
      </c>
      <c r="D10">
        <v>2058.4029999999998</v>
      </c>
      <c r="E10">
        <v>1381.819</v>
      </c>
      <c r="F10">
        <v>1552.106</v>
      </c>
      <c r="H10" s="2">
        <f t="shared" si="0"/>
        <v>1803.7806</v>
      </c>
      <c r="I10" s="2">
        <f t="shared" si="1"/>
        <v>141.16435333702339</v>
      </c>
      <c r="K10">
        <v>0</v>
      </c>
      <c r="L10" t="s">
        <v>6</v>
      </c>
      <c r="M10">
        <v>2183.7040000000002</v>
      </c>
      <c r="N10">
        <v>2220.8919999999998</v>
      </c>
      <c r="O10">
        <v>2103.239</v>
      </c>
      <c r="P10">
        <v>1792.6759999999999</v>
      </c>
      <c r="R10" s="3">
        <f t="shared" si="2"/>
        <v>2075.1277499999997</v>
      </c>
      <c r="S10" s="3">
        <f t="shared" si="3"/>
        <v>97.299045942885982</v>
      </c>
    </row>
    <row r="11" spans="1:19" x14ac:dyDescent="0.25">
      <c r="A11">
        <v>1.25</v>
      </c>
      <c r="B11">
        <v>2644.7979999999998</v>
      </c>
      <c r="C11">
        <v>2589.462</v>
      </c>
      <c r="D11">
        <v>2706.5010000000002</v>
      </c>
      <c r="E11">
        <v>1787.231</v>
      </c>
      <c r="F11">
        <v>1986.8520000000001</v>
      </c>
      <c r="H11" s="2">
        <f t="shared" si="0"/>
        <v>2342.9688000000001</v>
      </c>
      <c r="I11" s="2">
        <f t="shared" si="1"/>
        <v>189.69437282729186</v>
      </c>
      <c r="K11">
        <v>1.25</v>
      </c>
      <c r="L11" t="s">
        <v>6</v>
      </c>
      <c r="M11">
        <v>2802.19</v>
      </c>
      <c r="N11">
        <v>2817.761</v>
      </c>
      <c r="O11">
        <v>2687.8629999999998</v>
      </c>
      <c r="P11">
        <v>2323.7570000000001</v>
      </c>
      <c r="R11" s="3">
        <f t="shared" si="2"/>
        <v>2657.89275</v>
      </c>
      <c r="S11" s="3">
        <f t="shared" si="3"/>
        <v>115.08130062002181</v>
      </c>
    </row>
    <row r="12" spans="1:19" x14ac:dyDescent="0.25">
      <c r="A12">
        <v>2.5</v>
      </c>
      <c r="B12">
        <v>3071.5390000000002</v>
      </c>
      <c r="C12">
        <v>3020.4859999999999</v>
      </c>
      <c r="D12">
        <v>3199.6680000000001</v>
      </c>
      <c r="E12">
        <v>2089.0129999999999</v>
      </c>
      <c r="F12">
        <v>2314.6729999999998</v>
      </c>
      <c r="H12" s="2">
        <f t="shared" si="0"/>
        <v>2739.0757999999996</v>
      </c>
      <c r="I12" s="2">
        <f t="shared" si="1"/>
        <v>224.11693770338061</v>
      </c>
      <c r="K12">
        <v>2.5</v>
      </c>
      <c r="L12" t="s">
        <v>6</v>
      </c>
      <c r="M12">
        <v>3268.6619999999998</v>
      </c>
      <c r="N12">
        <v>3274.8330000000001</v>
      </c>
      <c r="O12">
        <v>3054.6469999999999</v>
      </c>
      <c r="P12">
        <v>2684.1109999999999</v>
      </c>
      <c r="R12" s="3">
        <f t="shared" si="2"/>
        <v>3070.5632500000002</v>
      </c>
      <c r="S12" s="3">
        <f t="shared" si="3"/>
        <v>138.61454771558371</v>
      </c>
    </row>
    <row r="13" spans="1:19" x14ac:dyDescent="0.25">
      <c r="A13">
        <v>3.75</v>
      </c>
      <c r="B13">
        <v>3428.5030000000002</v>
      </c>
      <c r="C13">
        <v>3257.9450000000002</v>
      </c>
      <c r="D13">
        <v>3455.299</v>
      </c>
      <c r="E13">
        <v>2284.0729999999999</v>
      </c>
      <c r="F13">
        <v>2461.8760000000002</v>
      </c>
      <c r="H13" s="2">
        <f t="shared" si="0"/>
        <v>2977.5392000000002</v>
      </c>
      <c r="I13" s="2">
        <f t="shared" si="1"/>
        <v>250.70441703895116</v>
      </c>
      <c r="K13">
        <v>3.75</v>
      </c>
      <c r="L13" t="s">
        <v>6</v>
      </c>
      <c r="M13">
        <v>3511.8420000000001</v>
      </c>
      <c r="N13">
        <v>3596.3609999999999</v>
      </c>
      <c r="O13">
        <v>3225.98</v>
      </c>
      <c r="P13">
        <v>2881.3980000000001</v>
      </c>
      <c r="R13" s="3">
        <f t="shared" si="2"/>
        <v>3303.8952499999996</v>
      </c>
      <c r="S13" s="3">
        <f t="shared" si="3"/>
        <v>161.59434246458781</v>
      </c>
    </row>
    <row r="14" spans="1:19" x14ac:dyDescent="0.25">
      <c r="A14">
        <v>5</v>
      </c>
      <c r="B14">
        <v>3616.498</v>
      </c>
      <c r="C14">
        <v>3398.64</v>
      </c>
      <c r="D14">
        <v>3584.183</v>
      </c>
      <c r="E14">
        <v>2391.3380000000002</v>
      </c>
      <c r="F14">
        <v>2550.2339999999999</v>
      </c>
      <c r="H14" s="2">
        <f t="shared" si="0"/>
        <v>3108.1786000000002</v>
      </c>
      <c r="I14" s="2">
        <f t="shared" si="1"/>
        <v>264.05484739000673</v>
      </c>
      <c r="K14">
        <v>5</v>
      </c>
      <c r="L14" t="s">
        <v>6</v>
      </c>
      <c r="M14">
        <v>3656.701</v>
      </c>
      <c r="N14">
        <v>3784.2539999999999</v>
      </c>
      <c r="O14">
        <v>3327.8110000000001</v>
      </c>
      <c r="P14">
        <v>3011.7190000000001</v>
      </c>
      <c r="R14" s="3">
        <f t="shared" si="2"/>
        <v>3445.1212500000001</v>
      </c>
      <c r="S14" s="3">
        <f t="shared" si="3"/>
        <v>173.53583150480046</v>
      </c>
    </row>
    <row r="15" spans="1:19" x14ac:dyDescent="0.25">
      <c r="A15">
        <v>6.25</v>
      </c>
      <c r="B15">
        <v>3663.9589999999998</v>
      </c>
      <c r="C15">
        <v>3453.24</v>
      </c>
      <c r="D15">
        <v>3610.576</v>
      </c>
      <c r="E15">
        <v>2451.7249999999999</v>
      </c>
      <c r="F15">
        <v>2605.1060000000002</v>
      </c>
      <c r="H15" s="2">
        <f t="shared" si="0"/>
        <v>3156.9211999999998</v>
      </c>
      <c r="I15" s="2">
        <f t="shared" si="1"/>
        <v>260.04773935479648</v>
      </c>
      <c r="K15">
        <v>6.25</v>
      </c>
      <c r="L15" t="s">
        <v>6</v>
      </c>
      <c r="M15">
        <v>3658.0189999999998</v>
      </c>
      <c r="N15">
        <v>3877.3629999999998</v>
      </c>
      <c r="O15">
        <v>3390.0940000000001</v>
      </c>
      <c r="P15">
        <v>3072.7449999999999</v>
      </c>
      <c r="R15" s="3">
        <f t="shared" si="2"/>
        <v>3499.5552499999994</v>
      </c>
      <c r="S15" s="3">
        <f t="shared" si="3"/>
        <v>173.68511037237042</v>
      </c>
    </row>
    <row r="16" spans="1:19" x14ac:dyDescent="0.25">
      <c r="A16">
        <v>7.5</v>
      </c>
      <c r="B16">
        <v>3592.3609999999999</v>
      </c>
      <c r="C16">
        <v>3390.4470000000001</v>
      </c>
      <c r="D16">
        <v>3536.998</v>
      </c>
      <c r="E16">
        <v>2429.3319999999999</v>
      </c>
      <c r="F16">
        <v>2568.259</v>
      </c>
      <c r="H16" s="2">
        <f t="shared" si="0"/>
        <v>3103.4794000000002</v>
      </c>
      <c r="I16" s="2">
        <f t="shared" si="1"/>
        <v>250.02295817756428</v>
      </c>
      <c r="K16">
        <v>7.5</v>
      </c>
      <c r="L16" t="s">
        <v>6</v>
      </c>
      <c r="M16">
        <v>3571.2829999999999</v>
      </c>
      <c r="N16">
        <v>3802.547</v>
      </c>
      <c r="O16">
        <v>3331.145</v>
      </c>
      <c r="P16">
        <v>3010.4780000000001</v>
      </c>
      <c r="R16" s="3">
        <f t="shared" si="2"/>
        <v>3428.8632500000003</v>
      </c>
      <c r="S16" s="3">
        <f t="shared" si="3"/>
        <v>169.43976412596453</v>
      </c>
    </row>
    <row r="17" spans="1:19" x14ac:dyDescent="0.25">
      <c r="A17">
        <v>8.75</v>
      </c>
      <c r="B17">
        <v>3333.8609999999999</v>
      </c>
      <c r="C17">
        <v>3139.761</v>
      </c>
      <c r="D17">
        <v>3277.7179999999998</v>
      </c>
      <c r="E17">
        <v>2264.154</v>
      </c>
      <c r="F17">
        <v>2411.3879999999999</v>
      </c>
      <c r="H17" s="2">
        <f t="shared" si="0"/>
        <v>2885.3764000000001</v>
      </c>
      <c r="I17" s="2">
        <f t="shared" si="1"/>
        <v>226.97622847351047</v>
      </c>
      <c r="K17">
        <v>8.75</v>
      </c>
      <c r="L17" t="s">
        <v>6</v>
      </c>
      <c r="M17">
        <v>3337.6860000000001</v>
      </c>
      <c r="N17">
        <v>3498.97</v>
      </c>
      <c r="O17">
        <v>3115.71</v>
      </c>
      <c r="P17">
        <v>2802.5010000000002</v>
      </c>
      <c r="R17" s="3">
        <f t="shared" si="2"/>
        <v>3188.71675</v>
      </c>
      <c r="S17" s="3">
        <f t="shared" si="3"/>
        <v>150.81487207686939</v>
      </c>
    </row>
    <row r="18" spans="1:19" x14ac:dyDescent="0.25">
      <c r="A18">
        <v>10</v>
      </c>
      <c r="B18">
        <v>2916.8710000000001</v>
      </c>
      <c r="C18">
        <v>2726.9349999999999</v>
      </c>
      <c r="D18">
        <v>2857.4189999999999</v>
      </c>
      <c r="E18">
        <v>1961.106</v>
      </c>
      <c r="F18">
        <v>2074.7660000000001</v>
      </c>
      <c r="H18" s="2">
        <f t="shared" si="0"/>
        <v>2507.4193999999998</v>
      </c>
      <c r="I18" s="2">
        <f t="shared" si="1"/>
        <v>202.97595016863553</v>
      </c>
      <c r="K18">
        <v>10</v>
      </c>
      <c r="L18" t="s">
        <v>6</v>
      </c>
      <c r="M18">
        <v>2909.663</v>
      </c>
      <c r="N18">
        <v>3045.28</v>
      </c>
      <c r="O18">
        <v>2698.7150000000001</v>
      </c>
      <c r="P18">
        <v>2416.2800000000002</v>
      </c>
      <c r="R18" s="3">
        <f t="shared" si="2"/>
        <v>2767.4845</v>
      </c>
      <c r="S18" s="3">
        <f t="shared" si="3"/>
        <v>137.0702103038804</v>
      </c>
    </row>
    <row r="19" spans="1:19" x14ac:dyDescent="0.25">
      <c r="A19">
        <v>11.25</v>
      </c>
      <c r="B19">
        <v>2603.4340000000002</v>
      </c>
      <c r="C19">
        <v>2462.3270000000002</v>
      </c>
      <c r="D19">
        <v>2559.2130000000002</v>
      </c>
      <c r="E19">
        <v>1779.8630000000001</v>
      </c>
      <c r="F19">
        <v>1869.7750000000001</v>
      </c>
      <c r="H19" s="2">
        <f t="shared" si="0"/>
        <v>2254.9223999999999</v>
      </c>
      <c r="I19" s="2">
        <f t="shared" si="1"/>
        <v>177.63582492549332</v>
      </c>
      <c r="K19">
        <v>11.25</v>
      </c>
      <c r="L19" t="s">
        <v>6</v>
      </c>
      <c r="M19">
        <v>2614.1590000000001</v>
      </c>
      <c r="N19">
        <v>2678.6019999999999</v>
      </c>
      <c r="O19">
        <v>2389.3150000000001</v>
      </c>
      <c r="P19">
        <v>2161.7159999999999</v>
      </c>
      <c r="R19" s="3">
        <f t="shared" si="2"/>
        <v>2460.9480000000003</v>
      </c>
      <c r="S19" s="3">
        <f t="shared" si="3"/>
        <v>117.44429557241169</v>
      </c>
    </row>
    <row r="20" spans="1:19" x14ac:dyDescent="0.25">
      <c r="A20">
        <v>12.5</v>
      </c>
      <c r="B20">
        <v>2437.9699999999998</v>
      </c>
      <c r="C20">
        <v>2304.6170000000002</v>
      </c>
      <c r="D20">
        <v>2386.3449999999998</v>
      </c>
      <c r="E20">
        <v>1685.877</v>
      </c>
      <c r="F20">
        <v>1735.0830000000001</v>
      </c>
      <c r="H20" s="2">
        <f t="shared" si="0"/>
        <v>2109.9784</v>
      </c>
      <c r="I20" s="2">
        <f t="shared" si="1"/>
        <v>164.65869705229676</v>
      </c>
      <c r="K20">
        <v>12.5</v>
      </c>
      <c r="L20" t="s">
        <v>6</v>
      </c>
      <c r="M20">
        <v>2418.127</v>
      </c>
      <c r="N20">
        <v>2550.1129999999998</v>
      </c>
      <c r="O20">
        <v>2226.0909999999999</v>
      </c>
      <c r="P20">
        <v>2033.7260000000001</v>
      </c>
      <c r="R20" s="3">
        <f t="shared" si="2"/>
        <v>2307.0142500000002</v>
      </c>
      <c r="S20" s="3">
        <f t="shared" si="3"/>
        <v>112.7970468890734</v>
      </c>
    </row>
    <row r="21" spans="1:19" x14ac:dyDescent="0.25">
      <c r="A21">
        <v>13.75</v>
      </c>
      <c r="B21">
        <v>2371.4180000000001</v>
      </c>
      <c r="C21">
        <v>2238.41</v>
      </c>
      <c r="D21">
        <v>2320.8290000000002</v>
      </c>
      <c r="E21">
        <v>1643.7070000000001</v>
      </c>
      <c r="F21">
        <v>1678.7570000000001</v>
      </c>
      <c r="H21" s="2">
        <f t="shared" si="0"/>
        <v>2050.6241999999997</v>
      </c>
      <c r="I21" s="2">
        <f t="shared" si="1"/>
        <v>160.47579643591206</v>
      </c>
      <c r="K21">
        <v>13.75</v>
      </c>
      <c r="L21" t="s">
        <v>6</v>
      </c>
      <c r="M21">
        <v>2335.8980000000001</v>
      </c>
      <c r="N21">
        <v>2489.0529999999999</v>
      </c>
      <c r="O21">
        <v>2180.933</v>
      </c>
      <c r="P21">
        <v>1990.3109999999999</v>
      </c>
      <c r="R21" s="3">
        <f t="shared" si="2"/>
        <v>2249.0487499999999</v>
      </c>
      <c r="S21" s="3">
        <f t="shared" si="3"/>
        <v>106.74338813120542</v>
      </c>
    </row>
    <row r="22" spans="1:19" x14ac:dyDescent="0.25">
      <c r="A22">
        <v>15</v>
      </c>
      <c r="B22">
        <v>2356.0149999999999</v>
      </c>
      <c r="C22">
        <v>2222.5059999999999</v>
      </c>
      <c r="D22">
        <v>2304.5569999999998</v>
      </c>
      <c r="E22">
        <v>1627.9110000000001</v>
      </c>
      <c r="F22">
        <v>1659.5219999999999</v>
      </c>
      <c r="H22" s="2">
        <f t="shared" si="0"/>
        <v>2034.1021999999998</v>
      </c>
      <c r="I22" s="2">
        <f t="shared" si="1"/>
        <v>160.86815388553572</v>
      </c>
      <c r="K22">
        <v>15</v>
      </c>
      <c r="L22" t="s">
        <v>6</v>
      </c>
      <c r="M22">
        <v>2313.9949999999999</v>
      </c>
      <c r="N22">
        <v>2494.7849999999999</v>
      </c>
      <c r="O22">
        <v>2169.3679999999999</v>
      </c>
      <c r="P22">
        <v>1975.4690000000001</v>
      </c>
      <c r="R22" s="3">
        <f t="shared" si="2"/>
        <v>2238.4042499999996</v>
      </c>
      <c r="S22" s="3">
        <f t="shared" si="3"/>
        <v>110.05528912125256</v>
      </c>
    </row>
    <row r="23" spans="1:19" x14ac:dyDescent="0.25">
      <c r="A23">
        <v>16.25</v>
      </c>
      <c r="B23">
        <v>2361.4639999999999</v>
      </c>
      <c r="C23">
        <v>2219.6149999999998</v>
      </c>
      <c r="D23">
        <v>2304.5349999999999</v>
      </c>
      <c r="E23">
        <v>1625.799</v>
      </c>
      <c r="F23">
        <v>1651.5920000000001</v>
      </c>
      <c r="H23" s="2">
        <f t="shared" si="0"/>
        <v>2032.6010000000001</v>
      </c>
      <c r="I23" s="2">
        <f t="shared" si="1"/>
        <v>162.43905543402994</v>
      </c>
      <c r="K23">
        <v>16.25</v>
      </c>
      <c r="L23" t="s">
        <v>6</v>
      </c>
      <c r="M23">
        <v>2304.08</v>
      </c>
      <c r="N23">
        <v>2502.3919999999998</v>
      </c>
      <c r="O23">
        <v>2175.4690000000001</v>
      </c>
      <c r="P23">
        <v>1964.306</v>
      </c>
      <c r="R23" s="3">
        <f t="shared" si="2"/>
        <v>2236.5617499999998</v>
      </c>
      <c r="S23" s="3">
        <f t="shared" si="3"/>
        <v>112.94539735669838</v>
      </c>
    </row>
    <row r="24" spans="1:19" x14ac:dyDescent="0.25">
      <c r="A24">
        <v>17.5</v>
      </c>
      <c r="B24">
        <v>2366.4369999999999</v>
      </c>
      <c r="C24">
        <v>2231.8029999999999</v>
      </c>
      <c r="D24">
        <v>2315.7669999999998</v>
      </c>
      <c r="E24">
        <v>1637.0709999999999</v>
      </c>
      <c r="F24">
        <v>1662.905</v>
      </c>
      <c r="H24" s="2">
        <f t="shared" si="0"/>
        <v>2042.7966000000001</v>
      </c>
      <c r="I24" s="2">
        <f t="shared" si="1"/>
        <v>161.85027915873383</v>
      </c>
      <c r="K24">
        <v>17.5</v>
      </c>
      <c r="L24" t="s">
        <v>6</v>
      </c>
      <c r="M24">
        <v>2309.08</v>
      </c>
      <c r="N24">
        <v>2528.1610000000001</v>
      </c>
      <c r="O24">
        <v>2175.9340000000002</v>
      </c>
      <c r="P24">
        <v>1960</v>
      </c>
      <c r="R24" s="3">
        <f t="shared" si="2"/>
        <v>2243.2937499999998</v>
      </c>
      <c r="S24" s="3">
        <f t="shared" si="3"/>
        <v>119.11824150843775</v>
      </c>
    </row>
    <row r="25" spans="1:19" x14ac:dyDescent="0.25">
      <c r="A25">
        <v>18.75</v>
      </c>
      <c r="B25">
        <v>2392.2429999999999</v>
      </c>
      <c r="C25">
        <v>2239.0279999999998</v>
      </c>
      <c r="D25">
        <v>2331.7890000000002</v>
      </c>
      <c r="E25">
        <v>1660.4269999999999</v>
      </c>
      <c r="F25">
        <v>1684.7550000000001</v>
      </c>
      <c r="H25" s="2">
        <f t="shared" si="0"/>
        <v>2061.6483999999996</v>
      </c>
      <c r="I25" s="2">
        <f t="shared" si="1"/>
        <v>160.74195199063755</v>
      </c>
      <c r="K25">
        <v>18.75</v>
      </c>
      <c r="L25" t="s">
        <v>6</v>
      </c>
      <c r="M25">
        <v>2327.864</v>
      </c>
      <c r="N25">
        <v>2552.8240000000001</v>
      </c>
      <c r="O25">
        <v>2193.752</v>
      </c>
      <c r="P25">
        <v>1981.327</v>
      </c>
      <c r="R25" s="3">
        <f t="shared" si="2"/>
        <v>2263.94175</v>
      </c>
      <c r="S25" s="3">
        <f t="shared" si="3"/>
        <v>119.83902617426361</v>
      </c>
    </row>
    <row r="26" spans="1:19" x14ac:dyDescent="0.25">
      <c r="A26">
        <v>20</v>
      </c>
      <c r="B26">
        <v>2421.404</v>
      </c>
      <c r="C26">
        <v>2251.4569999999999</v>
      </c>
      <c r="D26">
        <v>2342.0909999999999</v>
      </c>
      <c r="E26">
        <v>1683.1669999999999</v>
      </c>
      <c r="F26">
        <v>1716.9590000000001</v>
      </c>
      <c r="H26" s="2">
        <f t="shared" si="0"/>
        <v>2083.0155999999997</v>
      </c>
      <c r="I26" s="2">
        <f t="shared" si="1"/>
        <v>158.72548861150179</v>
      </c>
      <c r="K26">
        <v>20</v>
      </c>
      <c r="L26" t="s">
        <v>6</v>
      </c>
      <c r="M26">
        <v>2359.2829999999999</v>
      </c>
      <c r="N26">
        <v>2561.3890000000001</v>
      </c>
      <c r="O26">
        <v>2224.5140000000001</v>
      </c>
      <c r="P26">
        <v>2005.011</v>
      </c>
      <c r="R26" s="3">
        <f t="shared" si="2"/>
        <v>2287.54925</v>
      </c>
      <c r="S26" s="3">
        <f t="shared" si="3"/>
        <v>116.88143744294545</v>
      </c>
    </row>
    <row r="27" spans="1:19" x14ac:dyDescent="0.25">
      <c r="A27">
        <v>21.25</v>
      </c>
      <c r="B27">
        <v>2438.556</v>
      </c>
      <c r="C27">
        <v>2263.7530000000002</v>
      </c>
      <c r="D27">
        <v>2351.0259999999998</v>
      </c>
      <c r="E27">
        <v>1681.6079999999999</v>
      </c>
      <c r="F27">
        <v>1727.6949999999999</v>
      </c>
      <c r="H27" s="2">
        <f t="shared" si="0"/>
        <v>2092.5275999999999</v>
      </c>
      <c r="I27" s="2">
        <f t="shared" si="1"/>
        <v>160.90881854348541</v>
      </c>
      <c r="K27">
        <v>21.25</v>
      </c>
      <c r="L27" t="s">
        <v>6</v>
      </c>
      <c r="M27">
        <v>2375.817</v>
      </c>
      <c r="N27">
        <v>2585.5509999999999</v>
      </c>
      <c r="O27">
        <v>2241.375</v>
      </c>
      <c r="P27">
        <v>2021.306</v>
      </c>
      <c r="R27" s="3">
        <f t="shared" si="2"/>
        <v>2306.0122500000002</v>
      </c>
      <c r="S27" s="3">
        <f t="shared" si="3"/>
        <v>118.40968384903813</v>
      </c>
    </row>
    <row r="28" spans="1:19" x14ac:dyDescent="0.25">
      <c r="A28">
        <v>22.5</v>
      </c>
      <c r="B28">
        <v>2431.172</v>
      </c>
      <c r="C28">
        <v>2273.5300000000002</v>
      </c>
      <c r="D28">
        <v>2361.3739999999998</v>
      </c>
      <c r="E28">
        <v>1677.413</v>
      </c>
      <c r="F28">
        <v>1729.4169999999999</v>
      </c>
      <c r="H28" s="2">
        <f t="shared" si="0"/>
        <v>2094.5811999999996</v>
      </c>
      <c r="I28" s="2">
        <f t="shared" si="1"/>
        <v>161.84385033896135</v>
      </c>
      <c r="K28">
        <v>22.5</v>
      </c>
      <c r="L28" t="s">
        <v>6</v>
      </c>
      <c r="M28">
        <v>2373.1680000000001</v>
      </c>
      <c r="N28">
        <v>2570.694</v>
      </c>
      <c r="O28">
        <v>2242.4810000000002</v>
      </c>
      <c r="P28">
        <v>2031.61</v>
      </c>
      <c r="R28" s="3">
        <f t="shared" si="2"/>
        <v>2304.4882500000003</v>
      </c>
      <c r="S28" s="3">
        <f t="shared" si="3"/>
        <v>113.24378120112897</v>
      </c>
    </row>
    <row r="29" spans="1:19" x14ac:dyDescent="0.25">
      <c r="A29">
        <v>23.75</v>
      </c>
      <c r="B29">
        <v>2407.79</v>
      </c>
      <c r="C29">
        <v>2274.1799999999998</v>
      </c>
      <c r="D29">
        <v>2363.8180000000002</v>
      </c>
      <c r="E29">
        <v>1671.25</v>
      </c>
      <c r="F29">
        <v>1718.62</v>
      </c>
      <c r="H29" s="2">
        <f t="shared" si="0"/>
        <v>2087.1315999999997</v>
      </c>
      <c r="I29" s="2">
        <f t="shared" si="1"/>
        <v>161.72856611174166</v>
      </c>
      <c r="K29">
        <v>23.75</v>
      </c>
      <c r="L29" t="s">
        <v>6</v>
      </c>
      <c r="M29">
        <v>2374.672</v>
      </c>
      <c r="N29">
        <v>2562.2170000000001</v>
      </c>
      <c r="O29">
        <v>2233.7550000000001</v>
      </c>
      <c r="P29">
        <v>2029.6020000000001</v>
      </c>
      <c r="R29" s="3">
        <f t="shared" si="2"/>
        <v>2300.0615000000003</v>
      </c>
      <c r="S29" s="3">
        <f t="shared" si="3"/>
        <v>112.48597170795715</v>
      </c>
    </row>
    <row r="30" spans="1:19" x14ac:dyDescent="0.25">
      <c r="A30">
        <v>25</v>
      </c>
      <c r="B30">
        <v>2401.2750000000001</v>
      </c>
      <c r="C30">
        <v>2271.4879999999998</v>
      </c>
      <c r="D30">
        <v>2368.3310000000001</v>
      </c>
      <c r="E30">
        <v>1668.942</v>
      </c>
      <c r="F30">
        <v>1714.498</v>
      </c>
      <c r="H30" s="2">
        <f t="shared" si="0"/>
        <v>2084.9067999999997</v>
      </c>
      <c r="I30" s="2">
        <f t="shared" si="1"/>
        <v>162.08948967573451</v>
      </c>
      <c r="K30">
        <v>25</v>
      </c>
      <c r="L30" t="s">
        <v>6</v>
      </c>
      <c r="M30">
        <v>2373.8380000000002</v>
      </c>
      <c r="N30">
        <v>2545.335</v>
      </c>
      <c r="O30">
        <v>2234.5450000000001</v>
      </c>
      <c r="P30">
        <v>2022.4480000000001</v>
      </c>
      <c r="R30" s="3">
        <f t="shared" si="2"/>
        <v>2294.0415000000003</v>
      </c>
      <c r="S30" s="3">
        <f t="shared" si="3"/>
        <v>110.61146991044825</v>
      </c>
    </row>
    <row r="31" spans="1:19" x14ac:dyDescent="0.25">
      <c r="A31">
        <v>26.25</v>
      </c>
      <c r="B31">
        <v>2430.9699999999998</v>
      </c>
      <c r="C31">
        <v>2282.84</v>
      </c>
      <c r="D31">
        <v>2386.19</v>
      </c>
      <c r="E31">
        <v>1683.0170000000001</v>
      </c>
      <c r="F31">
        <v>1723.431</v>
      </c>
      <c r="H31" s="2">
        <f t="shared" si="0"/>
        <v>2101.2896000000001</v>
      </c>
      <c r="I31" s="2">
        <f t="shared" si="1"/>
        <v>164.39997586818504</v>
      </c>
      <c r="K31">
        <v>26.25</v>
      </c>
      <c r="L31" t="s">
        <v>6</v>
      </c>
      <c r="M31">
        <v>2387.9499999999998</v>
      </c>
      <c r="N31">
        <v>2561.0340000000001</v>
      </c>
      <c r="O31">
        <v>2246.848</v>
      </c>
      <c r="P31">
        <v>2033.3240000000001</v>
      </c>
      <c r="R31" s="3">
        <f t="shared" si="2"/>
        <v>2307.2890000000002</v>
      </c>
      <c r="S31" s="3">
        <f t="shared" si="3"/>
        <v>111.65521993022388</v>
      </c>
    </row>
    <row r="32" spans="1:19" x14ac:dyDescent="0.25">
      <c r="A32">
        <v>27.5</v>
      </c>
      <c r="B32">
        <v>2466.3870000000002</v>
      </c>
      <c r="C32">
        <v>2298.415</v>
      </c>
      <c r="D32">
        <v>2407.848</v>
      </c>
      <c r="E32">
        <v>1708.5619999999999</v>
      </c>
      <c r="F32">
        <v>1735.9829999999999</v>
      </c>
      <c r="H32" s="2">
        <f t="shared" si="0"/>
        <v>2123.4389999999999</v>
      </c>
      <c r="I32" s="2">
        <f t="shared" si="1"/>
        <v>166.03666577385926</v>
      </c>
      <c r="K32">
        <v>27.5</v>
      </c>
      <c r="L32" t="s">
        <v>6</v>
      </c>
      <c r="M32">
        <v>2405.027</v>
      </c>
      <c r="N32">
        <v>2588.895</v>
      </c>
      <c r="O32">
        <v>2257.7539999999999</v>
      </c>
      <c r="P32">
        <v>2053.4029999999998</v>
      </c>
      <c r="R32" s="3">
        <f t="shared" si="2"/>
        <v>2326.2697499999999</v>
      </c>
      <c r="S32" s="3">
        <f t="shared" si="3"/>
        <v>113.40392321944825</v>
      </c>
    </row>
    <row r="33" spans="1:19" x14ac:dyDescent="0.25">
      <c r="A33">
        <v>28.75</v>
      </c>
      <c r="B33">
        <v>2493.3539999999998</v>
      </c>
      <c r="C33">
        <v>2320.4569999999999</v>
      </c>
      <c r="D33">
        <v>2437.48</v>
      </c>
      <c r="E33">
        <v>1728.2550000000001</v>
      </c>
      <c r="F33">
        <v>1749.2370000000001</v>
      </c>
      <c r="H33" s="2">
        <f t="shared" si="0"/>
        <v>2145.7565999999997</v>
      </c>
      <c r="I33" s="2">
        <f t="shared" si="1"/>
        <v>168.52034054398285</v>
      </c>
      <c r="K33">
        <v>28.75</v>
      </c>
      <c r="L33" t="s">
        <v>6</v>
      </c>
      <c r="M33">
        <v>2433.83</v>
      </c>
      <c r="N33">
        <v>2632.011</v>
      </c>
      <c r="O33">
        <v>2271.922</v>
      </c>
      <c r="P33">
        <v>2065.3989999999999</v>
      </c>
      <c r="R33" s="3">
        <f t="shared" si="2"/>
        <v>2350.7905000000001</v>
      </c>
      <c r="S33" s="3">
        <f t="shared" si="3"/>
        <v>120.29445704360892</v>
      </c>
    </row>
    <row r="34" spans="1:19" x14ac:dyDescent="0.25">
      <c r="A34">
        <v>30</v>
      </c>
      <c r="B34">
        <v>2511.0210000000002</v>
      </c>
      <c r="C34">
        <v>2338.3989999999999</v>
      </c>
      <c r="D34">
        <v>2456.7429999999999</v>
      </c>
      <c r="E34">
        <v>1732.133</v>
      </c>
      <c r="F34">
        <v>1764.095</v>
      </c>
      <c r="H34" s="2">
        <f t="shared" si="0"/>
        <v>2160.4782</v>
      </c>
      <c r="I34" s="2">
        <f t="shared" si="1"/>
        <v>170.72026081118844</v>
      </c>
      <c r="K34">
        <v>30</v>
      </c>
      <c r="L34" t="s">
        <v>6</v>
      </c>
      <c r="M34">
        <v>2450.9520000000002</v>
      </c>
      <c r="N34">
        <v>2657.116</v>
      </c>
      <c r="O34">
        <v>2294.9499999999998</v>
      </c>
      <c r="P34">
        <v>2077.444</v>
      </c>
      <c r="R34" s="3">
        <f t="shared" si="2"/>
        <v>2370.1154999999999</v>
      </c>
      <c r="S34" s="3">
        <f t="shared" si="3"/>
        <v>122.54600701879278</v>
      </c>
    </row>
    <row r="35" spans="1:19" x14ac:dyDescent="0.25">
      <c r="A35">
        <v>31.25</v>
      </c>
      <c r="B35">
        <v>2512.904</v>
      </c>
      <c r="C35">
        <v>2340.203</v>
      </c>
      <c r="D35">
        <v>2461.1350000000002</v>
      </c>
      <c r="E35">
        <v>1729.567</v>
      </c>
      <c r="F35">
        <v>1772.163</v>
      </c>
      <c r="H35" s="2">
        <f t="shared" si="0"/>
        <v>2163.1944000000003</v>
      </c>
      <c r="I35" s="2">
        <f t="shared" si="1"/>
        <v>170.78286327251857</v>
      </c>
      <c r="K35">
        <v>31.25</v>
      </c>
      <c r="L35" t="s">
        <v>6</v>
      </c>
      <c r="M35">
        <v>2456.17</v>
      </c>
      <c r="N35">
        <v>2678.0169999999998</v>
      </c>
      <c r="O35">
        <v>2321.2109999999998</v>
      </c>
      <c r="P35">
        <v>2081.5390000000002</v>
      </c>
      <c r="R35" s="3">
        <f t="shared" si="2"/>
        <v>2384.23425</v>
      </c>
      <c r="S35" s="3">
        <f t="shared" si="3"/>
        <v>124.85972153405791</v>
      </c>
    </row>
    <row r="36" spans="1:19" x14ac:dyDescent="0.25">
      <c r="A36">
        <v>32.5</v>
      </c>
      <c r="B36">
        <v>2512.7339999999999</v>
      </c>
      <c r="C36">
        <v>2327.598</v>
      </c>
      <c r="D36">
        <v>2446.2249999999999</v>
      </c>
      <c r="E36">
        <v>1721.326</v>
      </c>
      <c r="F36">
        <v>1770.434</v>
      </c>
      <c r="H36" s="2">
        <f t="shared" si="0"/>
        <v>2155.6634000000004</v>
      </c>
      <c r="I36" s="2">
        <f t="shared" si="1"/>
        <v>170.07904502307034</v>
      </c>
      <c r="K36">
        <v>32.5</v>
      </c>
      <c r="L36" t="s">
        <v>6</v>
      </c>
      <c r="M36">
        <v>2462.866</v>
      </c>
      <c r="N36">
        <v>2687.866</v>
      </c>
      <c r="O36">
        <v>2323.527</v>
      </c>
      <c r="P36">
        <v>2077.6080000000002</v>
      </c>
      <c r="R36" s="3">
        <f t="shared" si="2"/>
        <v>2387.96675</v>
      </c>
      <c r="S36" s="3">
        <f t="shared" si="3"/>
        <v>127.80991513531266</v>
      </c>
    </row>
    <row r="37" spans="1:19" x14ac:dyDescent="0.25">
      <c r="A37">
        <v>33.75</v>
      </c>
      <c r="B37">
        <v>2499.8220000000001</v>
      </c>
      <c r="C37">
        <v>2308.5929999999998</v>
      </c>
      <c r="D37">
        <v>2424.2060000000001</v>
      </c>
      <c r="E37">
        <v>1707.731</v>
      </c>
      <c r="F37">
        <v>1759.3430000000001</v>
      </c>
      <c r="H37" s="2">
        <f t="shared" si="0"/>
        <v>2139.9390000000003</v>
      </c>
      <c r="I37" s="2">
        <f t="shared" si="1"/>
        <v>168.88231748380204</v>
      </c>
      <c r="K37">
        <v>33.75</v>
      </c>
      <c r="L37" t="s">
        <v>6</v>
      </c>
      <c r="M37">
        <v>2452.7649999999999</v>
      </c>
      <c r="N37">
        <v>2680.2370000000001</v>
      </c>
      <c r="O37">
        <v>2318.8870000000002</v>
      </c>
      <c r="P37">
        <v>2062.4989999999998</v>
      </c>
      <c r="R37" s="3">
        <f t="shared" si="2"/>
        <v>2378.5970000000002</v>
      </c>
      <c r="S37" s="3">
        <f t="shared" si="3"/>
        <v>129.09002399101183</v>
      </c>
    </row>
    <row r="38" spans="1:19" x14ac:dyDescent="0.25">
      <c r="A38">
        <v>35</v>
      </c>
      <c r="B38">
        <v>2450.1039999999998</v>
      </c>
      <c r="C38">
        <v>2261.31</v>
      </c>
      <c r="D38">
        <v>2371.7800000000002</v>
      </c>
      <c r="E38">
        <v>1664.8920000000001</v>
      </c>
      <c r="F38">
        <v>1718.665</v>
      </c>
      <c r="H38" s="2">
        <f t="shared" si="0"/>
        <v>2093.3501999999999</v>
      </c>
      <c r="I38" s="2">
        <f t="shared" si="1"/>
        <v>166.87905051335827</v>
      </c>
      <c r="K38">
        <v>35</v>
      </c>
      <c r="L38" t="s">
        <v>6</v>
      </c>
      <c r="M38">
        <v>2398.3240000000001</v>
      </c>
      <c r="N38">
        <v>2636.48</v>
      </c>
      <c r="O38">
        <v>2268.1819999999998</v>
      </c>
      <c r="P38">
        <v>2017.087</v>
      </c>
      <c r="R38" s="3">
        <f t="shared" si="2"/>
        <v>2330.0182500000001</v>
      </c>
      <c r="S38" s="3">
        <f t="shared" si="3"/>
        <v>129.20725235603393</v>
      </c>
    </row>
    <row r="39" spans="1:19" x14ac:dyDescent="0.25">
      <c r="A39">
        <v>36.25</v>
      </c>
      <c r="B39">
        <v>2327.8879999999999</v>
      </c>
      <c r="C39">
        <v>2158.221</v>
      </c>
      <c r="D39">
        <v>2262.8980000000001</v>
      </c>
      <c r="E39">
        <v>1588.8040000000001</v>
      </c>
      <c r="F39">
        <v>1634.9280000000001</v>
      </c>
      <c r="H39" s="2">
        <f t="shared" si="0"/>
        <v>1994.5478000000003</v>
      </c>
      <c r="I39" s="2">
        <f t="shared" si="1"/>
        <v>158.72474081957017</v>
      </c>
      <c r="K39">
        <v>36.25</v>
      </c>
      <c r="L39" t="s">
        <v>6</v>
      </c>
      <c r="M39">
        <v>2295.3530000000001</v>
      </c>
      <c r="N39">
        <v>2513.2020000000002</v>
      </c>
      <c r="O39">
        <v>2162.9670000000001</v>
      </c>
      <c r="P39">
        <v>1925.8630000000001</v>
      </c>
      <c r="R39" s="3">
        <f t="shared" si="2"/>
        <v>2224.3462500000001</v>
      </c>
      <c r="S39" s="3">
        <f t="shared" si="3"/>
        <v>122.92927021758966</v>
      </c>
    </row>
    <row r="40" spans="1:19" x14ac:dyDescent="0.25">
      <c r="A40">
        <v>37.5</v>
      </c>
      <c r="B40">
        <v>2162.8389999999999</v>
      </c>
      <c r="C40">
        <v>2022.123</v>
      </c>
      <c r="D40">
        <v>2126.0529999999999</v>
      </c>
      <c r="E40">
        <v>1486.05</v>
      </c>
      <c r="F40">
        <v>1537.1610000000001</v>
      </c>
      <c r="H40" s="2">
        <f t="shared" si="0"/>
        <v>1866.8451999999997</v>
      </c>
      <c r="I40" s="2">
        <f t="shared" si="1"/>
        <v>147.07291804829342</v>
      </c>
      <c r="K40">
        <v>37.5</v>
      </c>
      <c r="L40" t="s">
        <v>6</v>
      </c>
      <c r="M40">
        <v>2136.0239999999999</v>
      </c>
      <c r="N40">
        <v>2325.654</v>
      </c>
      <c r="O40">
        <v>2023.7560000000001</v>
      </c>
      <c r="P40">
        <v>1812.048</v>
      </c>
      <c r="R40" s="3">
        <f t="shared" si="2"/>
        <v>2074.3705</v>
      </c>
      <c r="S40" s="3">
        <f t="shared" si="3"/>
        <v>107.36211042192677</v>
      </c>
    </row>
    <row r="41" spans="1:19" x14ac:dyDescent="0.25">
      <c r="A41">
        <v>38.75</v>
      </c>
      <c r="B41">
        <v>2021.42</v>
      </c>
      <c r="C41">
        <v>1877.249</v>
      </c>
      <c r="D41">
        <v>1971.0940000000001</v>
      </c>
      <c r="E41">
        <v>1383.3030000000001</v>
      </c>
      <c r="F41">
        <v>1441.538</v>
      </c>
      <c r="H41" s="2">
        <f t="shared" si="0"/>
        <v>1738.9207999999999</v>
      </c>
      <c r="I41" s="2">
        <f t="shared" si="1"/>
        <v>135.59967424865064</v>
      </c>
      <c r="K41">
        <v>38.75</v>
      </c>
      <c r="L41" t="s">
        <v>6</v>
      </c>
      <c r="M41">
        <v>1991.5219999999999</v>
      </c>
      <c r="N41">
        <v>2167.625</v>
      </c>
      <c r="O41">
        <v>1871.701</v>
      </c>
      <c r="P41">
        <v>1685.377</v>
      </c>
      <c r="R41" s="3">
        <f t="shared" si="2"/>
        <v>1929.0562500000001</v>
      </c>
      <c r="S41" s="3">
        <f t="shared" si="3"/>
        <v>101.44219206965036</v>
      </c>
    </row>
    <row r="42" spans="1:19" x14ac:dyDescent="0.25">
      <c r="A42">
        <v>40</v>
      </c>
      <c r="B42">
        <v>1928.9839999999999</v>
      </c>
      <c r="C42">
        <v>1796.2639999999999</v>
      </c>
      <c r="D42">
        <v>1881.2619999999999</v>
      </c>
      <c r="E42">
        <v>1319.432</v>
      </c>
      <c r="F42">
        <v>1376.2059999999999</v>
      </c>
      <c r="H42" s="2">
        <f t="shared" si="0"/>
        <v>1660.4295999999999</v>
      </c>
      <c r="I42" s="2">
        <f t="shared" si="1"/>
        <v>129.69229292352006</v>
      </c>
      <c r="K42">
        <v>40</v>
      </c>
      <c r="L42" t="s">
        <v>6</v>
      </c>
      <c r="M42">
        <v>1896.7339999999999</v>
      </c>
      <c r="N42">
        <v>2072.402</v>
      </c>
      <c r="O42">
        <v>1779.9649999999999</v>
      </c>
      <c r="P42">
        <v>1601.0889999999999</v>
      </c>
      <c r="R42" s="3">
        <f t="shared" si="2"/>
        <v>1837.5474999999999</v>
      </c>
      <c r="S42" s="3">
        <f t="shared" si="3"/>
        <v>99.116112245941139</v>
      </c>
    </row>
    <row r="43" spans="1:19" x14ac:dyDescent="0.25">
      <c r="A43">
        <v>41.25</v>
      </c>
      <c r="B43">
        <v>1874.867</v>
      </c>
      <c r="C43">
        <v>1753.665</v>
      </c>
      <c r="D43">
        <v>1841.0909999999999</v>
      </c>
      <c r="E43">
        <v>1286.4159999999999</v>
      </c>
      <c r="F43">
        <v>1344.9079999999999</v>
      </c>
      <c r="H43" s="2">
        <f t="shared" si="0"/>
        <v>1620.1894</v>
      </c>
      <c r="I43" s="2">
        <f t="shared" si="1"/>
        <v>126.22568366881562</v>
      </c>
      <c r="K43">
        <v>41.25</v>
      </c>
      <c r="L43" t="s">
        <v>6</v>
      </c>
      <c r="M43">
        <v>1848.1510000000001</v>
      </c>
      <c r="N43">
        <v>2014.9549999999999</v>
      </c>
      <c r="O43">
        <v>1742.788</v>
      </c>
      <c r="P43">
        <v>1563.46</v>
      </c>
      <c r="R43" s="3">
        <f t="shared" si="2"/>
        <v>1792.3385000000001</v>
      </c>
      <c r="S43" s="3">
        <f t="shared" si="3"/>
        <v>94.65453019665776</v>
      </c>
    </row>
    <row r="44" spans="1:19" x14ac:dyDescent="0.25">
      <c r="A44">
        <v>42.5</v>
      </c>
      <c r="B44">
        <v>1864.348</v>
      </c>
      <c r="C44">
        <v>1730.8320000000001</v>
      </c>
      <c r="D44">
        <v>1822.8530000000001</v>
      </c>
      <c r="E44">
        <v>1274.6089999999999</v>
      </c>
      <c r="F44">
        <v>1329.8019999999999</v>
      </c>
      <c r="H44" s="2">
        <f t="shared" si="0"/>
        <v>1604.4887999999999</v>
      </c>
      <c r="I44" s="2">
        <f t="shared" si="1"/>
        <v>125.58778849768844</v>
      </c>
      <c r="K44">
        <v>42.5</v>
      </c>
      <c r="L44" t="s">
        <v>6</v>
      </c>
      <c r="M44">
        <v>1831.5619999999999</v>
      </c>
      <c r="N44">
        <v>2003.6559999999999</v>
      </c>
      <c r="O44">
        <v>1732.098</v>
      </c>
      <c r="P44">
        <v>1551.2670000000001</v>
      </c>
      <c r="R44" s="3">
        <f t="shared" si="2"/>
        <v>1779.6457499999999</v>
      </c>
      <c r="S44" s="3">
        <f t="shared" si="3"/>
        <v>94.557535880167492</v>
      </c>
    </row>
    <row r="45" spans="1:19" x14ac:dyDescent="0.25">
      <c r="A45">
        <v>43.75</v>
      </c>
      <c r="B45">
        <v>1876.203</v>
      </c>
      <c r="C45">
        <v>1728.4390000000001</v>
      </c>
      <c r="D45">
        <v>1824.0630000000001</v>
      </c>
      <c r="E45">
        <v>1275.6500000000001</v>
      </c>
      <c r="F45">
        <v>1324.336</v>
      </c>
      <c r="H45" s="2">
        <f t="shared" si="0"/>
        <v>1605.7382</v>
      </c>
      <c r="I45" s="2">
        <f t="shared" si="1"/>
        <v>127.28272282576323</v>
      </c>
      <c r="K45">
        <v>43.75</v>
      </c>
      <c r="L45" t="s">
        <v>6</v>
      </c>
      <c r="M45">
        <v>1834.2550000000001</v>
      </c>
      <c r="N45">
        <v>2015.9469999999999</v>
      </c>
      <c r="O45">
        <v>1736.8610000000001</v>
      </c>
      <c r="P45">
        <v>1547.7080000000001</v>
      </c>
      <c r="R45" s="3">
        <f t="shared" si="2"/>
        <v>1783.6927500000002</v>
      </c>
      <c r="S45" s="3">
        <f t="shared" si="3"/>
        <v>97.630507872262072</v>
      </c>
    </row>
    <row r="46" spans="1:19" x14ac:dyDescent="0.25">
      <c r="A46">
        <v>45</v>
      </c>
      <c r="B46">
        <v>1898.0930000000001</v>
      </c>
      <c r="C46">
        <v>1751.002</v>
      </c>
      <c r="D46">
        <v>1841.63</v>
      </c>
      <c r="E46">
        <v>1296.973</v>
      </c>
      <c r="F46">
        <v>1334.3820000000001</v>
      </c>
      <c r="H46" s="2">
        <f t="shared" si="0"/>
        <v>1624.4159999999999</v>
      </c>
      <c r="I46" s="2">
        <f t="shared" si="1"/>
        <v>128.34400588379654</v>
      </c>
      <c r="K46">
        <v>45</v>
      </c>
      <c r="L46" t="s">
        <v>6</v>
      </c>
      <c r="M46">
        <v>1852.143</v>
      </c>
      <c r="N46">
        <v>2029.6890000000001</v>
      </c>
      <c r="O46">
        <v>1748.1379999999999</v>
      </c>
      <c r="P46">
        <v>1557.35</v>
      </c>
      <c r="R46" s="3">
        <f t="shared" si="2"/>
        <v>1796.83</v>
      </c>
      <c r="S46" s="3">
        <f t="shared" si="3"/>
        <v>98.743954715381648</v>
      </c>
    </row>
    <row r="47" spans="1:19" x14ac:dyDescent="0.25">
      <c r="A47">
        <v>46.25</v>
      </c>
      <c r="B47">
        <v>1938.5740000000001</v>
      </c>
      <c r="C47">
        <v>1802.963</v>
      </c>
      <c r="D47">
        <v>1885.585</v>
      </c>
      <c r="E47">
        <v>1324.3219999999999</v>
      </c>
      <c r="F47">
        <v>1369.64</v>
      </c>
      <c r="H47" s="2">
        <f t="shared" si="0"/>
        <v>1664.2168000000001</v>
      </c>
      <c r="I47" s="2">
        <f t="shared" si="1"/>
        <v>131.4971914800463</v>
      </c>
      <c r="K47">
        <v>46.25</v>
      </c>
      <c r="L47" t="s">
        <v>6</v>
      </c>
      <c r="M47">
        <v>1884.8710000000001</v>
      </c>
      <c r="N47">
        <v>2063.3560000000002</v>
      </c>
      <c r="O47">
        <v>1783.8320000000001</v>
      </c>
      <c r="P47">
        <v>1582.57</v>
      </c>
      <c r="R47" s="3">
        <f t="shared" si="2"/>
        <v>1828.65725</v>
      </c>
      <c r="S47" s="3">
        <f t="shared" si="3"/>
        <v>100.33764937730258</v>
      </c>
    </row>
    <row r="48" spans="1:19" x14ac:dyDescent="0.25">
      <c r="A48">
        <v>47.5</v>
      </c>
      <c r="B48">
        <v>2001.296</v>
      </c>
      <c r="C48">
        <v>1872.518</v>
      </c>
      <c r="D48">
        <v>1950.124</v>
      </c>
      <c r="E48">
        <v>1361.02</v>
      </c>
      <c r="F48">
        <v>1414.5530000000001</v>
      </c>
      <c r="H48" s="2">
        <f t="shared" si="0"/>
        <v>1719.9022</v>
      </c>
      <c r="I48" s="2">
        <f t="shared" si="1"/>
        <v>137.38826327252238</v>
      </c>
      <c r="K48">
        <v>47.5</v>
      </c>
      <c r="L48" t="s">
        <v>6</v>
      </c>
      <c r="M48">
        <v>1943.3720000000001</v>
      </c>
      <c r="N48">
        <v>2127.5509999999999</v>
      </c>
      <c r="O48">
        <v>1836.556</v>
      </c>
      <c r="P48">
        <v>1626.3520000000001</v>
      </c>
      <c r="R48" s="3">
        <f t="shared" si="2"/>
        <v>1883.4577499999998</v>
      </c>
      <c r="S48" s="3">
        <f t="shared" si="3"/>
        <v>104.67185744217893</v>
      </c>
    </row>
    <row r="49" spans="1:19" x14ac:dyDescent="0.25">
      <c r="A49">
        <v>48.75</v>
      </c>
      <c r="B49">
        <v>2073.567</v>
      </c>
      <c r="C49">
        <v>1946.771</v>
      </c>
      <c r="D49">
        <v>2020.4970000000001</v>
      </c>
      <c r="E49">
        <v>1405.5920000000001</v>
      </c>
      <c r="F49">
        <v>1471.3720000000001</v>
      </c>
      <c r="H49" s="2">
        <f t="shared" si="0"/>
        <v>1783.5597999999998</v>
      </c>
      <c r="I49" s="2">
        <f t="shared" si="1"/>
        <v>142.68885536488187</v>
      </c>
      <c r="K49">
        <v>48.75</v>
      </c>
      <c r="L49" t="s">
        <v>6</v>
      </c>
      <c r="M49">
        <v>1996.8779999999999</v>
      </c>
      <c r="N49">
        <v>2196.6320000000001</v>
      </c>
      <c r="O49">
        <v>1885.759</v>
      </c>
      <c r="P49">
        <v>1678.297</v>
      </c>
      <c r="R49" s="3">
        <f t="shared" si="2"/>
        <v>1939.3915000000002</v>
      </c>
      <c r="S49" s="3">
        <f t="shared" si="3"/>
        <v>108.21435344914586</v>
      </c>
    </row>
    <row r="50" spans="1:19" x14ac:dyDescent="0.25">
      <c r="A50">
        <v>50</v>
      </c>
      <c r="B50">
        <v>2169.1640000000002</v>
      </c>
      <c r="C50">
        <v>2022.12</v>
      </c>
      <c r="D50">
        <v>2098.877</v>
      </c>
      <c r="E50">
        <v>1453.9090000000001</v>
      </c>
      <c r="F50">
        <v>1530.587</v>
      </c>
      <c r="H50" s="2">
        <f t="shared" si="0"/>
        <v>1854.9313999999999</v>
      </c>
      <c r="I50" s="2">
        <f t="shared" si="1"/>
        <v>150.36985498184225</v>
      </c>
      <c r="K50">
        <v>50</v>
      </c>
      <c r="L50" t="s">
        <v>6</v>
      </c>
      <c r="M50">
        <v>2066.8159999999998</v>
      </c>
      <c r="N50">
        <v>2250.6210000000001</v>
      </c>
      <c r="O50">
        <v>1945.453</v>
      </c>
      <c r="P50">
        <v>1724.92</v>
      </c>
      <c r="R50" s="3">
        <f t="shared" si="2"/>
        <v>1996.9524999999999</v>
      </c>
      <c r="S50" s="3">
        <f t="shared" si="3"/>
        <v>110.25821816724894</v>
      </c>
    </row>
    <row r="51" spans="1:19" x14ac:dyDescent="0.25">
      <c r="A51">
        <v>51.25</v>
      </c>
      <c r="B51">
        <v>2237.7420000000002</v>
      </c>
      <c r="C51">
        <v>2067.0940000000001</v>
      </c>
      <c r="D51">
        <v>2173.3710000000001</v>
      </c>
      <c r="E51">
        <v>1504.0309999999999</v>
      </c>
      <c r="F51">
        <v>1588.383</v>
      </c>
      <c r="H51" s="2">
        <f t="shared" si="0"/>
        <v>1914.1242000000002</v>
      </c>
      <c r="I51" s="2">
        <f t="shared" si="1"/>
        <v>153.23526121014044</v>
      </c>
      <c r="K51">
        <v>51.25</v>
      </c>
      <c r="L51" t="s">
        <v>6</v>
      </c>
      <c r="M51">
        <v>2151.7429999999999</v>
      </c>
      <c r="N51">
        <v>2347.5819999999999</v>
      </c>
      <c r="O51">
        <v>2020.588</v>
      </c>
      <c r="P51">
        <v>1779.6179999999999</v>
      </c>
      <c r="R51" s="3">
        <f t="shared" si="2"/>
        <v>2074.8827499999998</v>
      </c>
      <c r="S51" s="3">
        <f t="shared" si="3"/>
        <v>119.16430234860256</v>
      </c>
    </row>
    <row r="52" spans="1:19" x14ac:dyDescent="0.25">
      <c r="A52">
        <v>52.5</v>
      </c>
      <c r="B52">
        <v>2255.7600000000002</v>
      </c>
      <c r="C52">
        <v>2072.8890000000001</v>
      </c>
      <c r="D52">
        <v>2185.3710000000001</v>
      </c>
      <c r="E52">
        <v>1526.681</v>
      </c>
      <c r="F52">
        <v>1615.9690000000001</v>
      </c>
      <c r="H52" s="2">
        <f t="shared" si="0"/>
        <v>1931.3340000000003</v>
      </c>
      <c r="I52" s="2">
        <f t="shared" si="1"/>
        <v>150.50315254239666</v>
      </c>
      <c r="K52">
        <v>52.5</v>
      </c>
      <c r="L52" t="s">
        <v>6</v>
      </c>
      <c r="M52">
        <v>2197.9389999999999</v>
      </c>
      <c r="N52">
        <v>2410.4259999999999</v>
      </c>
      <c r="O52">
        <v>2048.5920000000001</v>
      </c>
      <c r="P52">
        <v>1817.431</v>
      </c>
      <c r="R52" s="3">
        <f t="shared" si="2"/>
        <v>2118.5970000000002</v>
      </c>
      <c r="S52" s="3">
        <f t="shared" si="3"/>
        <v>124.8535734991184</v>
      </c>
    </row>
    <row r="53" spans="1:19" x14ac:dyDescent="0.25">
      <c r="A53">
        <v>53.75</v>
      </c>
      <c r="B53">
        <v>2226.0030000000002</v>
      </c>
      <c r="C53">
        <v>2069.4699999999998</v>
      </c>
      <c r="D53">
        <v>2173.1509999999998</v>
      </c>
      <c r="E53">
        <v>1497.55</v>
      </c>
      <c r="F53">
        <v>1593.451</v>
      </c>
      <c r="H53" s="2">
        <f t="shared" si="0"/>
        <v>1911.925</v>
      </c>
      <c r="I53" s="2">
        <f t="shared" si="1"/>
        <v>152.4527417736399</v>
      </c>
      <c r="K53">
        <v>53.75</v>
      </c>
      <c r="L53" t="s">
        <v>6</v>
      </c>
      <c r="M53">
        <v>2174.3310000000001</v>
      </c>
      <c r="N53">
        <v>2385.2109999999998</v>
      </c>
      <c r="O53">
        <v>2030.6279999999999</v>
      </c>
      <c r="P53">
        <v>1810.7059999999999</v>
      </c>
      <c r="R53" s="3">
        <f t="shared" si="2"/>
        <v>2100.2189999999996</v>
      </c>
      <c r="S53" s="3">
        <f t="shared" si="3"/>
        <v>120.8903473738357</v>
      </c>
    </row>
    <row r="54" spans="1:19" x14ac:dyDescent="0.25">
      <c r="A54">
        <v>55</v>
      </c>
      <c r="B54">
        <v>2163.241</v>
      </c>
      <c r="C54">
        <v>2035.539</v>
      </c>
      <c r="D54">
        <v>2136.2530000000002</v>
      </c>
      <c r="E54">
        <v>1413.9860000000001</v>
      </c>
      <c r="F54">
        <v>1535.625</v>
      </c>
      <c r="H54" s="2">
        <f t="shared" si="0"/>
        <v>1856.9288000000001</v>
      </c>
      <c r="I54" s="2">
        <f t="shared" si="1"/>
        <v>158.6167128780576</v>
      </c>
      <c r="K54">
        <v>55</v>
      </c>
      <c r="L54" t="s">
        <v>6</v>
      </c>
      <c r="M54">
        <v>2100.41</v>
      </c>
      <c r="N54">
        <v>2323.8580000000002</v>
      </c>
      <c r="O54">
        <v>1970.5170000000001</v>
      </c>
      <c r="P54">
        <v>1743.6679999999999</v>
      </c>
      <c r="R54" s="3">
        <f t="shared" si="2"/>
        <v>2034.6132499999999</v>
      </c>
      <c r="S54" s="3">
        <f t="shared" si="3"/>
        <v>121.36350545460219</v>
      </c>
    </row>
    <row r="55" spans="1:19" x14ac:dyDescent="0.25">
      <c r="A55">
        <v>56.25</v>
      </c>
      <c r="B55">
        <v>2076.2530000000002</v>
      </c>
      <c r="C55">
        <v>1949.2660000000001</v>
      </c>
      <c r="D55">
        <v>2049.741</v>
      </c>
      <c r="E55">
        <v>1304.5999999999999</v>
      </c>
      <c r="F55">
        <v>1438.8779999999999</v>
      </c>
      <c r="H55" s="2">
        <f t="shared" si="0"/>
        <v>1763.7476000000001</v>
      </c>
      <c r="I55" s="2">
        <f t="shared" si="1"/>
        <v>162.82286421157207</v>
      </c>
      <c r="K55">
        <v>56.25</v>
      </c>
      <c r="L55" t="s">
        <v>6</v>
      </c>
      <c r="M55">
        <v>1981.4839999999999</v>
      </c>
      <c r="N55">
        <v>2201.076</v>
      </c>
      <c r="O55">
        <v>1856.922</v>
      </c>
      <c r="P55">
        <v>1632.3989999999999</v>
      </c>
      <c r="R55" s="3">
        <f t="shared" si="2"/>
        <v>1917.9702499999999</v>
      </c>
      <c r="S55" s="3">
        <f t="shared" si="3"/>
        <v>118.83486082822046</v>
      </c>
    </row>
    <row r="56" spans="1:19" x14ac:dyDescent="0.25">
      <c r="A56">
        <v>57.5</v>
      </c>
      <c r="B56">
        <v>1960.116</v>
      </c>
      <c r="C56">
        <v>1835.4169999999999</v>
      </c>
      <c r="D56">
        <v>1943.5889999999999</v>
      </c>
      <c r="E56">
        <v>1180.56</v>
      </c>
      <c r="F56">
        <v>1318.0820000000001</v>
      </c>
      <c r="H56" s="2">
        <f t="shared" si="0"/>
        <v>1647.5527999999999</v>
      </c>
      <c r="I56" s="2">
        <f t="shared" si="1"/>
        <v>165.41756657785828</v>
      </c>
      <c r="K56">
        <v>57.5</v>
      </c>
      <c r="L56" t="s">
        <v>6</v>
      </c>
      <c r="M56">
        <v>1830.624</v>
      </c>
      <c r="N56">
        <v>2038.684</v>
      </c>
      <c r="O56">
        <v>1713.5450000000001</v>
      </c>
      <c r="P56">
        <v>1502.8050000000001</v>
      </c>
      <c r="R56" s="3">
        <f t="shared" si="2"/>
        <v>1771.4145000000001</v>
      </c>
      <c r="S56" s="3">
        <f t="shared" si="3"/>
        <v>111.96677075550832</v>
      </c>
    </row>
    <row r="57" spans="1:19" x14ac:dyDescent="0.25">
      <c r="A57">
        <v>58.75</v>
      </c>
      <c r="B57">
        <v>1853.136</v>
      </c>
      <c r="C57">
        <v>1737.7170000000001</v>
      </c>
      <c r="D57">
        <v>1845.69</v>
      </c>
      <c r="E57">
        <v>1040.308</v>
      </c>
      <c r="F57">
        <v>1205.019</v>
      </c>
      <c r="H57" s="2">
        <f t="shared" si="0"/>
        <v>1536.374</v>
      </c>
      <c r="I57" s="2">
        <f t="shared" si="1"/>
        <v>172.10914684147389</v>
      </c>
      <c r="K57">
        <v>58.75</v>
      </c>
      <c r="L57" t="s">
        <v>6</v>
      </c>
      <c r="M57">
        <v>1701.759</v>
      </c>
      <c r="N57">
        <v>1877.962</v>
      </c>
      <c r="O57">
        <v>1573.24</v>
      </c>
      <c r="P57">
        <v>1375.172</v>
      </c>
      <c r="R57" s="3">
        <f t="shared" si="2"/>
        <v>1632.03325</v>
      </c>
      <c r="S57" s="3">
        <f t="shared" si="3"/>
        <v>105.97836976114144</v>
      </c>
    </row>
    <row r="58" spans="1:19" x14ac:dyDescent="0.25">
      <c r="A58">
        <v>60</v>
      </c>
      <c r="B58">
        <v>1772.845</v>
      </c>
      <c r="C58">
        <v>1662.7460000000001</v>
      </c>
      <c r="D58">
        <v>1762.1369999999999</v>
      </c>
      <c r="E58">
        <v>984.98</v>
      </c>
      <c r="F58">
        <v>1129.201</v>
      </c>
      <c r="H58" s="2">
        <f t="shared" si="0"/>
        <v>1462.3818000000001</v>
      </c>
      <c r="I58" s="2">
        <f t="shared" si="1"/>
        <v>168.12321601355356</v>
      </c>
      <c r="K58">
        <v>60</v>
      </c>
      <c r="L58" t="s">
        <v>6</v>
      </c>
      <c r="M58">
        <v>1610.537</v>
      </c>
      <c r="N58">
        <v>1764.1320000000001</v>
      </c>
      <c r="O58">
        <v>1494.2280000000001</v>
      </c>
      <c r="P58">
        <v>1292.9580000000001</v>
      </c>
      <c r="R58" s="3">
        <f t="shared" si="2"/>
        <v>1540.4637499999999</v>
      </c>
      <c r="S58" s="3">
        <f t="shared" si="3"/>
        <v>99.303653543374736</v>
      </c>
    </row>
    <row r="59" spans="1:19" x14ac:dyDescent="0.25">
      <c r="A59">
        <v>61.25</v>
      </c>
      <c r="B59">
        <v>1703.855</v>
      </c>
      <c r="C59">
        <v>1608.8620000000001</v>
      </c>
      <c r="D59">
        <v>1717.943</v>
      </c>
      <c r="E59">
        <v>956.03099999999995</v>
      </c>
      <c r="F59">
        <v>1083.0719999999999</v>
      </c>
      <c r="H59" s="2">
        <f t="shared" si="0"/>
        <v>1413.9526000000001</v>
      </c>
      <c r="I59" s="2">
        <f t="shared" si="1"/>
        <v>163.34279938662726</v>
      </c>
      <c r="K59">
        <v>61.25</v>
      </c>
      <c r="L59" t="s">
        <v>6</v>
      </c>
      <c r="M59">
        <v>1563.0989999999999</v>
      </c>
      <c r="N59">
        <v>1717.865</v>
      </c>
      <c r="O59">
        <v>1446.23</v>
      </c>
      <c r="P59">
        <v>1246.896</v>
      </c>
      <c r="R59" s="3">
        <f t="shared" si="2"/>
        <v>1493.5224999999998</v>
      </c>
      <c r="S59" s="3">
        <f t="shared" si="3"/>
        <v>99.260456089439501</v>
      </c>
    </row>
    <row r="60" spans="1:19" x14ac:dyDescent="0.25">
      <c r="A60">
        <v>62.5</v>
      </c>
      <c r="B60">
        <v>1651.181</v>
      </c>
      <c r="C60">
        <v>1562.8389999999999</v>
      </c>
      <c r="D60">
        <v>1678.279</v>
      </c>
      <c r="E60">
        <v>934.399</v>
      </c>
      <c r="F60">
        <v>1074.184</v>
      </c>
      <c r="H60" s="2">
        <f t="shared" si="0"/>
        <v>1380.1764000000001</v>
      </c>
      <c r="I60" s="2">
        <f t="shared" si="1"/>
        <v>156.20869341928423</v>
      </c>
      <c r="K60">
        <v>62.5</v>
      </c>
      <c r="L60" t="s">
        <v>6</v>
      </c>
      <c r="M60">
        <v>1529.6880000000001</v>
      </c>
      <c r="N60">
        <v>1691.8040000000001</v>
      </c>
      <c r="O60">
        <v>1411.35</v>
      </c>
      <c r="P60">
        <v>1220.3979999999999</v>
      </c>
      <c r="R60" s="3">
        <f t="shared" si="2"/>
        <v>1463.3100000000002</v>
      </c>
      <c r="S60" s="3">
        <f t="shared" si="3"/>
        <v>99.298215938990609</v>
      </c>
    </row>
    <row r="61" spans="1:19" x14ac:dyDescent="0.25">
      <c r="A61">
        <v>63.75</v>
      </c>
      <c r="B61">
        <v>1610.287</v>
      </c>
      <c r="C61">
        <v>1512.9880000000001</v>
      </c>
      <c r="D61">
        <v>1630.7670000000001</v>
      </c>
      <c r="E61">
        <v>947.51599999999996</v>
      </c>
      <c r="F61">
        <v>1064.817</v>
      </c>
      <c r="H61" s="2">
        <f t="shared" si="0"/>
        <v>1353.2750000000001</v>
      </c>
      <c r="I61" s="2">
        <f t="shared" si="1"/>
        <v>144.29372897357655</v>
      </c>
      <c r="K61">
        <v>63.75</v>
      </c>
      <c r="L61" t="s">
        <v>6</v>
      </c>
      <c r="M61">
        <v>1486.729</v>
      </c>
      <c r="N61">
        <v>1654.329</v>
      </c>
      <c r="O61">
        <v>1387.3420000000001</v>
      </c>
      <c r="P61">
        <v>1205.1510000000001</v>
      </c>
      <c r="R61" s="3">
        <f t="shared" si="2"/>
        <v>1433.3877499999999</v>
      </c>
      <c r="S61" s="3">
        <f t="shared" si="3"/>
        <v>93.929295237939158</v>
      </c>
    </row>
    <row r="62" spans="1:19" x14ac:dyDescent="0.25">
      <c r="A62">
        <v>65</v>
      </c>
      <c r="B62">
        <v>1576.7149999999999</v>
      </c>
      <c r="C62">
        <v>1471.6969999999999</v>
      </c>
      <c r="D62">
        <v>1575.547</v>
      </c>
      <c r="E62">
        <v>918.22</v>
      </c>
      <c r="F62">
        <v>1063.077</v>
      </c>
      <c r="H62" s="2">
        <f t="shared" si="0"/>
        <v>1321.0512000000001</v>
      </c>
      <c r="I62" s="2">
        <f t="shared" si="1"/>
        <v>138.13940630117048</v>
      </c>
      <c r="K62">
        <v>65</v>
      </c>
      <c r="L62" t="s">
        <v>6</v>
      </c>
      <c r="M62">
        <v>1460.569</v>
      </c>
      <c r="N62">
        <v>1630.172</v>
      </c>
      <c r="O62">
        <v>1376.472</v>
      </c>
      <c r="P62">
        <v>1198.308</v>
      </c>
      <c r="R62" s="3">
        <f t="shared" si="2"/>
        <v>1416.3802499999999</v>
      </c>
      <c r="S62" s="3">
        <f t="shared" si="3"/>
        <v>89.818211141890487</v>
      </c>
    </row>
    <row r="63" spans="1:19" x14ac:dyDescent="0.25">
      <c r="A63">
        <v>66.25</v>
      </c>
      <c r="B63">
        <v>1542.8610000000001</v>
      </c>
      <c r="C63">
        <v>1429.2080000000001</v>
      </c>
      <c r="D63">
        <v>1530.557</v>
      </c>
      <c r="E63">
        <v>913.45299999999997</v>
      </c>
      <c r="F63">
        <v>1050.962</v>
      </c>
      <c r="H63" s="2">
        <f t="shared" si="0"/>
        <v>1293.4081999999999</v>
      </c>
      <c r="I63" s="2">
        <f t="shared" si="1"/>
        <v>130.39439258472771</v>
      </c>
      <c r="K63">
        <v>66.25</v>
      </c>
      <c r="L63" t="s">
        <v>6</v>
      </c>
      <c r="M63">
        <v>1458.953</v>
      </c>
      <c r="N63">
        <v>1615.6410000000001</v>
      </c>
      <c r="O63">
        <v>1373.441</v>
      </c>
      <c r="P63">
        <v>1195.883</v>
      </c>
      <c r="R63" s="3">
        <f t="shared" si="2"/>
        <v>1410.9794999999999</v>
      </c>
      <c r="S63" s="3">
        <f t="shared" si="3"/>
        <v>87.494490102234877</v>
      </c>
    </row>
    <row r="64" spans="1:19" x14ac:dyDescent="0.25">
      <c r="A64">
        <v>67.5</v>
      </c>
      <c r="B64">
        <v>1512.7239999999999</v>
      </c>
      <c r="C64">
        <v>1389.4169999999999</v>
      </c>
      <c r="D64">
        <v>1488.8489999999999</v>
      </c>
      <c r="E64">
        <v>917.36800000000005</v>
      </c>
      <c r="F64">
        <v>1035.0450000000001</v>
      </c>
      <c r="H64" s="2">
        <f t="shared" si="0"/>
        <v>1268.6806000000001</v>
      </c>
      <c r="I64" s="2">
        <f t="shared" si="1"/>
        <v>122.59990216823159</v>
      </c>
      <c r="K64">
        <v>67.5</v>
      </c>
      <c r="L64" t="s">
        <v>6</v>
      </c>
      <c r="M64">
        <v>1454.8420000000001</v>
      </c>
      <c r="N64">
        <v>1606.5440000000001</v>
      </c>
      <c r="O64">
        <v>1369.5160000000001</v>
      </c>
      <c r="P64">
        <v>1198.664</v>
      </c>
      <c r="R64" s="3">
        <f t="shared" si="2"/>
        <v>1407.3915</v>
      </c>
      <c r="S64" s="3">
        <f t="shared" si="3"/>
        <v>85.105322475057207</v>
      </c>
    </row>
    <row r="65" spans="1:19" x14ac:dyDescent="0.25">
      <c r="A65">
        <v>68.75</v>
      </c>
      <c r="B65">
        <v>1475.1289999999999</v>
      </c>
      <c r="C65">
        <v>1348.7360000000001</v>
      </c>
      <c r="D65">
        <v>1443.82</v>
      </c>
      <c r="E65">
        <v>921.44600000000003</v>
      </c>
      <c r="F65">
        <v>1036.1780000000001</v>
      </c>
      <c r="H65" s="2">
        <f t="shared" si="0"/>
        <v>1245.0617999999999</v>
      </c>
      <c r="I65" s="2">
        <f t="shared" si="1"/>
        <v>112.14805086152924</v>
      </c>
      <c r="K65">
        <v>68.75</v>
      </c>
      <c r="L65" t="s">
        <v>6</v>
      </c>
      <c r="M65">
        <v>1442.5989999999999</v>
      </c>
      <c r="N65">
        <v>1583.633</v>
      </c>
      <c r="O65">
        <v>1359.037</v>
      </c>
      <c r="P65">
        <v>1200.6279999999999</v>
      </c>
      <c r="R65" s="3">
        <f t="shared" si="2"/>
        <v>1396.47425</v>
      </c>
      <c r="S65" s="3">
        <f t="shared" si="3"/>
        <v>80.058932247204638</v>
      </c>
    </row>
    <row r="66" spans="1:19" x14ac:dyDescent="0.25">
      <c r="A66">
        <v>70</v>
      </c>
      <c r="B66">
        <v>1440.933</v>
      </c>
      <c r="C66">
        <v>1312.856</v>
      </c>
      <c r="D66">
        <v>1407.982</v>
      </c>
      <c r="E66">
        <v>940.35900000000004</v>
      </c>
      <c r="F66">
        <v>1027.8399999999999</v>
      </c>
      <c r="H66" s="2">
        <f t="shared" si="0"/>
        <v>1225.9940000000001</v>
      </c>
      <c r="I66" s="2">
        <f t="shared" si="1"/>
        <v>101.91068978522287</v>
      </c>
      <c r="K66">
        <v>70</v>
      </c>
      <c r="L66" t="s">
        <v>6</v>
      </c>
      <c r="M66">
        <v>1421.9179999999999</v>
      </c>
      <c r="N66">
        <v>1571.2449999999999</v>
      </c>
      <c r="O66">
        <v>1351.701</v>
      </c>
      <c r="P66">
        <v>1184.434</v>
      </c>
      <c r="R66" s="3">
        <f t="shared" si="2"/>
        <v>1382.3244999999999</v>
      </c>
      <c r="S66" s="3">
        <f t="shared" si="3"/>
        <v>80.289605649901503</v>
      </c>
    </row>
    <row r="67" spans="1:19" x14ac:dyDescent="0.25">
      <c r="A67">
        <v>71.25</v>
      </c>
      <c r="B67">
        <v>1415.1669999999999</v>
      </c>
      <c r="C67">
        <v>1298.9559999999999</v>
      </c>
      <c r="D67">
        <v>1379.681</v>
      </c>
      <c r="E67">
        <v>933.3</v>
      </c>
      <c r="F67">
        <v>1020.18</v>
      </c>
      <c r="H67" s="2">
        <f t="shared" si="0"/>
        <v>1209.4567999999999</v>
      </c>
      <c r="I67" s="2">
        <f t="shared" si="1"/>
        <v>97.824167937887538</v>
      </c>
      <c r="K67">
        <v>71.25</v>
      </c>
      <c r="L67" t="s">
        <v>6</v>
      </c>
      <c r="M67">
        <v>1399.2149999999999</v>
      </c>
      <c r="N67">
        <v>1554.3109999999999</v>
      </c>
      <c r="O67">
        <v>1340.2380000000001</v>
      </c>
      <c r="P67">
        <v>1167.4749999999999</v>
      </c>
      <c r="R67" s="3">
        <f t="shared" si="2"/>
        <v>1365.3097499999999</v>
      </c>
      <c r="S67" s="3">
        <f t="shared" si="3"/>
        <v>79.915694867961392</v>
      </c>
    </row>
    <row r="68" spans="1:19" x14ac:dyDescent="0.25">
      <c r="A68">
        <v>72.5</v>
      </c>
      <c r="B68">
        <v>1402.6369999999999</v>
      </c>
      <c r="C68">
        <v>1284.355</v>
      </c>
      <c r="D68">
        <v>1371.126</v>
      </c>
      <c r="E68">
        <v>909.69899999999996</v>
      </c>
      <c r="F68">
        <v>1017.638</v>
      </c>
      <c r="H68" s="2">
        <f t="shared" si="0"/>
        <v>1197.0909999999999</v>
      </c>
      <c r="I68" s="2">
        <f t="shared" si="1"/>
        <v>98.729399347408091</v>
      </c>
      <c r="K68">
        <v>72.5</v>
      </c>
      <c r="L68" t="s">
        <v>6</v>
      </c>
      <c r="M68">
        <v>1385.3389999999999</v>
      </c>
      <c r="N68">
        <v>1541.317</v>
      </c>
      <c r="O68">
        <v>1323.2080000000001</v>
      </c>
      <c r="P68">
        <v>1152.277</v>
      </c>
      <c r="R68" s="3">
        <f t="shared" si="2"/>
        <v>1350.5352499999999</v>
      </c>
      <c r="S68" s="3">
        <f t="shared" si="3"/>
        <v>80.447751901856435</v>
      </c>
    </row>
    <row r="69" spans="1:19" x14ac:dyDescent="0.25">
      <c r="A69">
        <v>73.75</v>
      </c>
      <c r="B69">
        <v>1420.41</v>
      </c>
      <c r="C69">
        <v>1312.462</v>
      </c>
      <c r="D69">
        <v>1398.5340000000001</v>
      </c>
      <c r="E69">
        <v>923.89</v>
      </c>
      <c r="F69">
        <v>1031.797</v>
      </c>
      <c r="H69" s="2">
        <f t="shared" ref="H69:H96" si="4">AVERAGE(B69:F69)</f>
        <v>1217.4186000000002</v>
      </c>
      <c r="I69" s="2">
        <f t="shared" ref="I69:I96" si="5">STDEV(B69:F69)/SQRT(COUNT(B69:F69))</f>
        <v>100.90985132265271</v>
      </c>
      <c r="K69">
        <v>73.75</v>
      </c>
      <c r="L69" t="s">
        <v>6</v>
      </c>
      <c r="M69">
        <v>1397.4949999999999</v>
      </c>
      <c r="N69">
        <v>1563.346</v>
      </c>
      <c r="O69">
        <v>1320.184</v>
      </c>
      <c r="P69">
        <v>1163.011</v>
      </c>
      <c r="R69" s="3">
        <f t="shared" ref="R69:R96" si="6">AVERAGE(L69:P69)</f>
        <v>1361.009</v>
      </c>
      <c r="S69" s="3">
        <f t="shared" ref="S69:S96" si="7">STDEV(L69:P69)/SQRT(COUNT(L69:P69))</f>
        <v>83.237300529869799</v>
      </c>
    </row>
    <row r="70" spans="1:19" x14ac:dyDescent="0.25">
      <c r="A70">
        <v>75</v>
      </c>
      <c r="B70">
        <v>1572.5170000000001</v>
      </c>
      <c r="C70">
        <v>1427.338</v>
      </c>
      <c r="D70">
        <v>1463.2539999999999</v>
      </c>
      <c r="E70">
        <v>1013.873</v>
      </c>
      <c r="F70">
        <v>1086.3979999999999</v>
      </c>
      <c r="H70" s="2">
        <f t="shared" si="4"/>
        <v>1312.6759999999999</v>
      </c>
      <c r="I70" s="2">
        <f t="shared" si="5"/>
        <v>110.4136358657754</v>
      </c>
      <c r="K70">
        <v>75</v>
      </c>
      <c r="L70" t="s">
        <v>6</v>
      </c>
      <c r="M70">
        <v>1490.2729999999999</v>
      </c>
      <c r="N70">
        <v>1656.6489999999999</v>
      </c>
      <c r="O70">
        <v>1391.069</v>
      </c>
      <c r="P70">
        <v>1229.5360000000001</v>
      </c>
      <c r="R70" s="3">
        <f t="shared" si="6"/>
        <v>1441.88175</v>
      </c>
      <c r="S70" s="3">
        <f t="shared" si="7"/>
        <v>89.507605754459306</v>
      </c>
    </row>
    <row r="71" spans="1:19" x14ac:dyDescent="0.25">
      <c r="A71">
        <v>76.25</v>
      </c>
      <c r="B71">
        <v>1770.144</v>
      </c>
      <c r="C71">
        <v>1586.221</v>
      </c>
      <c r="D71">
        <v>1572.5909999999999</v>
      </c>
      <c r="E71">
        <v>1086.989</v>
      </c>
      <c r="F71">
        <v>1183.2660000000001</v>
      </c>
      <c r="H71" s="2">
        <f t="shared" si="4"/>
        <v>1439.8421999999998</v>
      </c>
      <c r="I71" s="2">
        <f t="shared" si="5"/>
        <v>130.09323641734852</v>
      </c>
      <c r="K71">
        <v>76.25</v>
      </c>
      <c r="L71" t="s">
        <v>6</v>
      </c>
      <c r="M71">
        <v>1652.98</v>
      </c>
      <c r="N71">
        <v>1800.2909999999999</v>
      </c>
      <c r="O71">
        <v>1557.8720000000001</v>
      </c>
      <c r="P71">
        <v>1353.146</v>
      </c>
      <c r="R71" s="3">
        <f t="shared" si="6"/>
        <v>1591.0722499999999</v>
      </c>
      <c r="S71" s="3">
        <f t="shared" si="7"/>
        <v>93.682180758825936</v>
      </c>
    </row>
    <row r="72" spans="1:19" x14ac:dyDescent="0.25">
      <c r="A72">
        <v>77.5</v>
      </c>
      <c r="B72">
        <v>1876.57</v>
      </c>
      <c r="C72">
        <v>1647.2670000000001</v>
      </c>
      <c r="D72">
        <v>1608.635</v>
      </c>
      <c r="E72">
        <v>1119.971</v>
      </c>
      <c r="F72">
        <v>1225.6690000000001</v>
      </c>
      <c r="H72" s="2">
        <f t="shared" si="4"/>
        <v>1495.6223999999997</v>
      </c>
      <c r="I72" s="2">
        <f t="shared" si="5"/>
        <v>140.5129565035202</v>
      </c>
      <c r="K72">
        <v>77.5</v>
      </c>
      <c r="L72" t="s">
        <v>6</v>
      </c>
      <c r="M72">
        <v>1703.9590000000001</v>
      </c>
      <c r="N72">
        <v>1846.1959999999999</v>
      </c>
      <c r="O72">
        <v>1632.6590000000001</v>
      </c>
      <c r="P72">
        <v>1405.136</v>
      </c>
      <c r="R72" s="3">
        <f t="shared" si="6"/>
        <v>1646.9875000000002</v>
      </c>
      <c r="S72" s="3">
        <f t="shared" si="7"/>
        <v>92.026822289754179</v>
      </c>
    </row>
    <row r="73" spans="1:19" x14ac:dyDescent="0.25">
      <c r="A73">
        <v>78.75</v>
      </c>
      <c r="B73">
        <v>1778.9169999999999</v>
      </c>
      <c r="C73">
        <v>1578.163</v>
      </c>
      <c r="D73">
        <v>1558.7840000000001</v>
      </c>
      <c r="E73">
        <v>1131.3900000000001</v>
      </c>
      <c r="F73">
        <v>1218.692</v>
      </c>
      <c r="H73" s="2">
        <f t="shared" si="4"/>
        <v>1453.1892</v>
      </c>
      <c r="I73" s="2">
        <f t="shared" si="5"/>
        <v>120.70852788738715</v>
      </c>
      <c r="K73">
        <v>78.75</v>
      </c>
      <c r="L73" t="s">
        <v>6</v>
      </c>
      <c r="M73">
        <v>1631.7080000000001</v>
      </c>
      <c r="N73">
        <v>1785.0160000000001</v>
      </c>
      <c r="O73">
        <v>1565.2809999999999</v>
      </c>
      <c r="P73">
        <v>1365.127</v>
      </c>
      <c r="R73" s="3">
        <f t="shared" si="6"/>
        <v>1586.7829999999999</v>
      </c>
      <c r="S73" s="3">
        <f t="shared" si="7"/>
        <v>87.038447564854962</v>
      </c>
    </row>
    <row r="74" spans="1:19" x14ac:dyDescent="0.25">
      <c r="A74">
        <v>80</v>
      </c>
      <c r="B74">
        <v>1619.627</v>
      </c>
      <c r="C74">
        <v>1473.87</v>
      </c>
      <c r="D74">
        <v>1561.2339999999999</v>
      </c>
      <c r="E74">
        <v>1180.3720000000001</v>
      </c>
      <c r="F74">
        <v>1241.394</v>
      </c>
      <c r="H74" s="2">
        <f t="shared" si="4"/>
        <v>1415.2994000000001</v>
      </c>
      <c r="I74" s="2">
        <f t="shared" si="5"/>
        <v>87.152499161870935</v>
      </c>
      <c r="K74">
        <v>80</v>
      </c>
      <c r="L74" t="s">
        <v>6</v>
      </c>
      <c r="M74">
        <v>1578.0329999999999</v>
      </c>
      <c r="N74">
        <v>1763.6020000000001</v>
      </c>
      <c r="O74">
        <v>1483.5820000000001</v>
      </c>
      <c r="P74">
        <v>1318.5709999999999</v>
      </c>
      <c r="R74" s="3">
        <f t="shared" si="6"/>
        <v>1535.9470000000001</v>
      </c>
      <c r="S74" s="3">
        <f t="shared" si="7"/>
        <v>92.912346247236769</v>
      </c>
    </row>
    <row r="75" spans="1:19" x14ac:dyDescent="0.25">
      <c r="A75">
        <v>81.25</v>
      </c>
      <c r="B75">
        <v>1613.0160000000001</v>
      </c>
      <c r="C75">
        <v>1533.5229999999999</v>
      </c>
      <c r="D75">
        <v>1781.9490000000001</v>
      </c>
      <c r="E75">
        <v>1363.3869999999999</v>
      </c>
      <c r="F75">
        <v>1408.538</v>
      </c>
      <c r="H75" s="2">
        <f t="shared" si="4"/>
        <v>1540.0825999999997</v>
      </c>
      <c r="I75" s="2">
        <f t="shared" si="5"/>
        <v>74.962317695359474</v>
      </c>
      <c r="K75">
        <v>81.25</v>
      </c>
      <c r="L75" t="s">
        <v>6</v>
      </c>
      <c r="M75">
        <v>1736.4110000000001</v>
      </c>
      <c r="N75">
        <v>1964.4949999999999</v>
      </c>
      <c r="O75">
        <v>1558.2380000000001</v>
      </c>
      <c r="P75">
        <v>1420.2629999999999</v>
      </c>
      <c r="R75" s="3">
        <f t="shared" si="6"/>
        <v>1669.85175</v>
      </c>
      <c r="S75" s="3">
        <f t="shared" si="7"/>
        <v>117.61411191078383</v>
      </c>
    </row>
    <row r="76" spans="1:19" x14ac:dyDescent="0.25">
      <c r="A76">
        <v>82.5</v>
      </c>
      <c r="B76">
        <v>1968.865</v>
      </c>
      <c r="C76">
        <v>1967.2909999999999</v>
      </c>
      <c r="D76">
        <v>2183.172</v>
      </c>
      <c r="E76">
        <v>1686.2639999999999</v>
      </c>
      <c r="F76">
        <v>1793.6479999999999</v>
      </c>
      <c r="H76" s="2">
        <f t="shared" si="4"/>
        <v>1919.848</v>
      </c>
      <c r="I76" s="2">
        <f t="shared" si="5"/>
        <v>84.994399394901322</v>
      </c>
      <c r="K76">
        <v>82.5</v>
      </c>
      <c r="L76" t="s">
        <v>6</v>
      </c>
      <c r="M76">
        <v>2292.7719999999999</v>
      </c>
      <c r="N76">
        <v>2543.7089999999998</v>
      </c>
      <c r="O76">
        <v>2040.114</v>
      </c>
      <c r="P76">
        <v>1875.203</v>
      </c>
      <c r="R76" s="3">
        <f t="shared" si="6"/>
        <v>2187.9494999999997</v>
      </c>
      <c r="S76" s="3">
        <f t="shared" si="7"/>
        <v>146.4064794413726</v>
      </c>
    </row>
    <row r="77" spans="1:19" x14ac:dyDescent="0.25">
      <c r="A77">
        <v>83.75</v>
      </c>
      <c r="B77">
        <v>2773.7080000000001</v>
      </c>
      <c r="C77">
        <v>2729.23</v>
      </c>
      <c r="D77">
        <v>2833.4340000000002</v>
      </c>
      <c r="E77">
        <v>2091.1610000000001</v>
      </c>
      <c r="F77">
        <v>2315.9639999999999</v>
      </c>
      <c r="H77" s="2">
        <f t="shared" si="4"/>
        <v>2548.6994</v>
      </c>
      <c r="I77" s="2">
        <f t="shared" si="5"/>
        <v>146.25339550506209</v>
      </c>
      <c r="K77">
        <v>83.75</v>
      </c>
      <c r="L77" t="s">
        <v>6</v>
      </c>
      <c r="M77">
        <v>3165.4769999999999</v>
      </c>
      <c r="N77">
        <v>3430.5230000000001</v>
      </c>
      <c r="O77">
        <v>2888.9780000000001</v>
      </c>
      <c r="P77">
        <v>2587.5680000000002</v>
      </c>
      <c r="R77" s="3">
        <f t="shared" si="6"/>
        <v>3018.1364999999996</v>
      </c>
      <c r="S77" s="3">
        <f t="shared" si="7"/>
        <v>181.16360001322357</v>
      </c>
    </row>
    <row r="78" spans="1:19" x14ac:dyDescent="0.25">
      <c r="A78">
        <v>85</v>
      </c>
      <c r="B78">
        <v>3482.7460000000001</v>
      </c>
      <c r="C78">
        <v>3367.29</v>
      </c>
      <c r="D78">
        <v>3349.0340000000001</v>
      </c>
      <c r="E78">
        <v>2381.806</v>
      </c>
      <c r="F78">
        <v>2752.42</v>
      </c>
      <c r="H78" s="2">
        <f t="shared" si="4"/>
        <v>3066.6592000000001</v>
      </c>
      <c r="I78" s="2">
        <f t="shared" si="5"/>
        <v>213.42596035684124</v>
      </c>
      <c r="K78">
        <v>85</v>
      </c>
      <c r="L78" t="s">
        <v>6</v>
      </c>
      <c r="M78">
        <v>3951.6590000000001</v>
      </c>
      <c r="N78">
        <v>4053.6869999999999</v>
      </c>
      <c r="O78">
        <v>3713.5250000000001</v>
      </c>
      <c r="P78">
        <v>3180.7979999999998</v>
      </c>
      <c r="R78" s="3">
        <f t="shared" si="6"/>
        <v>3724.9172499999995</v>
      </c>
      <c r="S78" s="3">
        <f t="shared" si="7"/>
        <v>194.87109228255443</v>
      </c>
    </row>
    <row r="79" spans="1:19" x14ac:dyDescent="0.25">
      <c r="A79">
        <v>86.25</v>
      </c>
      <c r="B79">
        <v>3861.7280000000001</v>
      </c>
      <c r="C79">
        <v>3618.261</v>
      </c>
      <c r="D79">
        <v>3483.5970000000002</v>
      </c>
      <c r="E79">
        <v>2440.7719999999999</v>
      </c>
      <c r="F79">
        <v>2905.5520000000001</v>
      </c>
      <c r="H79" s="2">
        <f t="shared" si="4"/>
        <v>3261.982</v>
      </c>
      <c r="I79" s="2">
        <f t="shared" si="5"/>
        <v>258.57024264037034</v>
      </c>
      <c r="K79">
        <v>86.25</v>
      </c>
      <c r="L79" t="s">
        <v>6</v>
      </c>
      <c r="M79">
        <v>4254.3140000000003</v>
      </c>
      <c r="N79">
        <v>4262.7110000000002</v>
      </c>
      <c r="O79">
        <v>4093.288</v>
      </c>
      <c r="P79">
        <v>3398.7420000000002</v>
      </c>
      <c r="R79" s="3">
        <f t="shared" si="6"/>
        <v>4002.2637500000005</v>
      </c>
      <c r="S79" s="3">
        <f t="shared" si="7"/>
        <v>204.91583950668422</v>
      </c>
    </row>
    <row r="80" spans="1:19" x14ac:dyDescent="0.25">
      <c r="A80">
        <v>87.5</v>
      </c>
      <c r="B80">
        <v>3742.6669999999999</v>
      </c>
      <c r="C80">
        <v>3419.067</v>
      </c>
      <c r="D80">
        <v>3222.973</v>
      </c>
      <c r="E80">
        <v>2276.6509999999998</v>
      </c>
      <c r="F80">
        <v>2772.7640000000001</v>
      </c>
      <c r="H80" s="2">
        <f t="shared" si="4"/>
        <v>3086.8244</v>
      </c>
      <c r="I80" s="2">
        <f t="shared" si="5"/>
        <v>256.32654714515968</v>
      </c>
      <c r="K80">
        <v>87.5</v>
      </c>
      <c r="L80" t="s">
        <v>6</v>
      </c>
      <c r="M80">
        <v>4025.8159999999998</v>
      </c>
      <c r="N80">
        <v>3965.2860000000001</v>
      </c>
      <c r="O80">
        <v>3932.1689999999999</v>
      </c>
      <c r="P80">
        <v>3180.9679999999998</v>
      </c>
      <c r="R80" s="3">
        <f t="shared" si="6"/>
        <v>3776.0597500000003</v>
      </c>
      <c r="S80" s="3">
        <f t="shared" si="7"/>
        <v>199.30902449812913</v>
      </c>
    </row>
    <row r="81" spans="1:19" x14ac:dyDescent="0.25">
      <c r="A81">
        <v>88.75</v>
      </c>
      <c r="B81">
        <v>3296.1489999999999</v>
      </c>
      <c r="C81">
        <v>3015.3049999999998</v>
      </c>
      <c r="D81">
        <v>2836.1260000000002</v>
      </c>
      <c r="E81">
        <v>2021.31</v>
      </c>
      <c r="F81">
        <v>2461.0810000000001</v>
      </c>
      <c r="H81" s="2">
        <f t="shared" si="4"/>
        <v>2725.9942000000001</v>
      </c>
      <c r="I81" s="2">
        <f t="shared" si="5"/>
        <v>222.223431887233</v>
      </c>
      <c r="K81">
        <v>88.75</v>
      </c>
      <c r="L81" t="s">
        <v>6</v>
      </c>
      <c r="M81">
        <v>3477.1019999999999</v>
      </c>
      <c r="N81">
        <v>3454.87</v>
      </c>
      <c r="O81">
        <v>3399.6790000000001</v>
      </c>
      <c r="P81">
        <v>2754.451</v>
      </c>
      <c r="R81" s="3">
        <f t="shared" si="6"/>
        <v>3271.5254999999997</v>
      </c>
      <c r="S81" s="3">
        <f t="shared" si="7"/>
        <v>173.12477705039794</v>
      </c>
    </row>
    <row r="82" spans="1:19" x14ac:dyDescent="0.25">
      <c r="A82">
        <v>90</v>
      </c>
      <c r="B82">
        <v>3002.2280000000001</v>
      </c>
      <c r="C82">
        <v>2740.1379999999999</v>
      </c>
      <c r="D82">
        <v>2661.92</v>
      </c>
      <c r="E82">
        <v>1852.25</v>
      </c>
      <c r="F82">
        <v>2244.317</v>
      </c>
      <c r="H82" s="2">
        <f t="shared" si="4"/>
        <v>2500.1705999999999</v>
      </c>
      <c r="I82" s="2">
        <f t="shared" si="5"/>
        <v>202.61675928895934</v>
      </c>
      <c r="K82">
        <v>90</v>
      </c>
      <c r="L82" t="s">
        <v>6</v>
      </c>
      <c r="M82">
        <v>3073.5839999999998</v>
      </c>
      <c r="N82">
        <v>3158.1</v>
      </c>
      <c r="O82">
        <v>2921.7089999999998</v>
      </c>
      <c r="P82">
        <v>2437.9180000000001</v>
      </c>
      <c r="R82" s="3">
        <f t="shared" si="6"/>
        <v>2897.8277499999999</v>
      </c>
      <c r="S82" s="3">
        <f t="shared" si="7"/>
        <v>160.91384749319272</v>
      </c>
    </row>
    <row r="83" spans="1:19" x14ac:dyDescent="0.25">
      <c r="A83">
        <v>91.25</v>
      </c>
      <c r="B83">
        <v>3086.6729999999998</v>
      </c>
      <c r="C83">
        <v>2817.3560000000002</v>
      </c>
      <c r="D83">
        <v>2722.8290000000002</v>
      </c>
      <c r="E83">
        <v>1858.366</v>
      </c>
      <c r="F83">
        <v>2217.2530000000002</v>
      </c>
      <c r="H83" s="2">
        <f t="shared" si="4"/>
        <v>2540.4954000000002</v>
      </c>
      <c r="I83" s="2">
        <f t="shared" si="5"/>
        <v>221.13270583127203</v>
      </c>
      <c r="K83">
        <v>91.25</v>
      </c>
      <c r="L83" t="s">
        <v>6</v>
      </c>
      <c r="M83">
        <v>3149.9870000000001</v>
      </c>
      <c r="N83">
        <v>3217.1149999999998</v>
      </c>
      <c r="O83">
        <v>2921.4090000000001</v>
      </c>
      <c r="P83">
        <v>2464.54</v>
      </c>
      <c r="R83" s="3">
        <f t="shared" si="6"/>
        <v>2938.2627499999999</v>
      </c>
      <c r="S83" s="3">
        <f t="shared" si="7"/>
        <v>170.11834805137619</v>
      </c>
    </row>
    <row r="84" spans="1:19" x14ac:dyDescent="0.25">
      <c r="A84">
        <v>92.5</v>
      </c>
      <c r="B84">
        <v>3313.165</v>
      </c>
      <c r="C84">
        <v>2980.9989999999998</v>
      </c>
      <c r="D84">
        <v>2838.0360000000001</v>
      </c>
      <c r="E84">
        <v>1936.1759999999999</v>
      </c>
      <c r="F84">
        <v>2344.2429999999999</v>
      </c>
      <c r="H84" s="2">
        <f t="shared" si="4"/>
        <v>2682.5237999999999</v>
      </c>
      <c r="I84" s="2">
        <f t="shared" si="5"/>
        <v>243.15105908825495</v>
      </c>
      <c r="K84">
        <v>92.5</v>
      </c>
      <c r="L84" t="s">
        <v>6</v>
      </c>
      <c r="M84">
        <v>3383.6930000000002</v>
      </c>
      <c r="N84">
        <v>3380.8919999999998</v>
      </c>
      <c r="O84">
        <v>3206.1709999999998</v>
      </c>
      <c r="P84">
        <v>2649.5859999999998</v>
      </c>
      <c r="R84" s="3">
        <f t="shared" si="6"/>
        <v>3155.0854999999997</v>
      </c>
      <c r="S84" s="3">
        <f t="shared" si="7"/>
        <v>173.53900553597938</v>
      </c>
    </row>
    <row r="85" spans="1:19" x14ac:dyDescent="0.25">
      <c r="A85">
        <v>93.75</v>
      </c>
      <c r="B85">
        <v>3482.2530000000002</v>
      </c>
      <c r="C85">
        <v>3073.3310000000001</v>
      </c>
      <c r="D85">
        <v>2945.9630000000002</v>
      </c>
      <c r="E85">
        <v>2050.9140000000002</v>
      </c>
      <c r="F85">
        <v>2500.355</v>
      </c>
      <c r="H85" s="2">
        <f t="shared" si="4"/>
        <v>2810.5632000000001</v>
      </c>
      <c r="I85" s="2">
        <f t="shared" si="5"/>
        <v>246.15475258349056</v>
      </c>
      <c r="K85">
        <v>93.75</v>
      </c>
      <c r="L85" t="s">
        <v>6</v>
      </c>
      <c r="M85">
        <v>3609.0230000000001</v>
      </c>
      <c r="N85">
        <v>3552.42</v>
      </c>
      <c r="O85">
        <v>3456.098</v>
      </c>
      <c r="P85">
        <v>2809.97</v>
      </c>
      <c r="R85" s="3">
        <f t="shared" si="6"/>
        <v>3356.8777500000001</v>
      </c>
      <c r="S85" s="3">
        <f t="shared" si="7"/>
        <v>185.0150317435384</v>
      </c>
    </row>
    <row r="86" spans="1:19" x14ac:dyDescent="0.25">
      <c r="A86">
        <v>95</v>
      </c>
      <c r="B86">
        <v>3578.05</v>
      </c>
      <c r="C86">
        <v>3191.8510000000001</v>
      </c>
      <c r="D86">
        <v>3157.6370000000002</v>
      </c>
      <c r="E86">
        <v>2243.56</v>
      </c>
      <c r="F86">
        <v>2663.4740000000002</v>
      </c>
      <c r="H86" s="2">
        <f t="shared" si="4"/>
        <v>2966.9144000000001</v>
      </c>
      <c r="I86" s="2">
        <f t="shared" si="5"/>
        <v>231.9241223017996</v>
      </c>
      <c r="K86">
        <v>95</v>
      </c>
      <c r="L86" t="s">
        <v>6</v>
      </c>
      <c r="M86">
        <v>3754.3789999999999</v>
      </c>
      <c r="N86">
        <v>3740.4760000000001</v>
      </c>
      <c r="O86">
        <v>3615.1570000000002</v>
      </c>
      <c r="P86">
        <v>2996.5340000000001</v>
      </c>
      <c r="R86" s="3">
        <f t="shared" si="6"/>
        <v>3526.6364999999996</v>
      </c>
      <c r="S86" s="3">
        <f t="shared" si="7"/>
        <v>179.45252795957856</v>
      </c>
    </row>
    <row r="87" spans="1:19" x14ac:dyDescent="0.25">
      <c r="A87">
        <v>96.25</v>
      </c>
      <c r="B87">
        <v>3763.7429999999999</v>
      </c>
      <c r="C87">
        <v>3388.0509999999999</v>
      </c>
      <c r="D87">
        <v>3554.9839999999999</v>
      </c>
      <c r="E87">
        <v>2494.27</v>
      </c>
      <c r="F87">
        <v>2822.0279999999998</v>
      </c>
      <c r="H87" s="2">
        <f t="shared" si="4"/>
        <v>3204.6152000000002</v>
      </c>
      <c r="I87" s="2">
        <f t="shared" si="5"/>
        <v>236.64257375151206</v>
      </c>
      <c r="K87">
        <v>96.25</v>
      </c>
      <c r="L87" t="s">
        <v>6</v>
      </c>
      <c r="M87">
        <v>3876.556</v>
      </c>
      <c r="N87">
        <v>4059.239</v>
      </c>
      <c r="O87">
        <v>3713.779</v>
      </c>
      <c r="P87">
        <v>3179.48</v>
      </c>
      <c r="R87" s="3">
        <f t="shared" si="6"/>
        <v>3707.2635</v>
      </c>
      <c r="S87" s="3">
        <f t="shared" si="7"/>
        <v>189.54871356483361</v>
      </c>
    </row>
    <row r="88" spans="1:19" x14ac:dyDescent="0.25">
      <c r="A88">
        <v>97.5</v>
      </c>
      <c r="B88">
        <v>4022.9369999999999</v>
      </c>
      <c r="C88">
        <v>3644.3960000000002</v>
      </c>
      <c r="D88">
        <v>3928.4720000000002</v>
      </c>
      <c r="E88">
        <v>2761.2620000000002</v>
      </c>
      <c r="F88">
        <v>3025.1579999999999</v>
      </c>
      <c r="H88" s="2">
        <f t="shared" si="4"/>
        <v>3476.4450000000006</v>
      </c>
      <c r="I88" s="2">
        <f t="shared" si="5"/>
        <v>249.63334443258813</v>
      </c>
      <c r="K88">
        <v>97.5</v>
      </c>
      <c r="L88" t="s">
        <v>6</v>
      </c>
      <c r="M88">
        <v>4055.37</v>
      </c>
      <c r="N88">
        <v>4464.1670000000004</v>
      </c>
      <c r="O88">
        <v>3864.5479999999998</v>
      </c>
      <c r="P88">
        <v>3409.848</v>
      </c>
      <c r="R88" s="3">
        <f t="shared" si="6"/>
        <v>3948.4832499999998</v>
      </c>
      <c r="S88" s="3">
        <f t="shared" si="7"/>
        <v>218.80881420293807</v>
      </c>
    </row>
    <row r="89" spans="1:19" x14ac:dyDescent="0.25">
      <c r="A89">
        <v>98.75</v>
      </c>
      <c r="B89">
        <v>4294.3419999999996</v>
      </c>
      <c r="C89">
        <v>3865.7139999999999</v>
      </c>
      <c r="D89">
        <v>4195.7089999999998</v>
      </c>
      <c r="E89">
        <v>2946.1750000000002</v>
      </c>
      <c r="F89">
        <v>3180.7420000000002</v>
      </c>
      <c r="H89" s="2">
        <f t="shared" si="4"/>
        <v>3696.5364</v>
      </c>
      <c r="I89" s="2">
        <f t="shared" si="5"/>
        <v>270.57826723567359</v>
      </c>
      <c r="K89">
        <v>98.75</v>
      </c>
      <c r="L89" t="s">
        <v>6</v>
      </c>
      <c r="M89">
        <v>4266.3969999999999</v>
      </c>
      <c r="N89">
        <v>4746.2070000000003</v>
      </c>
      <c r="O89">
        <v>4065.0610000000001</v>
      </c>
      <c r="P89">
        <v>3613.8139999999999</v>
      </c>
      <c r="R89" s="3">
        <f t="shared" si="6"/>
        <v>4172.8697499999998</v>
      </c>
      <c r="S89" s="3">
        <f t="shared" si="7"/>
        <v>234.81003082540832</v>
      </c>
    </row>
    <row r="90" spans="1:19" x14ac:dyDescent="0.25">
      <c r="A90">
        <v>100</v>
      </c>
      <c r="B90">
        <v>4348.4979999999996</v>
      </c>
      <c r="C90">
        <v>3920.67</v>
      </c>
      <c r="D90">
        <v>4224.7120000000004</v>
      </c>
      <c r="E90">
        <v>2992.6860000000001</v>
      </c>
      <c r="F90">
        <v>3238.4569999999999</v>
      </c>
      <c r="H90" s="2">
        <f t="shared" si="4"/>
        <v>3745.0046000000002</v>
      </c>
      <c r="I90" s="2">
        <f t="shared" si="5"/>
        <v>269.04976799722306</v>
      </c>
      <c r="K90">
        <v>100</v>
      </c>
      <c r="L90" t="s">
        <v>6</v>
      </c>
      <c r="M90">
        <v>4373.3280000000004</v>
      </c>
      <c r="N90">
        <v>4831.4059999999999</v>
      </c>
      <c r="O90">
        <v>4128.51</v>
      </c>
      <c r="P90">
        <v>3659.471</v>
      </c>
      <c r="R90" s="3">
        <f t="shared" si="6"/>
        <v>4248.17875</v>
      </c>
      <c r="S90" s="3">
        <f t="shared" si="7"/>
        <v>244.38933837812121</v>
      </c>
    </row>
    <row r="91" spans="1:19" x14ac:dyDescent="0.25">
      <c r="A91">
        <v>101.25</v>
      </c>
      <c r="B91">
        <v>4197.1819999999998</v>
      </c>
      <c r="C91">
        <v>3810.43</v>
      </c>
      <c r="D91">
        <v>4080.107</v>
      </c>
      <c r="E91">
        <v>2916.683</v>
      </c>
      <c r="F91">
        <v>3145.123</v>
      </c>
      <c r="H91" s="2">
        <f t="shared" si="4"/>
        <v>3629.9049999999997</v>
      </c>
      <c r="I91" s="2">
        <f t="shared" si="5"/>
        <v>255.02681427312831</v>
      </c>
      <c r="K91">
        <v>101.25</v>
      </c>
      <c r="L91" t="s">
        <v>6</v>
      </c>
      <c r="M91">
        <v>4287.8760000000002</v>
      </c>
      <c r="N91">
        <v>4691.2569999999996</v>
      </c>
      <c r="O91">
        <v>4038.2289999999998</v>
      </c>
      <c r="P91">
        <v>3538.3589999999999</v>
      </c>
      <c r="R91" s="3">
        <f t="shared" si="6"/>
        <v>4138.9302499999994</v>
      </c>
      <c r="S91" s="3">
        <f t="shared" si="7"/>
        <v>241.19083787303737</v>
      </c>
    </row>
    <row r="92" spans="1:19" x14ac:dyDescent="0.25">
      <c r="A92">
        <v>102.5</v>
      </c>
      <c r="B92">
        <v>3881.6669999999999</v>
      </c>
      <c r="C92">
        <v>3551.623</v>
      </c>
      <c r="D92">
        <v>3764.6329999999998</v>
      </c>
      <c r="E92">
        <v>2735.4160000000002</v>
      </c>
      <c r="F92">
        <v>2924.7289999999998</v>
      </c>
      <c r="H92" s="2">
        <f t="shared" si="4"/>
        <v>3371.6135999999997</v>
      </c>
      <c r="I92" s="2">
        <f t="shared" si="5"/>
        <v>229.28970056232393</v>
      </c>
      <c r="K92">
        <v>102.5</v>
      </c>
      <c r="L92" t="s">
        <v>6</v>
      </c>
      <c r="M92">
        <v>4033.8380000000002</v>
      </c>
      <c r="N92">
        <v>4374.0370000000003</v>
      </c>
      <c r="O92">
        <v>3839.6950000000002</v>
      </c>
      <c r="P92">
        <v>3283.6390000000001</v>
      </c>
      <c r="R92" s="3">
        <f t="shared" si="6"/>
        <v>3882.8022499999997</v>
      </c>
      <c r="S92" s="3">
        <f t="shared" si="7"/>
        <v>228.21375443115531</v>
      </c>
    </row>
    <row r="93" spans="1:19" x14ac:dyDescent="0.25">
      <c r="A93">
        <v>103.75</v>
      </c>
      <c r="B93">
        <v>3447.7860000000001</v>
      </c>
      <c r="C93">
        <v>3138.002</v>
      </c>
      <c r="D93">
        <v>3332.8879999999999</v>
      </c>
      <c r="E93">
        <v>2473.8090000000002</v>
      </c>
      <c r="F93">
        <v>2634.7170000000001</v>
      </c>
      <c r="H93" s="2">
        <f t="shared" si="4"/>
        <v>3005.4404000000004</v>
      </c>
      <c r="I93" s="2">
        <f t="shared" si="5"/>
        <v>192.4229616175262</v>
      </c>
      <c r="K93">
        <v>103.75</v>
      </c>
      <c r="L93" t="s">
        <v>6</v>
      </c>
      <c r="M93">
        <v>3615.596</v>
      </c>
      <c r="N93">
        <v>3903.9789999999998</v>
      </c>
      <c r="O93">
        <v>3473.1570000000002</v>
      </c>
      <c r="P93">
        <v>2925.2049999999999</v>
      </c>
      <c r="R93" s="3">
        <f t="shared" si="6"/>
        <v>3479.48425</v>
      </c>
      <c r="S93" s="3">
        <f t="shared" si="7"/>
        <v>205.34274647094122</v>
      </c>
    </row>
    <row r="94" spans="1:19" x14ac:dyDescent="0.25">
      <c r="A94">
        <v>105</v>
      </c>
      <c r="B94">
        <v>3114.1750000000002</v>
      </c>
      <c r="C94">
        <v>2811.4430000000002</v>
      </c>
      <c r="D94">
        <v>3049.8110000000001</v>
      </c>
      <c r="E94">
        <v>2282.54</v>
      </c>
      <c r="F94">
        <v>2435.0949999999998</v>
      </c>
      <c r="H94" s="2">
        <f t="shared" si="4"/>
        <v>2738.6127999999999</v>
      </c>
      <c r="I94" s="2">
        <f t="shared" si="5"/>
        <v>164.82126343418275</v>
      </c>
      <c r="K94">
        <v>105</v>
      </c>
      <c r="L94" t="s">
        <v>6</v>
      </c>
      <c r="M94">
        <v>3254.9670000000001</v>
      </c>
      <c r="N94">
        <v>3529.4670000000001</v>
      </c>
      <c r="O94">
        <v>3092.0639999999999</v>
      </c>
      <c r="P94">
        <v>2669.085</v>
      </c>
      <c r="R94" s="3">
        <f t="shared" si="6"/>
        <v>3136.3957499999997</v>
      </c>
      <c r="S94" s="3">
        <f t="shared" si="7"/>
        <v>180.02518111520538</v>
      </c>
    </row>
    <row r="95" spans="1:19" x14ac:dyDescent="0.25">
      <c r="A95">
        <v>106.25</v>
      </c>
      <c r="B95">
        <v>2990.2049999999999</v>
      </c>
      <c r="C95">
        <v>2714.5630000000001</v>
      </c>
      <c r="D95">
        <v>2965.5949999999998</v>
      </c>
      <c r="E95">
        <v>2208.9270000000001</v>
      </c>
      <c r="F95">
        <v>2368.1080000000002</v>
      </c>
      <c r="H95" s="2">
        <f t="shared" si="4"/>
        <v>2649.4795999999997</v>
      </c>
      <c r="I95" s="2">
        <f t="shared" si="5"/>
        <v>157.08519407175297</v>
      </c>
      <c r="K95">
        <v>106.25</v>
      </c>
      <c r="L95" t="s">
        <v>6</v>
      </c>
      <c r="M95">
        <v>3108.8939999999998</v>
      </c>
      <c r="N95">
        <v>3410.2460000000001</v>
      </c>
      <c r="O95">
        <v>2937.7379999999998</v>
      </c>
      <c r="P95">
        <v>2573.1129999999998</v>
      </c>
      <c r="R95" s="3">
        <f t="shared" si="6"/>
        <v>3007.4977499999995</v>
      </c>
      <c r="S95" s="3">
        <f t="shared" si="7"/>
        <v>174.65296212412315</v>
      </c>
    </row>
    <row r="96" spans="1:19" x14ac:dyDescent="0.25">
      <c r="A96">
        <v>107.5</v>
      </c>
      <c r="B96">
        <v>2948.7179999999998</v>
      </c>
      <c r="C96">
        <v>2682.9609999999998</v>
      </c>
      <c r="D96">
        <v>2925.0030000000002</v>
      </c>
      <c r="E96">
        <v>2201.35</v>
      </c>
      <c r="F96">
        <v>2343.3449999999998</v>
      </c>
      <c r="H96" s="2">
        <f t="shared" si="4"/>
        <v>2620.2754</v>
      </c>
      <c r="I96" s="2">
        <f t="shared" si="5"/>
        <v>151.13766462288581</v>
      </c>
      <c r="K96">
        <v>107.5</v>
      </c>
      <c r="L96" t="s">
        <v>6</v>
      </c>
      <c r="M96">
        <v>3053.7750000000001</v>
      </c>
      <c r="N96">
        <v>3386.056</v>
      </c>
      <c r="O96">
        <v>2914.2489999999998</v>
      </c>
      <c r="P96">
        <v>2546.8139999999999</v>
      </c>
      <c r="R96" s="3">
        <f t="shared" si="6"/>
        <v>2975.2235000000001</v>
      </c>
      <c r="S96" s="3">
        <f t="shared" si="7"/>
        <v>173.73501627214728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BRIGHT!OCT_RAW___\CO02\_dark_profiles_CO02_DARK</vt:lpstr>
      <vt:lpstr>BRIGHT!OCT_RAW___\CO02\_light_profiles_CO02_LIGHT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2019-11-17T03:07:33Z</dcterms:modified>
</cp:coreProperties>
</file>