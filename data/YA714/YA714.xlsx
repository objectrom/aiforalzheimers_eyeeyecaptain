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E:\[Documents]\[[[OCT RAW FOR DRYAD]]]\YA714\"/>
    </mc:Choice>
  </mc:AlternateContent>
  <xr:revisionPtr revIDLastSave="0" documentId="13_ncr:1_{A218CBEB-BB27-4085-9CC1-D20F3F1045CE}" xr6:coauthVersionLast="45" xr6:coauthVersionMax="45" xr10:uidLastSave="{00000000-0000-0000-0000-000000000000}"/>
  <bookViews>
    <workbookView xWindow="990" yWindow="1065" windowWidth="24810" windowHeight="15810" xr2:uid="{00000000-000D-0000-FFFF-FFFF00000000}"/>
  </bookViews>
  <sheets>
    <sheet name="DIM" sheetId="1" r:id="rId1"/>
    <sheet name="BRIGHT" sheetId="2" r:id="rId2"/>
  </sheets>
  <definedNames>
    <definedName name="OCT_RAW___\YA08\_dark_profiles_YA08_DARK" localSheetId="1">BRIGHT!$A$2:$P$96</definedName>
    <definedName name="OCT_RAW___\YA08\_dark_profiles_YA08_DARK_dim" localSheetId="0">DIM!$A$2:$F$96</definedName>
    <definedName name="OCT_RAW___\YA08\_fovea_dark_profiles_YA08_DARK" localSheetId="1">BRIGHT!#REF!</definedName>
    <definedName name="OCT_RAW___\YA08\_fovea_dark_profiles_YA08_DARK_dim" localSheetId="0">DIM!#REF!</definedName>
    <definedName name="OCT_RAW___\YA08\_fovea_light_profiles_YA08_LIGHT" localSheetId="1">BRIGHT!#REF!</definedName>
    <definedName name="OCT_RAW___\YA08\_fovea_light_profiles_YA08_LIGHT_dim" localSheetId="0">DIM!#REF!</definedName>
    <definedName name="OCT_RAW___\YA08\_light_profiles_YA08_LIGHT" localSheetId="1">BRIGHT!$U$2:$AJ$96</definedName>
    <definedName name="OCT_RAW___\YA08\_light_profiles_YA08_LIGHT_dim" localSheetId="0">DIM!$K$2:$P$96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M96" i="2" l="1"/>
  <c r="AL96" i="2"/>
  <c r="S96" i="2"/>
  <c r="R96" i="2"/>
  <c r="AM95" i="2"/>
  <c r="AL95" i="2"/>
  <c r="S95" i="2"/>
  <c r="R95" i="2"/>
  <c r="AM94" i="2"/>
  <c r="AL94" i="2"/>
  <c r="S94" i="2"/>
  <c r="R94" i="2"/>
  <c r="AM93" i="2"/>
  <c r="AL93" i="2"/>
  <c r="S93" i="2"/>
  <c r="R93" i="2"/>
  <c r="AM92" i="2"/>
  <c r="AL92" i="2"/>
  <c r="S92" i="2"/>
  <c r="R92" i="2"/>
  <c r="AM91" i="2"/>
  <c r="AL91" i="2"/>
  <c r="S91" i="2"/>
  <c r="R91" i="2"/>
  <c r="AM90" i="2"/>
  <c r="AL90" i="2"/>
  <c r="S90" i="2"/>
  <c r="R90" i="2"/>
  <c r="AM89" i="2"/>
  <c r="AL89" i="2"/>
  <c r="S89" i="2"/>
  <c r="R89" i="2"/>
  <c r="AM88" i="2"/>
  <c r="AL88" i="2"/>
  <c r="S88" i="2"/>
  <c r="R88" i="2"/>
  <c r="AM87" i="2"/>
  <c r="AL87" i="2"/>
  <c r="S87" i="2"/>
  <c r="R87" i="2"/>
  <c r="AM86" i="2"/>
  <c r="AL86" i="2"/>
  <c r="S86" i="2"/>
  <c r="R86" i="2"/>
  <c r="AM85" i="2"/>
  <c r="AL85" i="2"/>
  <c r="S85" i="2"/>
  <c r="R85" i="2"/>
  <c r="AM84" i="2"/>
  <c r="AL84" i="2"/>
  <c r="S84" i="2"/>
  <c r="R84" i="2"/>
  <c r="AM83" i="2"/>
  <c r="AL83" i="2"/>
  <c r="S83" i="2"/>
  <c r="R83" i="2"/>
  <c r="AM82" i="2"/>
  <c r="AL82" i="2"/>
  <c r="S82" i="2"/>
  <c r="R82" i="2"/>
  <c r="AM81" i="2"/>
  <c r="AL81" i="2"/>
  <c r="S81" i="2"/>
  <c r="R81" i="2"/>
  <c r="AM80" i="2"/>
  <c r="AL80" i="2"/>
  <c r="S80" i="2"/>
  <c r="R80" i="2"/>
  <c r="AM79" i="2"/>
  <c r="AL79" i="2"/>
  <c r="S79" i="2"/>
  <c r="R79" i="2"/>
  <c r="AM78" i="2"/>
  <c r="AL78" i="2"/>
  <c r="S78" i="2"/>
  <c r="R78" i="2"/>
  <c r="AM77" i="2"/>
  <c r="AL77" i="2"/>
  <c r="S77" i="2"/>
  <c r="R77" i="2"/>
  <c r="AM76" i="2"/>
  <c r="AL76" i="2"/>
  <c r="S76" i="2"/>
  <c r="R76" i="2"/>
  <c r="AM75" i="2"/>
  <c r="AL75" i="2"/>
  <c r="S75" i="2"/>
  <c r="R75" i="2"/>
  <c r="AM74" i="2"/>
  <c r="AL74" i="2"/>
  <c r="S74" i="2"/>
  <c r="R74" i="2"/>
  <c r="AM73" i="2"/>
  <c r="AL73" i="2"/>
  <c r="S73" i="2"/>
  <c r="R73" i="2"/>
  <c r="AM72" i="2"/>
  <c r="AL72" i="2"/>
  <c r="S72" i="2"/>
  <c r="R72" i="2"/>
  <c r="AM71" i="2"/>
  <c r="AL71" i="2"/>
  <c r="S71" i="2"/>
  <c r="R71" i="2"/>
  <c r="AM70" i="2"/>
  <c r="AL70" i="2"/>
  <c r="S70" i="2"/>
  <c r="R70" i="2"/>
  <c r="AM69" i="2"/>
  <c r="AL69" i="2"/>
  <c r="S69" i="2"/>
  <c r="R69" i="2"/>
  <c r="AM68" i="2"/>
  <c r="AL68" i="2"/>
  <c r="S68" i="2"/>
  <c r="R68" i="2"/>
  <c r="AM67" i="2"/>
  <c r="AL67" i="2"/>
  <c r="S67" i="2"/>
  <c r="R67" i="2"/>
  <c r="AM66" i="2"/>
  <c r="AL66" i="2"/>
  <c r="S66" i="2"/>
  <c r="R66" i="2"/>
  <c r="AM65" i="2"/>
  <c r="AL65" i="2"/>
  <c r="S65" i="2"/>
  <c r="R65" i="2"/>
  <c r="AM64" i="2"/>
  <c r="AL64" i="2"/>
  <c r="S64" i="2"/>
  <c r="R64" i="2"/>
  <c r="AM63" i="2"/>
  <c r="AL63" i="2"/>
  <c r="S63" i="2"/>
  <c r="R63" i="2"/>
  <c r="AM62" i="2"/>
  <c r="AL62" i="2"/>
  <c r="S62" i="2"/>
  <c r="R62" i="2"/>
  <c r="AM61" i="2"/>
  <c r="AL61" i="2"/>
  <c r="S61" i="2"/>
  <c r="R61" i="2"/>
  <c r="AM60" i="2"/>
  <c r="AL60" i="2"/>
  <c r="S60" i="2"/>
  <c r="R60" i="2"/>
  <c r="AM59" i="2"/>
  <c r="AL59" i="2"/>
  <c r="S59" i="2"/>
  <c r="R59" i="2"/>
  <c r="AM58" i="2"/>
  <c r="AL58" i="2"/>
  <c r="S58" i="2"/>
  <c r="R58" i="2"/>
  <c r="AM57" i="2"/>
  <c r="AL57" i="2"/>
  <c r="S57" i="2"/>
  <c r="R57" i="2"/>
  <c r="AM56" i="2"/>
  <c r="AL56" i="2"/>
  <c r="S56" i="2"/>
  <c r="R56" i="2"/>
  <c r="AM55" i="2"/>
  <c r="AL55" i="2"/>
  <c r="S55" i="2"/>
  <c r="R55" i="2"/>
  <c r="AM54" i="2"/>
  <c r="AL54" i="2"/>
  <c r="S54" i="2"/>
  <c r="R54" i="2"/>
  <c r="AM53" i="2"/>
  <c r="AL53" i="2"/>
  <c r="S53" i="2"/>
  <c r="R53" i="2"/>
  <c r="AM52" i="2"/>
  <c r="AL52" i="2"/>
  <c r="S52" i="2"/>
  <c r="R52" i="2"/>
  <c r="AM51" i="2"/>
  <c r="AL51" i="2"/>
  <c r="S51" i="2"/>
  <c r="R51" i="2"/>
  <c r="AM50" i="2"/>
  <c r="AL50" i="2"/>
  <c r="S50" i="2"/>
  <c r="R50" i="2"/>
  <c r="AM49" i="2"/>
  <c r="AL49" i="2"/>
  <c r="S49" i="2"/>
  <c r="R49" i="2"/>
  <c r="AM48" i="2"/>
  <c r="AL48" i="2"/>
  <c r="S48" i="2"/>
  <c r="R48" i="2"/>
  <c r="AM47" i="2"/>
  <c r="AL47" i="2"/>
  <c r="S47" i="2"/>
  <c r="R47" i="2"/>
  <c r="AM46" i="2"/>
  <c r="AL46" i="2"/>
  <c r="S46" i="2"/>
  <c r="R46" i="2"/>
  <c r="AM45" i="2"/>
  <c r="AL45" i="2"/>
  <c r="S45" i="2"/>
  <c r="R45" i="2"/>
  <c r="AM44" i="2"/>
  <c r="AL44" i="2"/>
  <c r="S44" i="2"/>
  <c r="R44" i="2"/>
  <c r="AM43" i="2"/>
  <c r="AL43" i="2"/>
  <c r="S43" i="2"/>
  <c r="R43" i="2"/>
  <c r="AM42" i="2"/>
  <c r="AL42" i="2"/>
  <c r="S42" i="2"/>
  <c r="R42" i="2"/>
  <c r="AM41" i="2"/>
  <c r="AL41" i="2"/>
  <c r="S41" i="2"/>
  <c r="R41" i="2"/>
  <c r="AM40" i="2"/>
  <c r="AL40" i="2"/>
  <c r="S40" i="2"/>
  <c r="R40" i="2"/>
  <c r="AM39" i="2"/>
  <c r="AL39" i="2"/>
  <c r="S39" i="2"/>
  <c r="R39" i="2"/>
  <c r="AM38" i="2"/>
  <c r="AL38" i="2"/>
  <c r="S38" i="2"/>
  <c r="R38" i="2"/>
  <c r="AM37" i="2"/>
  <c r="AL37" i="2"/>
  <c r="S37" i="2"/>
  <c r="R37" i="2"/>
  <c r="AM36" i="2"/>
  <c r="AL36" i="2"/>
  <c r="S36" i="2"/>
  <c r="R36" i="2"/>
  <c r="AM35" i="2"/>
  <c r="AL35" i="2"/>
  <c r="S35" i="2"/>
  <c r="R35" i="2"/>
  <c r="AM34" i="2"/>
  <c r="AL34" i="2"/>
  <c r="S34" i="2"/>
  <c r="R34" i="2"/>
  <c r="AM33" i="2"/>
  <c r="AL33" i="2"/>
  <c r="S33" i="2"/>
  <c r="R33" i="2"/>
  <c r="AM32" i="2"/>
  <c r="AL32" i="2"/>
  <c r="S32" i="2"/>
  <c r="R32" i="2"/>
  <c r="AM31" i="2"/>
  <c r="AL31" i="2"/>
  <c r="S31" i="2"/>
  <c r="R31" i="2"/>
  <c r="AM30" i="2"/>
  <c r="AL30" i="2"/>
  <c r="S30" i="2"/>
  <c r="R30" i="2"/>
  <c r="AM29" i="2"/>
  <c r="AL29" i="2"/>
  <c r="S29" i="2"/>
  <c r="R29" i="2"/>
  <c r="AM28" i="2"/>
  <c r="AL28" i="2"/>
  <c r="S28" i="2"/>
  <c r="R28" i="2"/>
  <c r="AM27" i="2"/>
  <c r="AL27" i="2"/>
  <c r="S27" i="2"/>
  <c r="R27" i="2"/>
  <c r="AM26" i="2"/>
  <c r="AL26" i="2"/>
  <c r="S26" i="2"/>
  <c r="R26" i="2"/>
  <c r="AM25" i="2"/>
  <c r="AL25" i="2"/>
  <c r="S25" i="2"/>
  <c r="R25" i="2"/>
  <c r="AM24" i="2"/>
  <c r="AL24" i="2"/>
  <c r="S24" i="2"/>
  <c r="R24" i="2"/>
  <c r="AM23" i="2"/>
  <c r="AL23" i="2"/>
  <c r="S23" i="2"/>
  <c r="R23" i="2"/>
  <c r="AM22" i="2"/>
  <c r="AL22" i="2"/>
  <c r="S22" i="2"/>
  <c r="R22" i="2"/>
  <c r="AM21" i="2"/>
  <c r="AL21" i="2"/>
  <c r="S21" i="2"/>
  <c r="R21" i="2"/>
  <c r="AM20" i="2"/>
  <c r="AL20" i="2"/>
  <c r="S20" i="2"/>
  <c r="R20" i="2"/>
  <c r="AM19" i="2"/>
  <c r="AL19" i="2"/>
  <c r="S19" i="2"/>
  <c r="R19" i="2"/>
  <c r="AM18" i="2"/>
  <c r="AL18" i="2"/>
  <c r="S18" i="2"/>
  <c r="R18" i="2"/>
  <c r="AM17" i="2"/>
  <c r="AL17" i="2"/>
  <c r="S17" i="2"/>
  <c r="R17" i="2"/>
  <c r="AM16" i="2"/>
  <c r="AL16" i="2"/>
  <c r="S16" i="2"/>
  <c r="R16" i="2"/>
  <c r="AM15" i="2"/>
  <c r="AL15" i="2"/>
  <c r="S15" i="2"/>
  <c r="R15" i="2"/>
  <c r="AM14" i="2"/>
  <c r="AL14" i="2"/>
  <c r="S14" i="2"/>
  <c r="R14" i="2"/>
  <c r="AM13" i="2"/>
  <c r="AL13" i="2"/>
  <c r="S13" i="2"/>
  <c r="R13" i="2"/>
  <c r="AM12" i="2"/>
  <c r="AL12" i="2"/>
  <c r="S12" i="2"/>
  <c r="R12" i="2"/>
  <c r="AM11" i="2"/>
  <c r="AL11" i="2"/>
  <c r="S11" i="2"/>
  <c r="R11" i="2"/>
  <c r="AM10" i="2"/>
  <c r="AL10" i="2"/>
  <c r="S10" i="2"/>
  <c r="R10" i="2"/>
  <c r="AM9" i="2"/>
  <c r="AL9" i="2"/>
  <c r="S9" i="2"/>
  <c r="R9" i="2"/>
  <c r="AM8" i="2"/>
  <c r="AL8" i="2"/>
  <c r="S8" i="2"/>
  <c r="R8" i="2"/>
  <c r="AM7" i="2"/>
  <c r="AL7" i="2"/>
  <c r="S7" i="2"/>
  <c r="R7" i="2"/>
  <c r="AM6" i="2"/>
  <c r="AL6" i="2"/>
  <c r="S6" i="2"/>
  <c r="R6" i="2"/>
  <c r="AM5" i="2"/>
  <c r="AL5" i="2"/>
  <c r="S5" i="2"/>
  <c r="R5" i="2"/>
  <c r="AM4" i="2"/>
  <c r="AL4" i="2"/>
  <c r="S4" i="2"/>
  <c r="R4" i="2"/>
  <c r="S96" i="1" l="1"/>
  <c r="R96" i="1"/>
  <c r="S95" i="1"/>
  <c r="R95" i="1"/>
  <c r="S94" i="1"/>
  <c r="R94" i="1"/>
  <c r="S93" i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432C0C-4590-4BBB-ABCD-5FDCF1D55856}" name="[[[OCT RAW]]]\YA08\_dark_profiles_YA08_DARK" type="6" refreshedVersion="6" background="1" saveData="1">
    <textPr codePage="437" sourceFile="E:\[Documents]\[[[OCT RAW]]]\YA08\_dark_profiles_YA08_DARK.txt" space="1" consecutive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E6D0370E-AFE0-4EC5-9227-906FBA0C81F7}" name="[[[OCT RAW]]]\YA08\_dark_profiles_YA08_DARK-dim" type="6" refreshedVersion="6" background="1" saveData="1">
    <textPr codePage="437" sourceFile="E:\[Documents]\[[[OCT RAW]]]\YA08\_dark_profiles_YA08_DARK-dim.txt" space="1" consecutive="1">
      <textFields count="6">
        <textField/>
        <textField/>
        <textField/>
        <textField/>
        <textField/>
        <textField/>
      </textFields>
    </textPr>
  </connection>
  <connection id="3" xr16:uid="{35EFE36B-7D0E-46BD-AFDA-C5A2A7D6DEA0}" name="[[[OCT RAW]]]\YA08\_light_profiles_YA08_LIGHT" type="6" refreshedVersion="6" background="1" saveData="1">
    <textPr codePage="437" sourceFile="E:\[Documents]\[[[OCT RAW]]]\YA08\_light_profiles_YA08_LIGHT.txt" space="1" consecutive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AAC93C1D-33D9-40BD-96E8-8C420F719189}" name="[[[OCT RAW]]]\YA08\_light_profiles_YA08_LIGHT-dim" type="6" refreshedVersion="6" background="1" saveData="1">
    <textPr codePage="437" sourceFile="E:\[Documents]\[[[OCT RAW]]]\YA08\_light_profiles_YA08_LIGHT-dim.txt" space="1" consecutive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<sst xmlns="http://schemas.openxmlformats.org/spreadsheetml/2006/main" count="24" uniqueCount="10">
  <si>
    <t>angle</t>
  </si>
  <si>
    <t>whole</t>
  </si>
  <si>
    <t>RPEtoOLM</t>
  </si>
  <si>
    <t>RNFL</t>
  </si>
  <si>
    <t>DARK 500 microns to 2750 microns</t>
  </si>
  <si>
    <t>LIGHT 500 microns to 2750 microns</t>
  </si>
  <si>
    <t>YA714_DARK</t>
  </si>
  <si>
    <t>YA714_LIGHT</t>
  </si>
  <si>
    <t>YA714_DARK-dim</t>
  </si>
  <si>
    <t>YA714_LIGHT-dim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</si>
</sst>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0" borderId="0" xfId="0" applyFon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DIM!$A$7:$A$96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DIM!$H$7:$H$96</c:f>
              <c:numCache>
                <c:formatCode>General</c:formatCode>
                <c:ptCount val="90"/>
                <c:pt idx="0">
                  <c:v>636.48620000000005</c:v>
                </c:pt>
                <c:pt idx="1">
                  <c:v>889.82839999999999</c:v>
                </c:pt>
                <c:pt idx="2">
                  <c:v>1517.1296</c:v>
                </c:pt>
                <c:pt idx="3">
                  <c:v>2365.2708000000002</c:v>
                </c:pt>
                <c:pt idx="4">
                  <c:v>3237.4540000000002</c:v>
                </c:pt>
                <c:pt idx="5">
                  <c:v>3737.5128000000004</c:v>
                </c:pt>
                <c:pt idx="6">
                  <c:v>3873.3364000000001</c:v>
                </c:pt>
                <c:pt idx="7">
                  <c:v>3877.2878000000005</c:v>
                </c:pt>
                <c:pt idx="8">
                  <c:v>3837.2116000000001</c:v>
                </c:pt>
                <c:pt idx="9">
                  <c:v>3754.5806000000002</c:v>
                </c:pt>
                <c:pt idx="10">
                  <c:v>3541.2514000000001</c:v>
                </c:pt>
                <c:pt idx="11">
                  <c:v>3098.1432</c:v>
                </c:pt>
                <c:pt idx="12">
                  <c:v>2702.1010000000001</c:v>
                </c:pt>
                <c:pt idx="13">
                  <c:v>2445.7197999999999</c:v>
                </c:pt>
                <c:pt idx="14">
                  <c:v>2323.9589999999998</c:v>
                </c:pt>
                <c:pt idx="15">
                  <c:v>2277.7913999999996</c:v>
                </c:pt>
                <c:pt idx="16">
                  <c:v>2265.3607999999995</c:v>
                </c:pt>
                <c:pt idx="17">
                  <c:v>2272.7390000000005</c:v>
                </c:pt>
                <c:pt idx="18">
                  <c:v>2284.4578000000001</c:v>
                </c:pt>
                <c:pt idx="19">
                  <c:v>2286.8841999999995</c:v>
                </c:pt>
                <c:pt idx="20">
                  <c:v>2283.7151999999996</c:v>
                </c:pt>
                <c:pt idx="21">
                  <c:v>2289.8966</c:v>
                </c:pt>
                <c:pt idx="22">
                  <c:v>2302.3183999999997</c:v>
                </c:pt>
                <c:pt idx="23">
                  <c:v>2325.3972000000003</c:v>
                </c:pt>
                <c:pt idx="24">
                  <c:v>2346.7339999999999</c:v>
                </c:pt>
                <c:pt idx="25">
                  <c:v>2362.0418</c:v>
                </c:pt>
                <c:pt idx="26">
                  <c:v>2368.7464</c:v>
                </c:pt>
                <c:pt idx="27">
                  <c:v>2384.9448000000002</c:v>
                </c:pt>
                <c:pt idx="28">
                  <c:v>2398.018</c:v>
                </c:pt>
                <c:pt idx="29">
                  <c:v>2379.4656</c:v>
                </c:pt>
                <c:pt idx="30">
                  <c:v>2363.4186</c:v>
                </c:pt>
                <c:pt idx="31">
                  <c:v>2344.1240000000003</c:v>
                </c:pt>
                <c:pt idx="32">
                  <c:v>2244.6143999999999</c:v>
                </c:pt>
                <c:pt idx="33">
                  <c:v>2071.3537999999999</c:v>
                </c:pt>
                <c:pt idx="34">
                  <c:v>1931.0506</c:v>
                </c:pt>
                <c:pt idx="35">
                  <c:v>1837.3136000000002</c:v>
                </c:pt>
                <c:pt idx="36">
                  <c:v>1778.8326000000002</c:v>
                </c:pt>
                <c:pt idx="37">
                  <c:v>1751.1577999999997</c:v>
                </c:pt>
                <c:pt idx="38">
                  <c:v>1739.4432000000002</c:v>
                </c:pt>
                <c:pt idx="39">
                  <c:v>1743.6222000000002</c:v>
                </c:pt>
                <c:pt idx="40">
                  <c:v>1777.557</c:v>
                </c:pt>
                <c:pt idx="41">
                  <c:v>1849.7314000000001</c:v>
                </c:pt>
                <c:pt idx="42">
                  <c:v>1939.5101999999999</c:v>
                </c:pt>
                <c:pt idx="43">
                  <c:v>2019.8452000000002</c:v>
                </c:pt>
                <c:pt idx="44">
                  <c:v>2085.8031999999998</c:v>
                </c:pt>
                <c:pt idx="45">
                  <c:v>2125.2388000000001</c:v>
                </c:pt>
                <c:pt idx="46">
                  <c:v>2121.3856000000001</c:v>
                </c:pt>
                <c:pt idx="47">
                  <c:v>2066.0684000000001</c:v>
                </c:pt>
                <c:pt idx="48">
                  <c:v>1941.297</c:v>
                </c:pt>
                <c:pt idx="49">
                  <c:v>1770.7288000000001</c:v>
                </c:pt>
                <c:pt idx="50">
                  <c:v>1620.1443999999999</c:v>
                </c:pt>
                <c:pt idx="51">
                  <c:v>1528.5078000000001</c:v>
                </c:pt>
                <c:pt idx="52">
                  <c:v>1471.7650000000001</c:v>
                </c:pt>
                <c:pt idx="53">
                  <c:v>1439.1928</c:v>
                </c:pt>
                <c:pt idx="54">
                  <c:v>1415.9864000000002</c:v>
                </c:pt>
                <c:pt idx="55">
                  <c:v>1398.5672000000002</c:v>
                </c:pt>
                <c:pt idx="56">
                  <c:v>1379.4684000000002</c:v>
                </c:pt>
                <c:pt idx="57">
                  <c:v>1361.2954</c:v>
                </c:pt>
                <c:pt idx="58">
                  <c:v>1353.0666000000001</c:v>
                </c:pt>
                <c:pt idx="59">
                  <c:v>1347.9998000000001</c:v>
                </c:pt>
                <c:pt idx="60">
                  <c:v>1335.4</c:v>
                </c:pt>
                <c:pt idx="61">
                  <c:v>1320.0275999999999</c:v>
                </c:pt>
                <c:pt idx="62">
                  <c:v>1311.1260000000002</c:v>
                </c:pt>
                <c:pt idx="63">
                  <c:v>1352.6846</c:v>
                </c:pt>
                <c:pt idx="64">
                  <c:v>1474.6550000000002</c:v>
                </c:pt>
                <c:pt idx="65">
                  <c:v>1540.9308000000001</c:v>
                </c:pt>
                <c:pt idx="66">
                  <c:v>1484.1107999999999</c:v>
                </c:pt>
                <c:pt idx="67">
                  <c:v>1418.8296</c:v>
                </c:pt>
                <c:pt idx="68">
                  <c:v>1435.636</c:v>
                </c:pt>
                <c:pt idx="69">
                  <c:v>1715.5971999999997</c:v>
                </c:pt>
                <c:pt idx="70">
                  <c:v>2456.3342000000002</c:v>
                </c:pt>
                <c:pt idx="71">
                  <c:v>3359.4664000000002</c:v>
                </c:pt>
                <c:pt idx="72">
                  <c:v>3878.7697999999996</c:v>
                </c:pt>
                <c:pt idx="73">
                  <c:v>3710.1918000000005</c:v>
                </c:pt>
                <c:pt idx="74">
                  <c:v>3023.933</c:v>
                </c:pt>
                <c:pt idx="75">
                  <c:v>2550.6493999999998</c:v>
                </c:pt>
                <c:pt idx="76">
                  <c:v>2739.6441999999997</c:v>
                </c:pt>
                <c:pt idx="77">
                  <c:v>3087.1797999999994</c:v>
                </c:pt>
                <c:pt idx="78">
                  <c:v>3271.2237999999998</c:v>
                </c:pt>
                <c:pt idx="79">
                  <c:v>3230.4124000000002</c:v>
                </c:pt>
                <c:pt idx="80">
                  <c:v>3138.1231999999995</c:v>
                </c:pt>
                <c:pt idx="81">
                  <c:v>3251.3906000000002</c:v>
                </c:pt>
                <c:pt idx="82">
                  <c:v>3459.8024000000005</c:v>
                </c:pt>
                <c:pt idx="83">
                  <c:v>3524.8088000000002</c:v>
                </c:pt>
                <c:pt idx="84">
                  <c:v>3463.7942000000003</c:v>
                </c:pt>
                <c:pt idx="85">
                  <c:v>3274.3599999999997</c:v>
                </c:pt>
                <c:pt idx="86">
                  <c:v>2913.5252</c:v>
                </c:pt>
                <c:pt idx="87">
                  <c:v>2544.6961999999999</c:v>
                </c:pt>
                <c:pt idx="88">
                  <c:v>2265.6063999999997</c:v>
                </c:pt>
                <c:pt idx="89">
                  <c:v>2040.1673999999998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89-4A11-B2E6-49DFA13FA92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DIM!$A$7:$A$96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DIM!$R$7:$R$96</c:f>
              <c:numCache>
                <c:formatCode>General</c:formatCode>
                <c:ptCount val="90"/>
                <c:pt idx="0">
                  <c:v>550.5394</c:v>
                </c:pt>
                <c:pt idx="1">
                  <c:v>785.7120000000001</c:v>
                </c:pt>
                <c:pt idx="2">
                  <c:v>1345.1870000000001</c:v>
                </c:pt>
                <c:pt idx="3">
                  <c:v>2084.7475999999997</c:v>
                </c:pt>
                <c:pt idx="4">
                  <c:v>2890.8859999999995</c:v>
                </c:pt>
                <c:pt idx="5">
                  <c:v>3351.8949999999995</c:v>
                </c:pt>
                <c:pt idx="6">
                  <c:v>3479.6467999999995</c:v>
                </c:pt>
                <c:pt idx="7">
                  <c:v>3487.4114</c:v>
                </c:pt>
                <c:pt idx="8">
                  <c:v>3504.0838000000003</c:v>
                </c:pt>
                <c:pt idx="9">
                  <c:v>3470.2719999999999</c:v>
                </c:pt>
                <c:pt idx="10">
                  <c:v>3279.2224000000001</c:v>
                </c:pt>
                <c:pt idx="11">
                  <c:v>2855.4160000000002</c:v>
                </c:pt>
                <c:pt idx="12">
                  <c:v>2473.7655999999997</c:v>
                </c:pt>
                <c:pt idx="13">
                  <c:v>2257.0459999999998</c:v>
                </c:pt>
                <c:pt idx="14">
                  <c:v>2159.9023999999999</c:v>
                </c:pt>
                <c:pt idx="15">
                  <c:v>2125.5114000000003</c:v>
                </c:pt>
                <c:pt idx="16">
                  <c:v>2119.1130000000003</c:v>
                </c:pt>
                <c:pt idx="17">
                  <c:v>2126.6012000000001</c:v>
                </c:pt>
                <c:pt idx="18">
                  <c:v>2131.8126000000002</c:v>
                </c:pt>
                <c:pt idx="19">
                  <c:v>2134.2152000000001</c:v>
                </c:pt>
                <c:pt idx="20">
                  <c:v>2142.6390000000001</c:v>
                </c:pt>
                <c:pt idx="21">
                  <c:v>2157.5262000000002</c:v>
                </c:pt>
                <c:pt idx="22">
                  <c:v>2176.8661999999999</c:v>
                </c:pt>
                <c:pt idx="23">
                  <c:v>2200.2835999999998</c:v>
                </c:pt>
                <c:pt idx="24">
                  <c:v>2213.2476000000001</c:v>
                </c:pt>
                <c:pt idx="25">
                  <c:v>2215.0511999999999</c:v>
                </c:pt>
                <c:pt idx="26">
                  <c:v>2218.3956000000003</c:v>
                </c:pt>
                <c:pt idx="27">
                  <c:v>2231.3599999999997</c:v>
                </c:pt>
                <c:pt idx="28">
                  <c:v>2239.5334000000003</c:v>
                </c:pt>
                <c:pt idx="29">
                  <c:v>2234.1472000000003</c:v>
                </c:pt>
                <c:pt idx="30">
                  <c:v>2230.8761999999997</c:v>
                </c:pt>
                <c:pt idx="31">
                  <c:v>2219.9668000000001</c:v>
                </c:pt>
                <c:pt idx="32">
                  <c:v>2118.0291999999999</c:v>
                </c:pt>
                <c:pt idx="33">
                  <c:v>1948.9760000000001</c:v>
                </c:pt>
                <c:pt idx="34">
                  <c:v>1807.5366000000001</c:v>
                </c:pt>
                <c:pt idx="35">
                  <c:v>1714.4461999999999</c:v>
                </c:pt>
                <c:pt idx="36">
                  <c:v>1668.125</c:v>
                </c:pt>
                <c:pt idx="37">
                  <c:v>1643.3445999999999</c:v>
                </c:pt>
                <c:pt idx="38">
                  <c:v>1633.0610000000001</c:v>
                </c:pt>
                <c:pt idx="39">
                  <c:v>1633.5804000000001</c:v>
                </c:pt>
                <c:pt idx="40">
                  <c:v>1657.7002</c:v>
                </c:pt>
                <c:pt idx="41">
                  <c:v>1725.6506000000002</c:v>
                </c:pt>
                <c:pt idx="42">
                  <c:v>1814.4315999999999</c:v>
                </c:pt>
                <c:pt idx="43">
                  <c:v>1884.7264000000002</c:v>
                </c:pt>
                <c:pt idx="44">
                  <c:v>1945.7338000000004</c:v>
                </c:pt>
                <c:pt idx="45">
                  <c:v>1978.8712</c:v>
                </c:pt>
                <c:pt idx="46">
                  <c:v>1973.0945999999999</c:v>
                </c:pt>
                <c:pt idx="47">
                  <c:v>1914.548</c:v>
                </c:pt>
                <c:pt idx="48">
                  <c:v>1794.306</c:v>
                </c:pt>
                <c:pt idx="49">
                  <c:v>1640.4952000000001</c:v>
                </c:pt>
                <c:pt idx="50">
                  <c:v>1498.4705999999999</c:v>
                </c:pt>
                <c:pt idx="51">
                  <c:v>1410.8532</c:v>
                </c:pt>
                <c:pt idx="52">
                  <c:v>1355.377</c:v>
                </c:pt>
                <c:pt idx="53">
                  <c:v>1322.9670000000001</c:v>
                </c:pt>
                <c:pt idx="54">
                  <c:v>1300.7868000000001</c:v>
                </c:pt>
                <c:pt idx="55">
                  <c:v>1286.0057999999999</c:v>
                </c:pt>
                <c:pt idx="56">
                  <c:v>1276.8321999999998</c:v>
                </c:pt>
                <c:pt idx="57">
                  <c:v>1266.2303999999999</c:v>
                </c:pt>
                <c:pt idx="58">
                  <c:v>1262.9146000000001</c:v>
                </c:pt>
                <c:pt idx="59">
                  <c:v>1260.5540000000001</c:v>
                </c:pt>
                <c:pt idx="60">
                  <c:v>1250.9906000000001</c:v>
                </c:pt>
                <c:pt idx="61">
                  <c:v>1237.6419999999998</c:v>
                </c:pt>
                <c:pt idx="62">
                  <c:v>1230.4298000000001</c:v>
                </c:pt>
                <c:pt idx="63">
                  <c:v>1261.9026000000001</c:v>
                </c:pt>
                <c:pt idx="64">
                  <c:v>1370.2962</c:v>
                </c:pt>
                <c:pt idx="65">
                  <c:v>1425.3072</c:v>
                </c:pt>
                <c:pt idx="66">
                  <c:v>1377.3516</c:v>
                </c:pt>
                <c:pt idx="67">
                  <c:v>1324.1363999999999</c:v>
                </c:pt>
                <c:pt idx="68">
                  <c:v>1351.6658000000002</c:v>
                </c:pt>
                <c:pt idx="69">
                  <c:v>1614.5416</c:v>
                </c:pt>
                <c:pt idx="70">
                  <c:v>2298.5394000000001</c:v>
                </c:pt>
                <c:pt idx="71">
                  <c:v>3161.6723999999999</c:v>
                </c:pt>
                <c:pt idx="72">
                  <c:v>3653.7918</c:v>
                </c:pt>
                <c:pt idx="73">
                  <c:v>3457.4830000000002</c:v>
                </c:pt>
                <c:pt idx="74">
                  <c:v>2777.0286000000001</c:v>
                </c:pt>
                <c:pt idx="75">
                  <c:v>2297.2426</c:v>
                </c:pt>
                <c:pt idx="76">
                  <c:v>2394.3604000000005</c:v>
                </c:pt>
                <c:pt idx="77">
                  <c:v>2638.6783999999998</c:v>
                </c:pt>
                <c:pt idx="78">
                  <c:v>2791.4489999999996</c:v>
                </c:pt>
                <c:pt idx="79">
                  <c:v>2830.7302000000004</c:v>
                </c:pt>
                <c:pt idx="80">
                  <c:v>2867.1508000000003</c:v>
                </c:pt>
                <c:pt idx="81">
                  <c:v>3041.9151999999999</c:v>
                </c:pt>
                <c:pt idx="82">
                  <c:v>3242.7167999999997</c:v>
                </c:pt>
                <c:pt idx="83">
                  <c:v>3299.7823999999991</c:v>
                </c:pt>
                <c:pt idx="84">
                  <c:v>3236.0513999999998</c:v>
                </c:pt>
                <c:pt idx="85">
                  <c:v>3066.9396000000002</c:v>
                </c:pt>
                <c:pt idx="86">
                  <c:v>2736.2578000000003</c:v>
                </c:pt>
                <c:pt idx="87">
                  <c:v>2387.2683999999999</c:v>
                </c:pt>
                <c:pt idx="88">
                  <c:v>2127.7049999999999</c:v>
                </c:pt>
                <c:pt idx="89">
                  <c:v>1913.1725999999999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89-4A11-B2E6-49DFA13FA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040936"/>
        <c:axId val="457125736"/>
      </c:scatterChart>
      <c:valAx>
        <c:axId val="560040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25736"/>
        <c:crosses val="autoZero"/>
        <c:crossBetween val="midCat"/>
      </c:valAx>
      <c:valAx>
        <c:axId val="45712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040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BRIGHT!$R$7:$R$96</c:f>
              <c:numCache>
                <c:formatCode>General</c:formatCode>
                <c:ptCount val="90"/>
                <c:pt idx="0">
                  <c:v>628.52593333333323</c:v>
                </c:pt>
                <c:pt idx="1">
                  <c:v>846.78499999999997</c:v>
                </c:pt>
                <c:pt idx="2">
                  <c:v>1442.6964000000003</c:v>
                </c:pt>
                <c:pt idx="3">
                  <c:v>2225.637933333333</c:v>
                </c:pt>
                <c:pt idx="4">
                  <c:v>3085.0738000000006</c:v>
                </c:pt>
                <c:pt idx="5">
                  <c:v>3529.6521333333335</c:v>
                </c:pt>
                <c:pt idx="6">
                  <c:v>3680.5626666666662</c:v>
                </c:pt>
                <c:pt idx="7">
                  <c:v>3728.099733333333</c:v>
                </c:pt>
                <c:pt idx="8">
                  <c:v>3747.1402000000007</c:v>
                </c:pt>
                <c:pt idx="9">
                  <c:v>3671.833533333333</c:v>
                </c:pt>
                <c:pt idx="10">
                  <c:v>3404.7353333333331</c:v>
                </c:pt>
                <c:pt idx="11">
                  <c:v>2890.6821333333337</c:v>
                </c:pt>
                <c:pt idx="12">
                  <c:v>2516.6828</c:v>
                </c:pt>
                <c:pt idx="13">
                  <c:v>2339.4294666666665</c:v>
                </c:pt>
                <c:pt idx="14">
                  <c:v>2277.1312666666663</c:v>
                </c:pt>
                <c:pt idx="15">
                  <c:v>2259.4315333333334</c:v>
                </c:pt>
                <c:pt idx="16">
                  <c:v>2261.6759999999999</c:v>
                </c:pt>
                <c:pt idx="17">
                  <c:v>2275.3689333333332</c:v>
                </c:pt>
                <c:pt idx="18">
                  <c:v>2289.7312000000002</c:v>
                </c:pt>
                <c:pt idx="19">
                  <c:v>2301.6796000000004</c:v>
                </c:pt>
                <c:pt idx="20">
                  <c:v>2311.9286666666671</c:v>
                </c:pt>
                <c:pt idx="21">
                  <c:v>2326.5095333333329</c:v>
                </c:pt>
                <c:pt idx="22">
                  <c:v>2341.8409333333334</c:v>
                </c:pt>
                <c:pt idx="23">
                  <c:v>2360.4193333333333</c:v>
                </c:pt>
                <c:pt idx="24">
                  <c:v>2380.2361333333333</c:v>
                </c:pt>
                <c:pt idx="25">
                  <c:v>2389.0772666666667</c:v>
                </c:pt>
                <c:pt idx="26">
                  <c:v>2397.4167333333335</c:v>
                </c:pt>
                <c:pt idx="27">
                  <c:v>2415.4527333333331</c:v>
                </c:pt>
                <c:pt idx="28">
                  <c:v>2418.8310000000001</c:v>
                </c:pt>
                <c:pt idx="29">
                  <c:v>2403.2622000000001</c:v>
                </c:pt>
                <c:pt idx="30">
                  <c:v>2395.0009999999997</c:v>
                </c:pt>
                <c:pt idx="31">
                  <c:v>2378.3107333333337</c:v>
                </c:pt>
                <c:pt idx="32">
                  <c:v>2268.1306666666669</c:v>
                </c:pt>
                <c:pt idx="33">
                  <c:v>2088.8006</c:v>
                </c:pt>
                <c:pt idx="34">
                  <c:v>1940.8914666666667</c:v>
                </c:pt>
                <c:pt idx="35">
                  <c:v>1849.4828666666667</c:v>
                </c:pt>
                <c:pt idx="36">
                  <c:v>1797.6098666666667</c:v>
                </c:pt>
                <c:pt idx="37">
                  <c:v>1774.8315333333333</c:v>
                </c:pt>
                <c:pt idx="38">
                  <c:v>1765.8296666666668</c:v>
                </c:pt>
                <c:pt idx="39">
                  <c:v>1773.4478666666662</c:v>
                </c:pt>
                <c:pt idx="40">
                  <c:v>1823.9121333333337</c:v>
                </c:pt>
                <c:pt idx="41">
                  <c:v>1916.8113333333333</c:v>
                </c:pt>
                <c:pt idx="42">
                  <c:v>2013.5951333333335</c:v>
                </c:pt>
                <c:pt idx="43">
                  <c:v>2094.7755333333339</c:v>
                </c:pt>
                <c:pt idx="44">
                  <c:v>2161.5007333333333</c:v>
                </c:pt>
                <c:pt idx="45">
                  <c:v>2190.1952666666671</c:v>
                </c:pt>
                <c:pt idx="46">
                  <c:v>2171.5262666666667</c:v>
                </c:pt>
                <c:pt idx="47">
                  <c:v>2094.161266666667</c:v>
                </c:pt>
                <c:pt idx="48">
                  <c:v>1957.2202666666669</c:v>
                </c:pt>
                <c:pt idx="49">
                  <c:v>1803.5629999999999</c:v>
                </c:pt>
                <c:pt idx="50">
                  <c:v>1678.8211999999996</c:v>
                </c:pt>
                <c:pt idx="51">
                  <c:v>1601.2658666666669</c:v>
                </c:pt>
                <c:pt idx="52">
                  <c:v>1550.7013999999997</c:v>
                </c:pt>
                <c:pt idx="53">
                  <c:v>1513.6256000000001</c:v>
                </c:pt>
                <c:pt idx="54">
                  <c:v>1485.8943333333334</c:v>
                </c:pt>
                <c:pt idx="55">
                  <c:v>1461.6717333333336</c:v>
                </c:pt>
                <c:pt idx="56">
                  <c:v>1433.1490000000001</c:v>
                </c:pt>
                <c:pt idx="57">
                  <c:v>1408.3064666666667</c:v>
                </c:pt>
                <c:pt idx="58">
                  <c:v>1390.3996</c:v>
                </c:pt>
                <c:pt idx="59">
                  <c:v>1374.7447333333334</c:v>
                </c:pt>
                <c:pt idx="60">
                  <c:v>1355.5040666666669</c:v>
                </c:pt>
                <c:pt idx="61">
                  <c:v>1345.2840666666666</c:v>
                </c:pt>
                <c:pt idx="62">
                  <c:v>1345.4267333333335</c:v>
                </c:pt>
                <c:pt idx="63">
                  <c:v>1390.0696000000003</c:v>
                </c:pt>
                <c:pt idx="64">
                  <c:v>1512.6572666666666</c:v>
                </c:pt>
                <c:pt idx="65">
                  <c:v>1580.5884666666668</c:v>
                </c:pt>
                <c:pt idx="66">
                  <c:v>1528.672933333333</c:v>
                </c:pt>
                <c:pt idx="67">
                  <c:v>1460.7375333333334</c:v>
                </c:pt>
                <c:pt idx="68">
                  <c:v>1474.3143333333333</c:v>
                </c:pt>
                <c:pt idx="69">
                  <c:v>1749.9590000000001</c:v>
                </c:pt>
                <c:pt idx="70">
                  <c:v>2484.3689999999997</c:v>
                </c:pt>
                <c:pt idx="71">
                  <c:v>3397.7454666666672</c:v>
                </c:pt>
                <c:pt idx="72">
                  <c:v>3920.2288666666664</c:v>
                </c:pt>
                <c:pt idx="73">
                  <c:v>3728.2938666666673</c:v>
                </c:pt>
                <c:pt idx="74">
                  <c:v>3026.6250666666674</c:v>
                </c:pt>
                <c:pt idx="75">
                  <c:v>2510.4488666666662</c:v>
                </c:pt>
                <c:pt idx="76">
                  <c:v>2594.1528666666663</c:v>
                </c:pt>
                <c:pt idx="77">
                  <c:v>2859.1516666666662</c:v>
                </c:pt>
                <c:pt idx="78">
                  <c:v>3022.4958000000001</c:v>
                </c:pt>
                <c:pt idx="79">
                  <c:v>3071.0958666666661</c:v>
                </c:pt>
                <c:pt idx="80">
                  <c:v>3137.6934666666657</c:v>
                </c:pt>
                <c:pt idx="81">
                  <c:v>3324.2604666666657</c:v>
                </c:pt>
                <c:pt idx="82">
                  <c:v>3544.011133333333</c:v>
                </c:pt>
                <c:pt idx="83">
                  <c:v>3613.8074666666666</c:v>
                </c:pt>
                <c:pt idx="84">
                  <c:v>3553.7094666666671</c:v>
                </c:pt>
                <c:pt idx="85">
                  <c:v>3359.7367999999997</c:v>
                </c:pt>
                <c:pt idx="86">
                  <c:v>2988.050933333333</c:v>
                </c:pt>
                <c:pt idx="87">
                  <c:v>2616.9893999999999</c:v>
                </c:pt>
                <c:pt idx="88">
                  <c:v>2347.5620666666669</c:v>
                </c:pt>
                <c:pt idx="89">
                  <c:v>2121.4201333333335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63-4861-9B5D-17AAE54D677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BRIGHT!$AL$7:$AL$96</c:f>
              <c:numCache>
                <c:formatCode>General</c:formatCode>
                <c:ptCount val="90"/>
                <c:pt idx="0">
                  <c:v>631.61987499999998</c:v>
                </c:pt>
                <c:pt idx="1">
                  <c:v>891.72762499999999</c:v>
                </c:pt>
                <c:pt idx="2">
                  <c:v>1518.8969999999999</c:v>
                </c:pt>
                <c:pt idx="3">
                  <c:v>2301.3588749999999</c:v>
                </c:pt>
                <c:pt idx="4">
                  <c:v>3148.1557500000004</c:v>
                </c:pt>
                <c:pt idx="5">
                  <c:v>3647.3827499999998</c:v>
                </c:pt>
                <c:pt idx="6">
                  <c:v>3840.0768750000002</c:v>
                </c:pt>
                <c:pt idx="7">
                  <c:v>3920.5363750000001</c:v>
                </c:pt>
                <c:pt idx="8">
                  <c:v>3958.4361250000002</c:v>
                </c:pt>
                <c:pt idx="9">
                  <c:v>3895.7049999999999</c:v>
                </c:pt>
                <c:pt idx="10">
                  <c:v>3636.7841250000001</c:v>
                </c:pt>
                <c:pt idx="11">
                  <c:v>3082.7377499999998</c:v>
                </c:pt>
                <c:pt idx="12">
                  <c:v>2672.2477500000005</c:v>
                </c:pt>
                <c:pt idx="13">
                  <c:v>2468.8843749999996</c:v>
                </c:pt>
                <c:pt idx="14">
                  <c:v>2392.41275</c:v>
                </c:pt>
                <c:pt idx="15">
                  <c:v>2368.7659999999996</c:v>
                </c:pt>
                <c:pt idx="16">
                  <c:v>2375.5003750000001</c:v>
                </c:pt>
                <c:pt idx="17">
                  <c:v>2391.8509999999997</c:v>
                </c:pt>
                <c:pt idx="18">
                  <c:v>2402.9728749999999</c:v>
                </c:pt>
                <c:pt idx="19">
                  <c:v>2406.8085000000005</c:v>
                </c:pt>
                <c:pt idx="20">
                  <c:v>2413.2230000000004</c:v>
                </c:pt>
                <c:pt idx="21">
                  <c:v>2424.7325000000001</c:v>
                </c:pt>
                <c:pt idx="22">
                  <c:v>2440.6458749999997</c:v>
                </c:pt>
                <c:pt idx="23">
                  <c:v>2454.214125</c:v>
                </c:pt>
                <c:pt idx="24">
                  <c:v>2468.8443750000001</c:v>
                </c:pt>
                <c:pt idx="25">
                  <c:v>2483.9349999999999</c:v>
                </c:pt>
                <c:pt idx="26">
                  <c:v>2495.9979999999996</c:v>
                </c:pt>
                <c:pt idx="27">
                  <c:v>2514.4673749999997</c:v>
                </c:pt>
                <c:pt idx="28">
                  <c:v>2520.0930000000003</c:v>
                </c:pt>
                <c:pt idx="29">
                  <c:v>2503.4772499999999</c:v>
                </c:pt>
                <c:pt idx="30">
                  <c:v>2484.350375</c:v>
                </c:pt>
                <c:pt idx="31">
                  <c:v>2467.3724999999999</c:v>
                </c:pt>
                <c:pt idx="32">
                  <c:v>2359.7292499999999</c:v>
                </c:pt>
                <c:pt idx="33">
                  <c:v>2172.6426249999995</c:v>
                </c:pt>
                <c:pt idx="34">
                  <c:v>2013.3198750000001</c:v>
                </c:pt>
                <c:pt idx="35">
                  <c:v>1917.76475</c:v>
                </c:pt>
                <c:pt idx="36">
                  <c:v>1859.6042500000001</c:v>
                </c:pt>
                <c:pt idx="37">
                  <c:v>1827.080375</c:v>
                </c:pt>
                <c:pt idx="38">
                  <c:v>1814.931</c:v>
                </c:pt>
                <c:pt idx="39">
                  <c:v>1822.692</c:v>
                </c:pt>
                <c:pt idx="40">
                  <c:v>1862.8621250000001</c:v>
                </c:pt>
                <c:pt idx="41">
                  <c:v>1946.6053750000001</c:v>
                </c:pt>
                <c:pt idx="42">
                  <c:v>2039.847</c:v>
                </c:pt>
                <c:pt idx="43">
                  <c:v>2118.9817499999999</c:v>
                </c:pt>
                <c:pt idx="44">
                  <c:v>2180.4034999999999</c:v>
                </c:pt>
                <c:pt idx="45">
                  <c:v>2205.1751249999998</c:v>
                </c:pt>
                <c:pt idx="46">
                  <c:v>2187.4234999999999</c:v>
                </c:pt>
                <c:pt idx="47">
                  <c:v>2117.0388750000002</c:v>
                </c:pt>
                <c:pt idx="48">
                  <c:v>1980.990125</c:v>
                </c:pt>
                <c:pt idx="49">
                  <c:v>1812.008875</c:v>
                </c:pt>
                <c:pt idx="50">
                  <c:v>1671.6266249999999</c:v>
                </c:pt>
                <c:pt idx="51">
                  <c:v>1587.4652500000002</c:v>
                </c:pt>
                <c:pt idx="52">
                  <c:v>1538.115125</c:v>
                </c:pt>
                <c:pt idx="53">
                  <c:v>1499.0690000000002</c:v>
                </c:pt>
                <c:pt idx="54">
                  <c:v>1473.318125</c:v>
                </c:pt>
                <c:pt idx="55">
                  <c:v>1453.9536250000001</c:v>
                </c:pt>
                <c:pt idx="56">
                  <c:v>1428.4426249999999</c:v>
                </c:pt>
                <c:pt idx="57">
                  <c:v>1411.3415</c:v>
                </c:pt>
                <c:pt idx="58">
                  <c:v>1408.0608749999999</c:v>
                </c:pt>
                <c:pt idx="59">
                  <c:v>1394.0332499999997</c:v>
                </c:pt>
                <c:pt idx="60">
                  <c:v>1374.0248749999998</c:v>
                </c:pt>
                <c:pt idx="61">
                  <c:v>1354.7308749999997</c:v>
                </c:pt>
                <c:pt idx="62">
                  <c:v>1352.47225</c:v>
                </c:pt>
                <c:pt idx="63">
                  <c:v>1398.2687500000002</c:v>
                </c:pt>
                <c:pt idx="64">
                  <c:v>1530.625125</c:v>
                </c:pt>
                <c:pt idx="65">
                  <c:v>1598.3786250000001</c:v>
                </c:pt>
                <c:pt idx="66">
                  <c:v>1541.3812500000001</c:v>
                </c:pt>
                <c:pt idx="67">
                  <c:v>1475.842875</c:v>
                </c:pt>
                <c:pt idx="68">
                  <c:v>1504.6906250000002</c:v>
                </c:pt>
                <c:pt idx="69">
                  <c:v>1856.933</c:v>
                </c:pt>
                <c:pt idx="70">
                  <c:v>2773.2797500000001</c:v>
                </c:pt>
                <c:pt idx="71">
                  <c:v>3879.8241250000001</c:v>
                </c:pt>
                <c:pt idx="72">
                  <c:v>4495.7371250000006</c:v>
                </c:pt>
                <c:pt idx="73">
                  <c:v>4241.8194999999996</c:v>
                </c:pt>
                <c:pt idx="74">
                  <c:v>3409.5703749999998</c:v>
                </c:pt>
                <c:pt idx="75">
                  <c:v>2805.3579999999997</c:v>
                </c:pt>
                <c:pt idx="76">
                  <c:v>3007.9168749999999</c:v>
                </c:pt>
                <c:pt idx="77">
                  <c:v>3403.3061250000001</c:v>
                </c:pt>
                <c:pt idx="78">
                  <c:v>3576.747875</c:v>
                </c:pt>
                <c:pt idx="79">
                  <c:v>3466.5528750000003</c:v>
                </c:pt>
                <c:pt idx="80">
                  <c:v>3312.3623749999997</c:v>
                </c:pt>
                <c:pt idx="81">
                  <c:v>3380.8787500000003</c:v>
                </c:pt>
                <c:pt idx="82">
                  <c:v>3617.3311249999997</c:v>
                </c:pt>
                <c:pt idx="83">
                  <c:v>3730.9904999999999</c:v>
                </c:pt>
                <c:pt idx="84">
                  <c:v>3697.5544999999997</c:v>
                </c:pt>
                <c:pt idx="85">
                  <c:v>3522.8512500000002</c:v>
                </c:pt>
                <c:pt idx="86">
                  <c:v>3141.3427499999998</c:v>
                </c:pt>
                <c:pt idx="87">
                  <c:v>2731.4049999999997</c:v>
                </c:pt>
                <c:pt idx="88">
                  <c:v>2429.7863750000001</c:v>
                </c:pt>
                <c:pt idx="89">
                  <c:v>2173.3607499999998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863-4861-9B5D-17AAE54D6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040936"/>
        <c:axId val="457125736"/>
      </c:scatterChart>
      <c:valAx>
        <c:axId val="560040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25736"/>
        <c:crosses val="autoZero"/>
        <c:crossBetween val="midCat"/>
      </c:valAx>
      <c:valAx>
        <c:axId val="45712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040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519112</xdr:colOff>
      <xdr:row>7</xdr:row>
      <xdr:rowOff>4762</xdr:rowOff>
    </xdr:from>
    <xdr:to>
      <xdr:col>13</xdr:col>
      <xdr:colOff>342900</xdr:colOff>
      <xdr:row>32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F95396-3466-4F51-B312-22BD19394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271462</xdr:colOff>
      <xdr:row>2</xdr:row>
      <xdr:rowOff>66675</xdr:rowOff>
    </xdr:from>
    <xdr:to>
      <xdr:col>19</xdr:col>
      <xdr:colOff>38100</xdr:colOff>
      <xdr:row>30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C5CF1A-5DF7-4F7E-A4E6-2945CE7669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YA08\_light_profiles_YA08_LIGHT-dim" connectionId="4" xr16:uid="{D3AA6FC7-0FF4-464E-8A8F-A84524CACE42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YA08\_dark_profiles_YA08_DARK-dim" connectionId="2" xr16:uid="{F9795273-91D6-425F-A477-BBA3EAA0DF07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YA08\_dark_profiles_YA08_DARK" connectionId="1" xr16:uid="{846CA1BE-464A-4072-A402-0CE680323211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YA08\_light_profiles_YA08_LIGHT" connectionId="3" xr16:uid="{F2E88631-51B1-4DC9-B65B-517D794C8BE1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queryTable" Target="../queryTables/query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"/>
  <sheetViews>
    <sheetView tabSelected="1" workbookViewId="0">
      <selection activeCell="K3" sqref="K3"/>
    </sheetView>
  </sheetViews>
  <sheetFormatPr defaultRowHeight="15" x14ac:dyDescent="0.25"/>
  <cols>
    <col min="1" max="1" width="15.42578125" bestFit="1" customWidth="1"/>
    <col min="2" max="6" width="9" bestFit="1" customWidth="1"/>
    <col min="7" max="7" width="2.140625" style="1" customWidth="1"/>
    <col min="8" max="9" width="9.140625" style="2"/>
    <col min="10" max="10" width="2.85546875" style="1" customWidth="1"/>
    <col min="11" max="11" width="15.5703125" bestFit="1" customWidth="1"/>
    <col min="12" max="16" width="9" bestFit="1" customWidth="1"/>
    <col min="17" max="17" width="2.140625" style="1" customWidth="1"/>
    <col min="18" max="19" width="9.140625" style="3"/>
    <col min="20" max="20" width="2.85546875" style="1" customWidth="1"/>
  </cols>
  <sheetData>
    <row r="1" spans="1:19" x14ac:dyDescent="0.25">
      <c r="A1" s="8" t="s">
        <v>4</v>
      </c>
      <c r="B1" s="8"/>
      <c r="C1" s="8"/>
      <c r="D1" s="8"/>
      <c r="E1" s="8"/>
      <c r="F1" s="8"/>
      <c r="K1" s="9" t="s">
        <v>5</v>
      </c>
      <c r="L1" s="9"/>
      <c r="M1" s="9"/>
      <c r="N1" s="9"/>
      <c r="O1" s="9"/>
      <c r="P1" s="9"/>
    </row>
    <row r="2" spans="1:19" x14ac:dyDescent="0.25">
      <c r="A2" t="s">
        <v>8</v>
      </c>
      <c r="B2">
        <v>1</v>
      </c>
      <c r="C2">
        <v>2</v>
      </c>
      <c r="D2">
        <v>3</v>
      </c>
      <c r="E2">
        <v>4</v>
      </c>
      <c r="F2">
        <v>5</v>
      </c>
      <c r="K2" t="s">
        <v>9</v>
      </c>
      <c r="L2">
        <v>1</v>
      </c>
      <c r="M2">
        <v>2</v>
      </c>
      <c r="N2">
        <v>3</v>
      </c>
      <c r="O2">
        <v>4</v>
      </c>
      <c r="P2">
        <v>5</v>
      </c>
    </row>
    <row r="3" spans="1:19" x14ac:dyDescent="0.25">
      <c r="A3" t="s">
        <v>0</v>
      </c>
      <c r="B3">
        <v>0.124</v>
      </c>
      <c r="C3">
        <v>1.3240000000000001</v>
      </c>
      <c r="D3">
        <v>5.3479999999999999</v>
      </c>
      <c r="E3">
        <v>3.556</v>
      </c>
      <c r="F3">
        <v>0.29299999999999998</v>
      </c>
      <c r="K3" t="s">
        <v>0</v>
      </c>
      <c r="L3">
        <v>3.871</v>
      </c>
      <c r="M3">
        <v>2.09</v>
      </c>
      <c r="N3">
        <v>4.8810000000000002</v>
      </c>
      <c r="O3">
        <v>1.427</v>
      </c>
      <c r="P3">
        <v>0.46500000000000002</v>
      </c>
    </row>
    <row r="4" spans="1:19" x14ac:dyDescent="0.25">
      <c r="A4" t="s">
        <v>1</v>
      </c>
      <c r="B4">
        <v>341.08699999999999</v>
      </c>
      <c r="C4">
        <v>341.88400000000001</v>
      </c>
      <c r="D4">
        <v>340.64</v>
      </c>
      <c r="E4">
        <v>343.01100000000002</v>
      </c>
      <c r="F4">
        <v>342.67500000000001</v>
      </c>
      <c r="H4" s="2">
        <f>AVERAGE(B4:F4)</f>
        <v>341.85939999999999</v>
      </c>
      <c r="I4" s="2">
        <f>STDEV(B4:F4)/SQRT(COUNT(B4:F4))</f>
        <v>0.45141606085739377</v>
      </c>
      <c r="K4" t="s">
        <v>1</v>
      </c>
      <c r="L4">
        <v>339.82799999999997</v>
      </c>
      <c r="M4">
        <v>342.55700000000002</v>
      </c>
      <c r="N4">
        <v>340.78699999999998</v>
      </c>
      <c r="O4">
        <v>344.24900000000002</v>
      </c>
      <c r="P4">
        <v>341.71499999999997</v>
      </c>
      <c r="R4" s="3">
        <f>AVERAGE(L4:P4)</f>
        <v>341.8272</v>
      </c>
      <c r="S4" s="3">
        <f>STDEV(L4:P4)/SQRT(COUNT(L4:P4))</f>
        <v>0.75792904681112094</v>
      </c>
    </row>
    <row r="5" spans="1:19" x14ac:dyDescent="0.25">
      <c r="A5" t="s">
        <v>2</v>
      </c>
      <c r="B5">
        <v>75.484999999999999</v>
      </c>
      <c r="C5">
        <v>75.537000000000006</v>
      </c>
      <c r="D5">
        <v>75.200999999999993</v>
      </c>
      <c r="E5">
        <v>75.679000000000002</v>
      </c>
      <c r="F5">
        <v>75.281000000000006</v>
      </c>
      <c r="H5" s="2">
        <f t="shared" ref="H5:H68" si="0">AVERAGE(B5:F5)</f>
        <v>75.436599999999999</v>
      </c>
      <c r="I5" s="2">
        <f t="shared" ref="I5:I68" si="1">STDEV(B5:F5)/SQRT(COUNT(B5:F5))</f>
        <v>8.686172920222214E-2</v>
      </c>
      <c r="K5" t="s">
        <v>2</v>
      </c>
      <c r="L5">
        <v>74.747</v>
      </c>
      <c r="M5">
        <v>75.754999999999995</v>
      </c>
      <c r="N5">
        <v>75.204999999999998</v>
      </c>
      <c r="O5">
        <v>75.498999999999995</v>
      </c>
      <c r="P5">
        <v>75.694999999999993</v>
      </c>
      <c r="R5" s="3">
        <f t="shared" ref="R5:R68" si="2">AVERAGE(L5:P5)</f>
        <v>75.380200000000002</v>
      </c>
      <c r="S5" s="3">
        <f t="shared" ref="S5:S68" si="3">STDEV(L5:P5)/SQRT(COUNT(L5:P5))</f>
        <v>0.18511142590342602</v>
      </c>
    </row>
    <row r="6" spans="1:19" x14ac:dyDescent="0.25">
      <c r="A6" t="s">
        <v>3</v>
      </c>
      <c r="B6">
        <v>34.783999999999999</v>
      </c>
      <c r="C6">
        <v>37.151000000000003</v>
      </c>
      <c r="D6">
        <v>35.564</v>
      </c>
      <c r="E6">
        <v>35.761000000000003</v>
      </c>
      <c r="F6">
        <v>34.768999999999998</v>
      </c>
      <c r="H6" s="2">
        <f t="shared" si="0"/>
        <v>35.605800000000002</v>
      </c>
      <c r="I6" s="2">
        <f t="shared" si="1"/>
        <v>0.43526238063954115</v>
      </c>
      <c r="K6" t="s">
        <v>3</v>
      </c>
      <c r="L6">
        <v>34.886000000000003</v>
      </c>
      <c r="M6">
        <v>36.963999999999999</v>
      </c>
      <c r="N6">
        <v>35.344000000000001</v>
      </c>
      <c r="O6">
        <v>37.704999999999998</v>
      </c>
      <c r="P6">
        <v>35.295000000000002</v>
      </c>
      <c r="R6" s="3">
        <f t="shared" si="2"/>
        <v>36.038800000000002</v>
      </c>
      <c r="S6" s="3">
        <f t="shared" si="3"/>
        <v>0.54759249447011149</v>
      </c>
    </row>
    <row r="7" spans="1:19" x14ac:dyDescent="0.25">
      <c r="A7">
        <v>-3.75</v>
      </c>
      <c r="B7">
        <v>797.726</v>
      </c>
      <c r="C7">
        <v>608.02599999999995</v>
      </c>
      <c r="D7">
        <v>634.86500000000001</v>
      </c>
      <c r="E7">
        <v>695.86099999999999</v>
      </c>
      <c r="F7">
        <v>445.95299999999997</v>
      </c>
      <c r="H7" s="2">
        <f t="shared" si="0"/>
        <v>636.48620000000005</v>
      </c>
      <c r="I7" s="2">
        <f t="shared" si="1"/>
        <v>57.723111296429359</v>
      </c>
      <c r="K7">
        <v>-3.75</v>
      </c>
      <c r="L7">
        <v>469.92200000000003</v>
      </c>
      <c r="M7">
        <v>568.48</v>
      </c>
      <c r="N7">
        <v>502.38200000000001</v>
      </c>
      <c r="O7">
        <v>529.44200000000001</v>
      </c>
      <c r="P7">
        <v>682.471</v>
      </c>
      <c r="R7" s="3">
        <f t="shared" si="2"/>
        <v>550.5394</v>
      </c>
      <c r="S7" s="3">
        <f t="shared" si="3"/>
        <v>36.736366757751114</v>
      </c>
    </row>
    <row r="8" spans="1:19" x14ac:dyDescent="0.25">
      <c r="A8">
        <v>-2.5</v>
      </c>
      <c r="B8">
        <v>1041.3979999999999</v>
      </c>
      <c r="C8">
        <v>850.08600000000001</v>
      </c>
      <c r="D8">
        <v>859.16</v>
      </c>
      <c r="E8">
        <v>988.62800000000004</v>
      </c>
      <c r="F8">
        <v>709.87</v>
      </c>
      <c r="H8" s="2">
        <f t="shared" si="0"/>
        <v>889.82839999999999</v>
      </c>
      <c r="I8" s="2">
        <f t="shared" si="1"/>
        <v>58.154853387830073</v>
      </c>
      <c r="K8">
        <v>-2.5</v>
      </c>
      <c r="L8">
        <v>657.12599999999998</v>
      </c>
      <c r="M8">
        <v>824.33</v>
      </c>
      <c r="N8">
        <v>759.33299999999997</v>
      </c>
      <c r="O8">
        <v>731.83</v>
      </c>
      <c r="P8">
        <v>955.94100000000003</v>
      </c>
      <c r="R8" s="3">
        <f t="shared" si="2"/>
        <v>785.7120000000001</v>
      </c>
      <c r="S8" s="3">
        <f t="shared" si="3"/>
        <v>50.300468847715258</v>
      </c>
    </row>
    <row r="9" spans="1:19" x14ac:dyDescent="0.25">
      <c r="A9">
        <v>-1.25</v>
      </c>
      <c r="B9">
        <v>1721.162</v>
      </c>
      <c r="C9">
        <v>1461.357</v>
      </c>
      <c r="D9">
        <v>1401.7560000000001</v>
      </c>
      <c r="E9">
        <v>1698.9770000000001</v>
      </c>
      <c r="F9">
        <v>1302.396</v>
      </c>
      <c r="H9" s="2">
        <f t="shared" si="0"/>
        <v>1517.1296</v>
      </c>
      <c r="I9" s="2">
        <f t="shared" si="1"/>
        <v>82.834131429381983</v>
      </c>
      <c r="K9">
        <v>-1.25</v>
      </c>
      <c r="L9">
        <v>1119.2360000000001</v>
      </c>
      <c r="M9">
        <v>1452.261</v>
      </c>
      <c r="N9">
        <v>1246.5719999999999</v>
      </c>
      <c r="O9">
        <v>1283.2860000000001</v>
      </c>
      <c r="P9">
        <v>1624.58</v>
      </c>
      <c r="R9" s="3">
        <f t="shared" si="2"/>
        <v>1345.1870000000001</v>
      </c>
      <c r="S9" s="3">
        <f t="shared" si="3"/>
        <v>87.788323925223409</v>
      </c>
    </row>
    <row r="10" spans="1:19" x14ac:dyDescent="0.25">
      <c r="A10">
        <v>0</v>
      </c>
      <c r="B10">
        <v>2689.415</v>
      </c>
      <c r="C10">
        <v>2288.8609999999999</v>
      </c>
      <c r="D10">
        <v>2129.3240000000001</v>
      </c>
      <c r="E10">
        <v>2547.6439999999998</v>
      </c>
      <c r="F10">
        <v>2171.11</v>
      </c>
      <c r="H10" s="2">
        <f t="shared" si="0"/>
        <v>2365.2708000000002</v>
      </c>
      <c r="I10" s="2">
        <f t="shared" si="1"/>
        <v>108.98101043181785</v>
      </c>
      <c r="K10">
        <v>0</v>
      </c>
      <c r="L10">
        <v>1711.1369999999999</v>
      </c>
      <c r="M10">
        <v>2293.7510000000002</v>
      </c>
      <c r="N10">
        <v>1899.511</v>
      </c>
      <c r="O10">
        <v>2044.3620000000001</v>
      </c>
      <c r="P10">
        <v>2474.9769999999999</v>
      </c>
      <c r="R10" s="3">
        <f t="shared" si="2"/>
        <v>2084.7475999999997</v>
      </c>
      <c r="S10" s="3">
        <f t="shared" si="3"/>
        <v>136.28827552933583</v>
      </c>
    </row>
    <row r="11" spans="1:19" x14ac:dyDescent="0.25">
      <c r="A11">
        <v>1.25</v>
      </c>
      <c r="B11">
        <v>3508.9050000000002</v>
      </c>
      <c r="C11">
        <v>3175.1709999999998</v>
      </c>
      <c r="D11">
        <v>2952.7489999999998</v>
      </c>
      <c r="E11">
        <v>3498.6019999999999</v>
      </c>
      <c r="F11">
        <v>3051.8429999999998</v>
      </c>
      <c r="H11" s="2">
        <f t="shared" si="0"/>
        <v>3237.4540000000002</v>
      </c>
      <c r="I11" s="2">
        <f t="shared" si="1"/>
        <v>114.29599199884487</v>
      </c>
      <c r="K11">
        <v>1.25</v>
      </c>
      <c r="L11">
        <v>2379.739</v>
      </c>
      <c r="M11">
        <v>3188.3649999999998</v>
      </c>
      <c r="N11">
        <v>2609.2649999999999</v>
      </c>
      <c r="O11">
        <v>2907.2950000000001</v>
      </c>
      <c r="P11">
        <v>3369.7660000000001</v>
      </c>
      <c r="R11" s="3">
        <f t="shared" si="2"/>
        <v>2890.8859999999995</v>
      </c>
      <c r="S11" s="3">
        <f t="shared" si="3"/>
        <v>181.47599130077947</v>
      </c>
    </row>
    <row r="12" spans="1:19" x14ac:dyDescent="0.25">
      <c r="A12">
        <v>2.5</v>
      </c>
      <c r="B12">
        <v>3978.4740000000002</v>
      </c>
      <c r="C12">
        <v>3695.1280000000002</v>
      </c>
      <c r="D12">
        <v>3464.7089999999998</v>
      </c>
      <c r="E12">
        <v>4024.8359999999998</v>
      </c>
      <c r="F12">
        <v>3524.4169999999999</v>
      </c>
      <c r="H12" s="2">
        <f t="shared" si="0"/>
        <v>3737.5128000000004</v>
      </c>
      <c r="I12" s="2">
        <f t="shared" si="1"/>
        <v>114.50876073619871</v>
      </c>
      <c r="K12">
        <v>2.5</v>
      </c>
      <c r="L12">
        <v>2799.8139999999999</v>
      </c>
      <c r="M12">
        <v>3718.0619999999999</v>
      </c>
      <c r="N12">
        <v>3047.5770000000002</v>
      </c>
      <c r="O12">
        <v>3308.0659999999998</v>
      </c>
      <c r="P12">
        <v>3885.9560000000001</v>
      </c>
      <c r="R12" s="3">
        <f t="shared" si="2"/>
        <v>3351.8949999999995</v>
      </c>
      <c r="S12" s="3">
        <f t="shared" si="3"/>
        <v>202.3145175878403</v>
      </c>
    </row>
    <row r="13" spans="1:19" x14ac:dyDescent="0.25">
      <c r="A13">
        <v>3.75</v>
      </c>
      <c r="B13">
        <v>4083.7550000000001</v>
      </c>
      <c r="C13">
        <v>3848.299</v>
      </c>
      <c r="D13">
        <v>3698.0970000000002</v>
      </c>
      <c r="E13">
        <v>4231.1239999999998</v>
      </c>
      <c r="F13">
        <v>3505.4070000000002</v>
      </c>
      <c r="H13" s="2">
        <f t="shared" si="0"/>
        <v>3873.3364000000001</v>
      </c>
      <c r="I13" s="2">
        <f t="shared" si="1"/>
        <v>130.19134303693156</v>
      </c>
      <c r="K13">
        <v>3.75</v>
      </c>
      <c r="L13">
        <v>2980.39</v>
      </c>
      <c r="M13">
        <v>3779.0010000000002</v>
      </c>
      <c r="N13">
        <v>3242.3209999999999</v>
      </c>
      <c r="O13">
        <v>3290.6579999999999</v>
      </c>
      <c r="P13">
        <v>4105.8639999999996</v>
      </c>
      <c r="R13" s="3">
        <f t="shared" si="2"/>
        <v>3479.6467999999995</v>
      </c>
      <c r="S13" s="3">
        <f t="shared" si="3"/>
        <v>202.86184619721166</v>
      </c>
    </row>
    <row r="14" spans="1:19" x14ac:dyDescent="0.25">
      <c r="A14">
        <v>5</v>
      </c>
      <c r="B14">
        <v>4115.17</v>
      </c>
      <c r="C14">
        <v>3868.174</v>
      </c>
      <c r="D14">
        <v>3798.0540000000001</v>
      </c>
      <c r="E14">
        <v>4291.5110000000004</v>
      </c>
      <c r="F14">
        <v>3313.53</v>
      </c>
      <c r="H14" s="2">
        <f t="shared" si="0"/>
        <v>3877.2878000000005</v>
      </c>
      <c r="I14" s="2">
        <f t="shared" si="1"/>
        <v>166.18554599735805</v>
      </c>
      <c r="K14">
        <v>5</v>
      </c>
      <c r="L14">
        <v>3038.6379999999999</v>
      </c>
      <c r="M14">
        <v>3696.194</v>
      </c>
      <c r="N14">
        <v>3325.1619999999998</v>
      </c>
      <c r="O14">
        <v>3227.7719999999999</v>
      </c>
      <c r="P14">
        <v>4149.2910000000002</v>
      </c>
      <c r="R14" s="3">
        <f t="shared" si="2"/>
        <v>3487.4114</v>
      </c>
      <c r="S14" s="3">
        <f t="shared" si="3"/>
        <v>197.07991137343043</v>
      </c>
    </row>
    <row r="15" spans="1:19" x14ac:dyDescent="0.25">
      <c r="A15">
        <v>6.25</v>
      </c>
      <c r="B15">
        <v>4018.2190000000001</v>
      </c>
      <c r="C15">
        <v>3850.7350000000001</v>
      </c>
      <c r="D15">
        <v>3843.6439999999998</v>
      </c>
      <c r="E15">
        <v>4331.8549999999996</v>
      </c>
      <c r="F15">
        <v>3141.605</v>
      </c>
      <c r="H15" s="2">
        <f t="shared" si="0"/>
        <v>3837.2116000000001</v>
      </c>
      <c r="I15" s="2">
        <f t="shared" si="1"/>
        <v>195.13182366020911</v>
      </c>
      <c r="K15">
        <v>6.25</v>
      </c>
      <c r="L15">
        <v>3047.3310000000001</v>
      </c>
      <c r="M15">
        <v>3662.7809999999999</v>
      </c>
      <c r="N15">
        <v>3367.07</v>
      </c>
      <c r="O15">
        <v>3241.0929999999998</v>
      </c>
      <c r="P15">
        <v>4202.1440000000002</v>
      </c>
      <c r="R15" s="3">
        <f t="shared" si="2"/>
        <v>3504.0838000000003</v>
      </c>
      <c r="S15" s="3">
        <f t="shared" si="3"/>
        <v>201.12594396233229</v>
      </c>
    </row>
    <row r="16" spans="1:19" x14ac:dyDescent="0.25">
      <c r="A16">
        <v>7.5</v>
      </c>
      <c r="B16">
        <v>3897.1039999999998</v>
      </c>
      <c r="C16">
        <v>3827.1729999999998</v>
      </c>
      <c r="D16">
        <v>3801.556</v>
      </c>
      <c r="E16">
        <v>4261.4080000000004</v>
      </c>
      <c r="F16">
        <v>2985.6619999999998</v>
      </c>
      <c r="H16" s="2">
        <f t="shared" si="0"/>
        <v>3754.5806000000002</v>
      </c>
      <c r="I16" s="2">
        <f t="shared" si="1"/>
        <v>209.27244098389897</v>
      </c>
      <c r="K16">
        <v>7.5</v>
      </c>
      <c r="L16">
        <v>3025.0749999999998</v>
      </c>
      <c r="M16">
        <v>3617.1550000000002</v>
      </c>
      <c r="N16">
        <v>3341.24</v>
      </c>
      <c r="O16">
        <v>3205.5140000000001</v>
      </c>
      <c r="P16">
        <v>4162.3760000000002</v>
      </c>
      <c r="R16" s="3">
        <f t="shared" si="2"/>
        <v>3470.2719999999999</v>
      </c>
      <c r="S16" s="3">
        <f t="shared" si="3"/>
        <v>198.18286844502964</v>
      </c>
    </row>
    <row r="17" spans="1:19" x14ac:dyDescent="0.25">
      <c r="A17">
        <v>8.75</v>
      </c>
      <c r="B17">
        <v>3618.3919999999998</v>
      </c>
      <c r="C17">
        <v>3637.1</v>
      </c>
      <c r="D17">
        <v>3591.53</v>
      </c>
      <c r="E17">
        <v>3990.1260000000002</v>
      </c>
      <c r="F17">
        <v>2869.1089999999999</v>
      </c>
      <c r="H17" s="2">
        <f t="shared" si="0"/>
        <v>3541.2514000000001</v>
      </c>
      <c r="I17" s="2">
        <f t="shared" si="1"/>
        <v>183.15695131651404</v>
      </c>
      <c r="K17">
        <v>8.75</v>
      </c>
      <c r="L17">
        <v>2900.5050000000001</v>
      </c>
      <c r="M17">
        <v>3476.9009999999998</v>
      </c>
      <c r="N17">
        <v>3164.6750000000002</v>
      </c>
      <c r="O17">
        <v>2992.2429999999999</v>
      </c>
      <c r="P17">
        <v>3861.788</v>
      </c>
      <c r="R17" s="3">
        <f t="shared" si="2"/>
        <v>3279.2224000000001</v>
      </c>
      <c r="S17" s="3">
        <f t="shared" si="3"/>
        <v>175.69357687963333</v>
      </c>
    </row>
    <row r="18" spans="1:19" x14ac:dyDescent="0.25">
      <c r="A18">
        <v>10</v>
      </c>
      <c r="B18">
        <v>3099.7570000000001</v>
      </c>
      <c r="C18">
        <v>3201.5709999999999</v>
      </c>
      <c r="D18">
        <v>3137.6619999999998</v>
      </c>
      <c r="E18">
        <v>3392.672</v>
      </c>
      <c r="F18">
        <v>2659.0540000000001</v>
      </c>
      <c r="H18" s="2">
        <f t="shared" si="0"/>
        <v>3098.1432</v>
      </c>
      <c r="I18" s="2">
        <f t="shared" si="1"/>
        <v>120.79076730089925</v>
      </c>
      <c r="K18">
        <v>10</v>
      </c>
      <c r="L18">
        <v>2609.1680000000001</v>
      </c>
      <c r="M18">
        <v>3101.0340000000001</v>
      </c>
      <c r="N18">
        <v>2711.2660000000001</v>
      </c>
      <c r="O18">
        <v>2551.096</v>
      </c>
      <c r="P18">
        <v>3304.5160000000001</v>
      </c>
      <c r="R18" s="3">
        <f t="shared" si="2"/>
        <v>2855.4160000000002</v>
      </c>
      <c r="S18" s="3">
        <f t="shared" si="3"/>
        <v>147.65618414546742</v>
      </c>
    </row>
    <row r="19" spans="1:19" x14ac:dyDescent="0.25">
      <c r="A19">
        <v>11.25</v>
      </c>
      <c r="B19">
        <v>2656.0410000000002</v>
      </c>
      <c r="C19">
        <v>2792.9679999999998</v>
      </c>
      <c r="D19">
        <v>2736.636</v>
      </c>
      <c r="E19">
        <v>2951.75</v>
      </c>
      <c r="F19">
        <v>2373.11</v>
      </c>
      <c r="H19" s="2">
        <f t="shared" si="0"/>
        <v>2702.1010000000001</v>
      </c>
      <c r="I19" s="2">
        <f t="shared" si="1"/>
        <v>95.428167433939507</v>
      </c>
      <c r="K19">
        <v>11.25</v>
      </c>
      <c r="L19">
        <v>2280.1999999999998</v>
      </c>
      <c r="M19">
        <v>2684.232</v>
      </c>
      <c r="N19">
        <v>2349.1799999999998</v>
      </c>
      <c r="O19">
        <v>2203.0700000000002</v>
      </c>
      <c r="P19">
        <v>2852.1460000000002</v>
      </c>
      <c r="R19" s="3">
        <f t="shared" si="2"/>
        <v>2473.7655999999997</v>
      </c>
      <c r="S19" s="3">
        <f t="shared" si="3"/>
        <v>125.24638791661869</v>
      </c>
    </row>
    <row r="20" spans="1:19" x14ac:dyDescent="0.25">
      <c r="A20">
        <v>12.5</v>
      </c>
      <c r="B20">
        <v>2426.761</v>
      </c>
      <c r="C20">
        <v>2479.4870000000001</v>
      </c>
      <c r="D20">
        <v>2525.922</v>
      </c>
      <c r="E20">
        <v>2738.5810000000001</v>
      </c>
      <c r="F20">
        <v>2057.848</v>
      </c>
      <c r="H20" s="2">
        <f t="shared" si="0"/>
        <v>2445.7197999999999</v>
      </c>
      <c r="I20" s="2">
        <f t="shared" si="1"/>
        <v>110.48625898246354</v>
      </c>
      <c r="K20">
        <v>12.5</v>
      </c>
      <c r="L20">
        <v>2071.7429999999999</v>
      </c>
      <c r="M20">
        <v>2396.232</v>
      </c>
      <c r="N20">
        <v>2172.5680000000002</v>
      </c>
      <c r="O20">
        <v>1990.1969999999999</v>
      </c>
      <c r="P20">
        <v>2654.49</v>
      </c>
      <c r="R20" s="3">
        <f t="shared" si="2"/>
        <v>2257.0459999999998</v>
      </c>
      <c r="S20" s="3">
        <f t="shared" si="3"/>
        <v>120.41939188228751</v>
      </c>
    </row>
    <row r="21" spans="1:19" x14ac:dyDescent="0.25">
      <c r="A21">
        <v>13.75</v>
      </c>
      <c r="B21">
        <v>2353.2629999999999</v>
      </c>
      <c r="C21">
        <v>2340.5940000000001</v>
      </c>
      <c r="D21">
        <v>2427.9459999999999</v>
      </c>
      <c r="E21">
        <v>2665.5070000000001</v>
      </c>
      <c r="F21">
        <v>1832.4849999999999</v>
      </c>
      <c r="H21" s="2">
        <f t="shared" si="0"/>
        <v>2323.9589999999998</v>
      </c>
      <c r="I21" s="2">
        <f t="shared" si="1"/>
        <v>136.04235972482829</v>
      </c>
      <c r="K21">
        <v>13.75</v>
      </c>
      <c r="L21">
        <v>1967.7819999999999</v>
      </c>
      <c r="M21">
        <v>2221.88</v>
      </c>
      <c r="N21">
        <v>2103.7809999999999</v>
      </c>
      <c r="O21">
        <v>1932.296</v>
      </c>
      <c r="P21">
        <v>2573.7730000000001</v>
      </c>
      <c r="R21" s="3">
        <f t="shared" si="2"/>
        <v>2159.9023999999999</v>
      </c>
      <c r="S21" s="3">
        <f t="shared" si="3"/>
        <v>115.54103803437265</v>
      </c>
    </row>
    <row r="22" spans="1:19" x14ac:dyDescent="0.25">
      <c r="A22">
        <v>15</v>
      </c>
      <c r="B22">
        <v>2336.357</v>
      </c>
      <c r="C22">
        <v>2295.3229999999999</v>
      </c>
      <c r="D22">
        <v>2406.0509999999999</v>
      </c>
      <c r="E22">
        <v>2641.4360000000001</v>
      </c>
      <c r="F22">
        <v>1709.79</v>
      </c>
      <c r="H22" s="2">
        <f t="shared" si="0"/>
        <v>2277.7913999999996</v>
      </c>
      <c r="I22" s="2">
        <f t="shared" si="1"/>
        <v>154.11859021630104</v>
      </c>
      <c r="K22">
        <v>15</v>
      </c>
      <c r="L22">
        <v>1929.0119999999999</v>
      </c>
      <c r="M22">
        <v>2146.5030000000002</v>
      </c>
      <c r="N22">
        <v>2090.11</v>
      </c>
      <c r="O22">
        <v>1922.684</v>
      </c>
      <c r="P22">
        <v>2539.248</v>
      </c>
      <c r="R22" s="3">
        <f t="shared" si="2"/>
        <v>2125.5114000000003</v>
      </c>
      <c r="S22" s="3">
        <f t="shared" si="3"/>
        <v>112.38835548294078</v>
      </c>
    </row>
    <row r="23" spans="1:19" x14ac:dyDescent="0.25">
      <c r="A23">
        <v>16.25</v>
      </c>
      <c r="B23">
        <v>2347.2289999999998</v>
      </c>
      <c r="C23">
        <v>2286.2869999999998</v>
      </c>
      <c r="D23">
        <v>2394.6999999999998</v>
      </c>
      <c r="E23">
        <v>2637.6979999999999</v>
      </c>
      <c r="F23">
        <v>1660.89</v>
      </c>
      <c r="H23" s="2">
        <f t="shared" si="0"/>
        <v>2265.3607999999995</v>
      </c>
      <c r="I23" s="2">
        <f t="shared" si="1"/>
        <v>162.46366905108417</v>
      </c>
      <c r="K23">
        <v>16.25</v>
      </c>
      <c r="L23">
        <v>1911.0319999999999</v>
      </c>
      <c r="M23">
        <v>2126.0120000000002</v>
      </c>
      <c r="N23">
        <v>2092.9560000000001</v>
      </c>
      <c r="O23">
        <v>1941.19</v>
      </c>
      <c r="P23">
        <v>2524.375</v>
      </c>
      <c r="R23" s="3">
        <f t="shared" si="2"/>
        <v>2119.1130000000003</v>
      </c>
      <c r="S23" s="3">
        <f t="shared" si="3"/>
        <v>109.52702177636368</v>
      </c>
    </row>
    <row r="24" spans="1:19" x14ac:dyDescent="0.25">
      <c r="A24">
        <v>17.5</v>
      </c>
      <c r="B24">
        <v>2370.9679999999998</v>
      </c>
      <c r="C24">
        <v>2294.3440000000001</v>
      </c>
      <c r="D24">
        <v>2388.33</v>
      </c>
      <c r="E24">
        <v>2655.2020000000002</v>
      </c>
      <c r="F24">
        <v>1654.8510000000001</v>
      </c>
      <c r="H24" s="2">
        <f t="shared" si="0"/>
        <v>2272.7390000000005</v>
      </c>
      <c r="I24" s="2">
        <f t="shared" si="1"/>
        <v>166.06331904728296</v>
      </c>
      <c r="K24">
        <v>17.5</v>
      </c>
      <c r="L24">
        <v>1905.645</v>
      </c>
      <c r="M24">
        <v>2126.3539999999998</v>
      </c>
      <c r="N24">
        <v>2102.4290000000001</v>
      </c>
      <c r="O24">
        <v>1961.7329999999999</v>
      </c>
      <c r="P24">
        <v>2536.8449999999998</v>
      </c>
      <c r="R24" s="3">
        <f t="shared" si="2"/>
        <v>2126.6012000000001</v>
      </c>
      <c r="S24" s="3">
        <f t="shared" si="3"/>
        <v>110.65430346100428</v>
      </c>
    </row>
    <row r="25" spans="1:19" x14ac:dyDescent="0.25">
      <c r="A25">
        <v>18.75</v>
      </c>
      <c r="B25">
        <v>2377.1320000000001</v>
      </c>
      <c r="C25">
        <v>2304.3510000000001</v>
      </c>
      <c r="D25">
        <v>2400.0520000000001</v>
      </c>
      <c r="E25">
        <v>2672.395</v>
      </c>
      <c r="F25">
        <v>1668.3589999999999</v>
      </c>
      <c r="H25" s="2">
        <f t="shared" si="0"/>
        <v>2284.4578000000001</v>
      </c>
      <c r="I25" s="2">
        <f t="shared" si="1"/>
        <v>166.19555775212487</v>
      </c>
      <c r="K25">
        <v>18.75</v>
      </c>
      <c r="L25">
        <v>1915.854</v>
      </c>
      <c r="M25">
        <v>2117.3420000000001</v>
      </c>
      <c r="N25">
        <v>2116.953</v>
      </c>
      <c r="O25">
        <v>1960.7159999999999</v>
      </c>
      <c r="P25">
        <v>2548.1979999999999</v>
      </c>
      <c r="R25" s="3">
        <f t="shared" si="2"/>
        <v>2131.8126000000002</v>
      </c>
      <c r="S25" s="3">
        <f t="shared" si="3"/>
        <v>111.74058590216897</v>
      </c>
    </row>
    <row r="26" spans="1:19" x14ac:dyDescent="0.25">
      <c r="A26">
        <v>20</v>
      </c>
      <c r="B26">
        <v>2374.518</v>
      </c>
      <c r="C26">
        <v>2308.7649999999999</v>
      </c>
      <c r="D26">
        <v>2400.7310000000002</v>
      </c>
      <c r="E26">
        <v>2678.3989999999999</v>
      </c>
      <c r="F26">
        <v>1672.008</v>
      </c>
      <c r="H26" s="2">
        <f t="shared" si="0"/>
        <v>2286.8841999999995</v>
      </c>
      <c r="I26" s="2">
        <f t="shared" si="1"/>
        <v>166.20411037739217</v>
      </c>
      <c r="K26">
        <v>20</v>
      </c>
      <c r="L26">
        <v>1924.12</v>
      </c>
      <c r="M26">
        <v>2111.0070000000001</v>
      </c>
      <c r="N26">
        <v>2128.6950000000002</v>
      </c>
      <c r="O26">
        <v>1963.8330000000001</v>
      </c>
      <c r="P26">
        <v>2543.4209999999998</v>
      </c>
      <c r="R26" s="3">
        <f t="shared" si="2"/>
        <v>2134.2152000000001</v>
      </c>
      <c r="S26" s="3">
        <f t="shared" si="3"/>
        <v>109.81542857194503</v>
      </c>
    </row>
    <row r="27" spans="1:19" x14ac:dyDescent="0.25">
      <c r="A27">
        <v>21.25</v>
      </c>
      <c r="B27">
        <v>2371.0819999999999</v>
      </c>
      <c r="C27">
        <v>2308.268</v>
      </c>
      <c r="D27">
        <v>2392.424</v>
      </c>
      <c r="E27">
        <v>2679.2579999999998</v>
      </c>
      <c r="F27">
        <v>1667.5440000000001</v>
      </c>
      <c r="H27" s="2">
        <f t="shared" si="0"/>
        <v>2283.7151999999996</v>
      </c>
      <c r="I27" s="2">
        <f t="shared" si="1"/>
        <v>166.75947578305767</v>
      </c>
      <c r="K27">
        <v>21.25</v>
      </c>
      <c r="L27">
        <v>1937.2349999999999</v>
      </c>
      <c r="M27">
        <v>2122.3649999999998</v>
      </c>
      <c r="N27">
        <v>2141.5529999999999</v>
      </c>
      <c r="O27">
        <v>1964.1559999999999</v>
      </c>
      <c r="P27">
        <v>2547.886</v>
      </c>
      <c r="R27" s="3">
        <f t="shared" si="2"/>
        <v>2142.6390000000001</v>
      </c>
      <c r="S27" s="3">
        <f t="shared" si="3"/>
        <v>109.24383964004528</v>
      </c>
    </row>
    <row r="28" spans="1:19" x14ac:dyDescent="0.25">
      <c r="A28">
        <v>22.5</v>
      </c>
      <c r="B28">
        <v>2372.1770000000001</v>
      </c>
      <c r="C28">
        <v>2303.4450000000002</v>
      </c>
      <c r="D28">
        <v>2400.1750000000002</v>
      </c>
      <c r="E28">
        <v>2702.5569999999998</v>
      </c>
      <c r="F28">
        <v>1671.1289999999999</v>
      </c>
      <c r="H28" s="2">
        <f t="shared" si="0"/>
        <v>2289.8966</v>
      </c>
      <c r="I28" s="2">
        <f t="shared" si="1"/>
        <v>169.15627351818753</v>
      </c>
      <c r="K28">
        <v>22.5</v>
      </c>
      <c r="L28">
        <v>1954.153</v>
      </c>
      <c r="M28">
        <v>2140.2579999999998</v>
      </c>
      <c r="N28">
        <v>2155.826</v>
      </c>
      <c r="O28">
        <v>1956.078</v>
      </c>
      <c r="P28">
        <v>2581.3159999999998</v>
      </c>
      <c r="R28" s="3">
        <f t="shared" si="2"/>
        <v>2157.5262000000002</v>
      </c>
      <c r="S28" s="3">
        <f t="shared" si="3"/>
        <v>114.42047713516824</v>
      </c>
    </row>
    <row r="29" spans="1:19" x14ac:dyDescent="0.25">
      <c r="A29">
        <v>23.75</v>
      </c>
      <c r="B29">
        <v>2378.9259999999999</v>
      </c>
      <c r="C29">
        <v>2318.3629999999998</v>
      </c>
      <c r="D29">
        <v>2418.5720000000001</v>
      </c>
      <c r="E29">
        <v>2725.1179999999999</v>
      </c>
      <c r="F29">
        <v>1670.6130000000001</v>
      </c>
      <c r="H29" s="2">
        <f t="shared" si="0"/>
        <v>2302.3183999999997</v>
      </c>
      <c r="I29" s="2">
        <f t="shared" si="1"/>
        <v>172.83695600611622</v>
      </c>
      <c r="K29">
        <v>23.75</v>
      </c>
      <c r="L29">
        <v>1984.2940000000001</v>
      </c>
      <c r="M29">
        <v>2159.59</v>
      </c>
      <c r="N29">
        <v>2176.5169999999998</v>
      </c>
      <c r="O29">
        <v>1958.4459999999999</v>
      </c>
      <c r="P29">
        <v>2605.4839999999999</v>
      </c>
      <c r="R29" s="3">
        <f t="shared" si="2"/>
        <v>2176.8661999999999</v>
      </c>
      <c r="S29" s="3">
        <f t="shared" si="3"/>
        <v>115.93171341026472</v>
      </c>
    </row>
    <row r="30" spans="1:19" x14ac:dyDescent="0.25">
      <c r="A30">
        <v>25</v>
      </c>
      <c r="B30">
        <v>2385.9659999999999</v>
      </c>
      <c r="C30">
        <v>2348.5050000000001</v>
      </c>
      <c r="D30">
        <v>2452.2759999999998</v>
      </c>
      <c r="E30">
        <v>2758.681</v>
      </c>
      <c r="F30">
        <v>1681.558</v>
      </c>
      <c r="H30" s="2">
        <f t="shared" si="0"/>
        <v>2325.3972000000003</v>
      </c>
      <c r="I30" s="2">
        <f t="shared" si="1"/>
        <v>176.43193399194988</v>
      </c>
      <c r="K30">
        <v>25</v>
      </c>
      <c r="L30">
        <v>2018.6379999999999</v>
      </c>
      <c r="M30">
        <v>2179.085</v>
      </c>
      <c r="N30">
        <v>2210.143</v>
      </c>
      <c r="O30">
        <v>1973.373</v>
      </c>
      <c r="P30">
        <v>2620.1790000000001</v>
      </c>
      <c r="R30" s="3">
        <f t="shared" si="2"/>
        <v>2200.2835999999998</v>
      </c>
      <c r="S30" s="3">
        <f t="shared" si="3"/>
        <v>114.31147793270767</v>
      </c>
    </row>
    <row r="31" spans="1:19" x14ac:dyDescent="0.25">
      <c r="A31">
        <v>26.25</v>
      </c>
      <c r="B31">
        <v>2393.3739999999998</v>
      </c>
      <c r="C31">
        <v>2383.8910000000001</v>
      </c>
      <c r="D31">
        <v>2461.116</v>
      </c>
      <c r="E31">
        <v>2782.6959999999999</v>
      </c>
      <c r="F31">
        <v>1712.5930000000001</v>
      </c>
      <c r="H31" s="2">
        <f t="shared" si="0"/>
        <v>2346.7339999999999</v>
      </c>
      <c r="I31" s="2">
        <f t="shared" si="1"/>
        <v>174.47590772052163</v>
      </c>
      <c r="K31">
        <v>26.25</v>
      </c>
      <c r="L31">
        <v>2036.452</v>
      </c>
      <c r="M31">
        <v>2190.2800000000002</v>
      </c>
      <c r="N31">
        <v>2229.5590000000002</v>
      </c>
      <c r="O31">
        <v>1995.088</v>
      </c>
      <c r="P31">
        <v>2614.8589999999999</v>
      </c>
      <c r="R31" s="3">
        <f t="shared" si="2"/>
        <v>2213.2476000000001</v>
      </c>
      <c r="S31" s="3">
        <f t="shared" si="3"/>
        <v>109.75782074212296</v>
      </c>
    </row>
    <row r="32" spans="1:19" x14ac:dyDescent="0.25">
      <c r="A32">
        <v>27.5</v>
      </c>
      <c r="B32">
        <v>2422.0729999999999</v>
      </c>
      <c r="C32">
        <v>2395.527</v>
      </c>
      <c r="D32">
        <v>2459.4960000000001</v>
      </c>
      <c r="E32">
        <v>2788.89</v>
      </c>
      <c r="F32">
        <v>1744.223</v>
      </c>
      <c r="H32" s="2">
        <f t="shared" si="0"/>
        <v>2362.0418</v>
      </c>
      <c r="I32" s="2">
        <f t="shared" si="1"/>
        <v>170.01790790484355</v>
      </c>
      <c r="K32">
        <v>27.5</v>
      </c>
      <c r="L32">
        <v>2036.9749999999999</v>
      </c>
      <c r="M32">
        <v>2188.6909999999998</v>
      </c>
      <c r="N32">
        <v>2229.962</v>
      </c>
      <c r="O32">
        <v>2010.825</v>
      </c>
      <c r="P32">
        <v>2608.8029999999999</v>
      </c>
      <c r="R32" s="3">
        <f t="shared" si="2"/>
        <v>2215.0511999999999</v>
      </c>
      <c r="S32" s="3">
        <f t="shared" si="3"/>
        <v>107.09275089304596</v>
      </c>
    </row>
    <row r="33" spans="1:19" x14ac:dyDescent="0.25">
      <c r="A33">
        <v>28.75</v>
      </c>
      <c r="B33">
        <v>2453.259</v>
      </c>
      <c r="C33">
        <v>2395.616</v>
      </c>
      <c r="D33">
        <v>2460.1660000000002</v>
      </c>
      <c r="E33">
        <v>2786.2449999999999</v>
      </c>
      <c r="F33">
        <v>1748.4459999999999</v>
      </c>
      <c r="H33" s="2">
        <f t="shared" si="0"/>
        <v>2368.7464</v>
      </c>
      <c r="I33" s="2">
        <f t="shared" si="1"/>
        <v>169.60241234563821</v>
      </c>
      <c r="K33">
        <v>28.75</v>
      </c>
      <c r="L33">
        <v>2037.2270000000001</v>
      </c>
      <c r="M33">
        <v>2186.6550000000002</v>
      </c>
      <c r="N33">
        <v>2231.7089999999998</v>
      </c>
      <c r="O33">
        <v>2011.279</v>
      </c>
      <c r="P33">
        <v>2625.1080000000002</v>
      </c>
      <c r="R33" s="3">
        <f t="shared" si="2"/>
        <v>2218.3956000000003</v>
      </c>
      <c r="S33" s="3">
        <f t="shared" si="3"/>
        <v>110.07248435535561</v>
      </c>
    </row>
    <row r="34" spans="1:19" x14ac:dyDescent="0.25">
      <c r="A34">
        <v>30</v>
      </c>
      <c r="B34">
        <v>2478.5479999999998</v>
      </c>
      <c r="C34">
        <v>2411.4839999999999</v>
      </c>
      <c r="D34">
        <v>2476.3020000000001</v>
      </c>
      <c r="E34">
        <v>2804.4870000000001</v>
      </c>
      <c r="F34">
        <v>1753.903</v>
      </c>
      <c r="H34" s="2">
        <f t="shared" si="0"/>
        <v>2384.9448000000002</v>
      </c>
      <c r="I34" s="2">
        <f t="shared" si="1"/>
        <v>172.05252644276968</v>
      </c>
      <c r="K34">
        <v>30</v>
      </c>
      <c r="L34">
        <v>2043.2919999999999</v>
      </c>
      <c r="M34">
        <v>2198.4740000000002</v>
      </c>
      <c r="N34">
        <v>2243.6149999999998</v>
      </c>
      <c r="O34">
        <v>2022.6880000000001</v>
      </c>
      <c r="P34">
        <v>2648.7310000000002</v>
      </c>
      <c r="R34" s="3">
        <f t="shared" si="2"/>
        <v>2231.3599999999997</v>
      </c>
      <c r="S34" s="3">
        <f t="shared" si="3"/>
        <v>112.7705196117326</v>
      </c>
    </row>
    <row r="35" spans="1:19" x14ac:dyDescent="0.25">
      <c r="A35">
        <v>31.25</v>
      </c>
      <c r="B35">
        <v>2487.5</v>
      </c>
      <c r="C35">
        <v>2427.87</v>
      </c>
      <c r="D35">
        <v>2486.6179999999999</v>
      </c>
      <c r="E35">
        <v>2820.53</v>
      </c>
      <c r="F35">
        <v>1767.5719999999999</v>
      </c>
      <c r="H35" s="2">
        <f t="shared" si="0"/>
        <v>2398.018</v>
      </c>
      <c r="I35" s="2">
        <f t="shared" si="1"/>
        <v>172.15206639596283</v>
      </c>
      <c r="K35">
        <v>31.25</v>
      </c>
      <c r="L35">
        <v>2055.1680000000001</v>
      </c>
      <c r="M35">
        <v>2203.9209999999998</v>
      </c>
      <c r="N35">
        <v>2249.5990000000002</v>
      </c>
      <c r="O35">
        <v>2026.34</v>
      </c>
      <c r="P35">
        <v>2662.6390000000001</v>
      </c>
      <c r="R35" s="3">
        <f t="shared" si="2"/>
        <v>2239.5334000000003</v>
      </c>
      <c r="S35" s="3">
        <f t="shared" si="3"/>
        <v>113.9802471065038</v>
      </c>
    </row>
    <row r="36" spans="1:19" x14ac:dyDescent="0.25">
      <c r="A36">
        <v>32.5</v>
      </c>
      <c r="B36">
        <v>2473.5369999999998</v>
      </c>
      <c r="C36">
        <v>2405.0120000000002</v>
      </c>
      <c r="D36">
        <v>2456.4830000000002</v>
      </c>
      <c r="E36">
        <v>2812.0909999999999</v>
      </c>
      <c r="F36">
        <v>1750.2049999999999</v>
      </c>
      <c r="H36" s="2">
        <f t="shared" si="0"/>
        <v>2379.4656</v>
      </c>
      <c r="I36" s="2">
        <f t="shared" si="1"/>
        <v>172.99817429545385</v>
      </c>
      <c r="K36">
        <v>32.5</v>
      </c>
      <c r="L36">
        <v>2064.0810000000001</v>
      </c>
      <c r="M36">
        <v>2183.81</v>
      </c>
      <c r="N36">
        <v>2249.181</v>
      </c>
      <c r="O36">
        <v>2018.0450000000001</v>
      </c>
      <c r="P36">
        <v>2655.6190000000001</v>
      </c>
      <c r="R36" s="3">
        <f t="shared" si="2"/>
        <v>2234.1472000000003</v>
      </c>
      <c r="S36" s="3">
        <f t="shared" si="3"/>
        <v>113.14172534233299</v>
      </c>
    </row>
    <row r="37" spans="1:19" x14ac:dyDescent="0.25">
      <c r="A37">
        <v>33.75</v>
      </c>
      <c r="B37">
        <v>2457.6350000000002</v>
      </c>
      <c r="C37">
        <v>2400.0740000000001</v>
      </c>
      <c r="D37">
        <v>2427.8249999999998</v>
      </c>
      <c r="E37">
        <v>2795.3290000000002</v>
      </c>
      <c r="F37">
        <v>1736.23</v>
      </c>
      <c r="H37" s="2">
        <f t="shared" si="0"/>
        <v>2363.4186</v>
      </c>
      <c r="I37" s="2">
        <f t="shared" si="1"/>
        <v>172.37758936955805</v>
      </c>
      <c r="K37">
        <v>33.75</v>
      </c>
      <c r="L37">
        <v>2068.0410000000002</v>
      </c>
      <c r="M37">
        <v>2173.8159999999998</v>
      </c>
      <c r="N37">
        <v>2258.0059999999999</v>
      </c>
      <c r="O37">
        <v>2013.52</v>
      </c>
      <c r="P37">
        <v>2640.998</v>
      </c>
      <c r="R37" s="3">
        <f t="shared" si="2"/>
        <v>2230.8761999999997</v>
      </c>
      <c r="S37" s="3">
        <f t="shared" si="3"/>
        <v>110.89427472705704</v>
      </c>
    </row>
    <row r="38" spans="1:19" x14ac:dyDescent="0.25">
      <c r="A38">
        <v>35</v>
      </c>
      <c r="B38">
        <v>2442.8649999999998</v>
      </c>
      <c r="C38">
        <v>2381.83</v>
      </c>
      <c r="D38">
        <v>2409.5030000000002</v>
      </c>
      <c r="E38">
        <v>2759.82</v>
      </c>
      <c r="F38">
        <v>1726.6020000000001</v>
      </c>
      <c r="H38" s="2">
        <f t="shared" si="0"/>
        <v>2344.1240000000003</v>
      </c>
      <c r="I38" s="2">
        <f t="shared" si="1"/>
        <v>168.75759628206308</v>
      </c>
      <c r="K38">
        <v>35</v>
      </c>
      <c r="L38">
        <v>2060.6019999999999</v>
      </c>
      <c r="M38">
        <v>2168.0039999999999</v>
      </c>
      <c r="N38">
        <v>2247.154</v>
      </c>
      <c r="O38">
        <v>1996.654</v>
      </c>
      <c r="P38">
        <v>2627.42</v>
      </c>
      <c r="R38" s="3">
        <f t="shared" si="2"/>
        <v>2219.9668000000001</v>
      </c>
      <c r="S38" s="3">
        <f t="shared" si="3"/>
        <v>110.61716248864823</v>
      </c>
    </row>
    <row r="39" spans="1:19" x14ac:dyDescent="0.25">
      <c r="A39">
        <v>36.25</v>
      </c>
      <c r="B39">
        <v>2349.1170000000002</v>
      </c>
      <c r="C39">
        <v>2284.7750000000001</v>
      </c>
      <c r="D39">
        <v>2305.8789999999999</v>
      </c>
      <c r="E39">
        <v>2628.9520000000002</v>
      </c>
      <c r="F39">
        <v>1654.3489999999999</v>
      </c>
      <c r="H39" s="2">
        <f t="shared" si="0"/>
        <v>2244.6143999999999</v>
      </c>
      <c r="I39" s="2">
        <f t="shared" si="1"/>
        <v>160.06493239045219</v>
      </c>
      <c r="K39">
        <v>36.25</v>
      </c>
      <c r="L39">
        <v>1974.171</v>
      </c>
      <c r="M39">
        <v>2071.3449999999998</v>
      </c>
      <c r="N39">
        <v>2137.79</v>
      </c>
      <c r="O39">
        <v>1909.269</v>
      </c>
      <c r="P39">
        <v>2497.5709999999999</v>
      </c>
      <c r="R39" s="3">
        <f t="shared" si="2"/>
        <v>2118.0291999999999</v>
      </c>
      <c r="S39" s="3">
        <f t="shared" si="3"/>
        <v>102.68833539034507</v>
      </c>
    </row>
    <row r="40" spans="1:19" x14ac:dyDescent="0.25">
      <c r="A40">
        <v>37.5</v>
      </c>
      <c r="B40">
        <v>2170.9850000000001</v>
      </c>
      <c r="C40">
        <v>2103.759</v>
      </c>
      <c r="D40">
        <v>2127.9229999999998</v>
      </c>
      <c r="E40">
        <v>2435.377</v>
      </c>
      <c r="F40">
        <v>1518.7249999999999</v>
      </c>
      <c r="H40" s="2">
        <f t="shared" si="0"/>
        <v>2071.3537999999999</v>
      </c>
      <c r="I40" s="2">
        <f t="shared" si="1"/>
        <v>150.3476019291289</v>
      </c>
      <c r="K40">
        <v>37.5</v>
      </c>
      <c r="L40">
        <v>1820.973</v>
      </c>
      <c r="M40">
        <v>1911.8150000000001</v>
      </c>
      <c r="N40">
        <v>1962.4860000000001</v>
      </c>
      <c r="O40">
        <v>1751.308</v>
      </c>
      <c r="P40">
        <v>2298.2979999999998</v>
      </c>
      <c r="R40" s="3">
        <f t="shared" si="2"/>
        <v>1948.9760000000001</v>
      </c>
      <c r="S40" s="3">
        <f t="shared" si="3"/>
        <v>94.616786549216471</v>
      </c>
    </row>
    <row r="41" spans="1:19" x14ac:dyDescent="0.25">
      <c r="A41">
        <v>38.75</v>
      </c>
      <c r="B41">
        <v>2030.7090000000001</v>
      </c>
      <c r="C41">
        <v>1956.9860000000001</v>
      </c>
      <c r="D41">
        <v>1979.2270000000001</v>
      </c>
      <c r="E41">
        <v>2287.1860000000001</v>
      </c>
      <c r="F41">
        <v>1401.145</v>
      </c>
      <c r="H41" s="2">
        <f t="shared" si="0"/>
        <v>1931.0506</v>
      </c>
      <c r="I41" s="2">
        <f t="shared" si="1"/>
        <v>145.00996090358754</v>
      </c>
      <c r="K41">
        <v>38.75</v>
      </c>
      <c r="L41">
        <v>1689.09</v>
      </c>
      <c r="M41">
        <v>1765.7380000000001</v>
      </c>
      <c r="N41">
        <v>1823.69</v>
      </c>
      <c r="O41">
        <v>1626.6179999999999</v>
      </c>
      <c r="P41">
        <v>2132.547</v>
      </c>
      <c r="R41" s="3">
        <f t="shared" si="2"/>
        <v>1807.5366000000001</v>
      </c>
      <c r="S41" s="3">
        <f t="shared" si="3"/>
        <v>87.863801499593677</v>
      </c>
    </row>
    <row r="42" spans="1:19" x14ac:dyDescent="0.25">
      <c r="A42">
        <v>40</v>
      </c>
      <c r="B42">
        <v>1931.5260000000001</v>
      </c>
      <c r="C42">
        <v>1858.106</v>
      </c>
      <c r="D42">
        <v>1879.192</v>
      </c>
      <c r="E42">
        <v>2187.4589999999998</v>
      </c>
      <c r="F42">
        <v>1330.2850000000001</v>
      </c>
      <c r="H42" s="2">
        <f t="shared" si="0"/>
        <v>1837.3136000000002</v>
      </c>
      <c r="I42" s="2">
        <f t="shared" si="1"/>
        <v>139.77515926608655</v>
      </c>
      <c r="K42">
        <v>40</v>
      </c>
      <c r="L42">
        <v>1603.502</v>
      </c>
      <c r="M42">
        <v>1666.556</v>
      </c>
      <c r="N42">
        <v>1732.425</v>
      </c>
      <c r="O42">
        <v>1538.377</v>
      </c>
      <c r="P42">
        <v>2031.3710000000001</v>
      </c>
      <c r="R42" s="3">
        <f t="shared" si="2"/>
        <v>1714.4461999999999</v>
      </c>
      <c r="S42" s="3">
        <f t="shared" si="3"/>
        <v>85.547360000995951</v>
      </c>
    </row>
    <row r="43" spans="1:19" x14ac:dyDescent="0.25">
      <c r="A43">
        <v>41.25</v>
      </c>
      <c r="B43">
        <v>1863.924</v>
      </c>
      <c r="C43">
        <v>1804.6610000000001</v>
      </c>
      <c r="D43">
        <v>1817.4290000000001</v>
      </c>
      <c r="E43">
        <v>2113.3719999999998</v>
      </c>
      <c r="F43">
        <v>1294.777</v>
      </c>
      <c r="H43" s="2">
        <f t="shared" si="0"/>
        <v>1778.8326000000002</v>
      </c>
      <c r="I43" s="2">
        <f t="shared" si="1"/>
        <v>133.34612269151262</v>
      </c>
      <c r="K43">
        <v>41.25</v>
      </c>
      <c r="L43">
        <v>1571.567</v>
      </c>
      <c r="M43">
        <v>1615.5609999999999</v>
      </c>
      <c r="N43">
        <v>1685.153</v>
      </c>
      <c r="O43">
        <v>1489.665</v>
      </c>
      <c r="P43">
        <v>1978.6790000000001</v>
      </c>
      <c r="R43" s="3">
        <f t="shared" si="2"/>
        <v>1668.125</v>
      </c>
      <c r="S43" s="3">
        <f t="shared" si="3"/>
        <v>83.865407874760706</v>
      </c>
    </row>
    <row r="44" spans="1:19" x14ac:dyDescent="0.25">
      <c r="A44">
        <v>42.5</v>
      </c>
      <c r="B44">
        <v>1833.1410000000001</v>
      </c>
      <c r="C44">
        <v>1775.681</v>
      </c>
      <c r="D44">
        <v>1787.575</v>
      </c>
      <c r="E44">
        <v>2081.6529999999998</v>
      </c>
      <c r="F44">
        <v>1277.739</v>
      </c>
      <c r="H44" s="2">
        <f t="shared" si="0"/>
        <v>1751.1577999999997</v>
      </c>
      <c r="I44" s="2">
        <f t="shared" si="1"/>
        <v>130.76721345444426</v>
      </c>
      <c r="K44">
        <v>42.5</v>
      </c>
      <c r="L44">
        <v>1551.4590000000001</v>
      </c>
      <c r="M44">
        <v>1592.183</v>
      </c>
      <c r="N44">
        <v>1659.268</v>
      </c>
      <c r="O44">
        <v>1462.1489999999999</v>
      </c>
      <c r="P44">
        <v>1951.664</v>
      </c>
      <c r="R44" s="3">
        <f t="shared" si="2"/>
        <v>1643.3445999999999</v>
      </c>
      <c r="S44" s="3">
        <f t="shared" si="3"/>
        <v>83.428629781748157</v>
      </c>
    </row>
    <row r="45" spans="1:19" x14ac:dyDescent="0.25">
      <c r="A45">
        <v>43.75</v>
      </c>
      <c r="B45">
        <v>1816.1890000000001</v>
      </c>
      <c r="C45">
        <v>1764.7929999999999</v>
      </c>
      <c r="D45">
        <v>1769.202</v>
      </c>
      <c r="E45">
        <v>2085.0230000000001</v>
      </c>
      <c r="F45">
        <v>1262.009</v>
      </c>
      <c r="H45" s="2">
        <f t="shared" si="0"/>
        <v>1739.4432000000002</v>
      </c>
      <c r="I45" s="2">
        <f t="shared" si="1"/>
        <v>133.18913804301019</v>
      </c>
      <c r="K45">
        <v>43.75</v>
      </c>
      <c r="L45">
        <v>1539.0619999999999</v>
      </c>
      <c r="M45">
        <v>1587.6880000000001</v>
      </c>
      <c r="N45">
        <v>1645.8520000000001</v>
      </c>
      <c r="O45">
        <v>1452.4870000000001</v>
      </c>
      <c r="P45">
        <v>1940.2159999999999</v>
      </c>
      <c r="R45" s="3">
        <f t="shared" si="2"/>
        <v>1633.0610000000001</v>
      </c>
      <c r="S45" s="3">
        <f t="shared" si="3"/>
        <v>83.069035841280908</v>
      </c>
    </row>
    <row r="46" spans="1:19" x14ac:dyDescent="0.25">
      <c r="A46">
        <v>45</v>
      </c>
      <c r="B46">
        <v>1825.4770000000001</v>
      </c>
      <c r="C46">
        <v>1768.2929999999999</v>
      </c>
      <c r="D46">
        <v>1761.048</v>
      </c>
      <c r="E46">
        <v>2104.1959999999999</v>
      </c>
      <c r="F46">
        <v>1259.097</v>
      </c>
      <c r="H46" s="2">
        <f t="shared" si="0"/>
        <v>1743.6222000000002</v>
      </c>
      <c r="I46" s="2">
        <f t="shared" si="1"/>
        <v>136.45340777034457</v>
      </c>
      <c r="K46">
        <v>45</v>
      </c>
      <c r="L46">
        <v>1542.797</v>
      </c>
      <c r="M46">
        <v>1583.9780000000001</v>
      </c>
      <c r="N46">
        <v>1646.356</v>
      </c>
      <c r="O46">
        <v>1452.549</v>
      </c>
      <c r="P46">
        <v>1942.222</v>
      </c>
      <c r="R46" s="3">
        <f t="shared" si="2"/>
        <v>1633.5804000000001</v>
      </c>
      <c r="S46" s="3">
        <f t="shared" si="3"/>
        <v>83.335840066924646</v>
      </c>
    </row>
    <row r="47" spans="1:19" x14ac:dyDescent="0.25">
      <c r="A47">
        <v>46.25</v>
      </c>
      <c r="B47">
        <v>1872.4690000000001</v>
      </c>
      <c r="C47">
        <v>1805.47</v>
      </c>
      <c r="D47">
        <v>1771.241</v>
      </c>
      <c r="E47">
        <v>2149.971</v>
      </c>
      <c r="F47">
        <v>1288.634</v>
      </c>
      <c r="H47" s="2">
        <f t="shared" si="0"/>
        <v>1777.557</v>
      </c>
      <c r="I47" s="2">
        <f t="shared" si="1"/>
        <v>139.20581929179559</v>
      </c>
      <c r="K47">
        <v>46.25</v>
      </c>
      <c r="L47">
        <v>1557.384</v>
      </c>
      <c r="M47">
        <v>1606.5129999999999</v>
      </c>
      <c r="N47">
        <v>1670.337</v>
      </c>
      <c r="O47">
        <v>1474.376</v>
      </c>
      <c r="P47">
        <v>1979.8910000000001</v>
      </c>
      <c r="R47" s="3">
        <f t="shared" si="2"/>
        <v>1657.7002</v>
      </c>
      <c r="S47" s="3">
        <f t="shared" si="3"/>
        <v>86.676938123931919</v>
      </c>
    </row>
    <row r="48" spans="1:19" x14ac:dyDescent="0.25">
      <c r="A48">
        <v>47.5</v>
      </c>
      <c r="B48">
        <v>1954.19</v>
      </c>
      <c r="C48">
        <v>1889.9780000000001</v>
      </c>
      <c r="D48">
        <v>1828.99</v>
      </c>
      <c r="E48">
        <v>2227.3580000000002</v>
      </c>
      <c r="F48">
        <v>1348.1410000000001</v>
      </c>
      <c r="H48" s="2">
        <f t="shared" si="0"/>
        <v>1849.7314000000001</v>
      </c>
      <c r="I48" s="2">
        <f t="shared" si="1"/>
        <v>142.68082772383903</v>
      </c>
      <c r="K48">
        <v>47.5</v>
      </c>
      <c r="L48">
        <v>1610.58</v>
      </c>
      <c r="M48">
        <v>1682.9870000000001</v>
      </c>
      <c r="N48">
        <v>1733.268</v>
      </c>
      <c r="O48">
        <v>1530.204</v>
      </c>
      <c r="P48">
        <v>2071.2139999999999</v>
      </c>
      <c r="R48" s="3">
        <f t="shared" si="2"/>
        <v>1725.6506000000002</v>
      </c>
      <c r="S48" s="3">
        <f t="shared" si="3"/>
        <v>92.93354814145313</v>
      </c>
    </row>
    <row r="49" spans="1:19" x14ac:dyDescent="0.25">
      <c r="A49">
        <v>48.75</v>
      </c>
      <c r="B49">
        <v>2056.6729999999998</v>
      </c>
      <c r="C49">
        <v>1993.9639999999999</v>
      </c>
      <c r="D49">
        <v>1918.9649999999999</v>
      </c>
      <c r="E49">
        <v>2313.4520000000002</v>
      </c>
      <c r="F49">
        <v>1414.4970000000001</v>
      </c>
      <c r="H49" s="2">
        <f t="shared" si="0"/>
        <v>1939.5101999999999</v>
      </c>
      <c r="I49" s="2">
        <f t="shared" si="1"/>
        <v>147.06899286436985</v>
      </c>
      <c r="K49">
        <v>48.75</v>
      </c>
      <c r="L49">
        <v>1693.9580000000001</v>
      </c>
      <c r="M49">
        <v>1771.8630000000001</v>
      </c>
      <c r="N49">
        <v>1820.6669999999999</v>
      </c>
      <c r="O49">
        <v>1614.6020000000001</v>
      </c>
      <c r="P49">
        <v>2171.0680000000002</v>
      </c>
      <c r="R49" s="3">
        <f t="shared" si="2"/>
        <v>1814.4315999999999</v>
      </c>
      <c r="S49" s="3">
        <f t="shared" si="3"/>
        <v>95.78263022521385</v>
      </c>
    </row>
    <row r="50" spans="1:19" x14ac:dyDescent="0.25">
      <c r="A50">
        <v>50</v>
      </c>
      <c r="B50">
        <v>2154.0030000000002</v>
      </c>
      <c r="C50">
        <v>2079.116</v>
      </c>
      <c r="D50">
        <v>1999.732</v>
      </c>
      <c r="E50">
        <v>2401.355</v>
      </c>
      <c r="F50">
        <v>1465.02</v>
      </c>
      <c r="H50" s="2">
        <f t="shared" si="0"/>
        <v>2019.8452000000002</v>
      </c>
      <c r="I50" s="2">
        <f t="shared" si="1"/>
        <v>154.15845969307077</v>
      </c>
      <c r="K50">
        <v>50</v>
      </c>
      <c r="L50">
        <v>1771.172</v>
      </c>
      <c r="M50">
        <v>1831.5409999999999</v>
      </c>
      <c r="N50">
        <v>1891.4649999999999</v>
      </c>
      <c r="O50">
        <v>1680.431</v>
      </c>
      <c r="P50">
        <v>2249.0230000000001</v>
      </c>
      <c r="R50" s="3">
        <f t="shared" si="2"/>
        <v>1884.7264000000002</v>
      </c>
      <c r="S50" s="3">
        <f t="shared" si="3"/>
        <v>97.523669048902093</v>
      </c>
    </row>
    <row r="51" spans="1:19" x14ac:dyDescent="0.25">
      <c r="A51">
        <v>51.25</v>
      </c>
      <c r="B51">
        <v>2222.0419999999999</v>
      </c>
      <c r="C51">
        <v>2145.0839999999998</v>
      </c>
      <c r="D51">
        <v>2064.5520000000001</v>
      </c>
      <c r="E51">
        <v>2489.5259999999998</v>
      </c>
      <c r="F51">
        <v>1507.8119999999999</v>
      </c>
      <c r="H51" s="2">
        <f t="shared" si="0"/>
        <v>2085.8031999999998</v>
      </c>
      <c r="I51" s="2">
        <f t="shared" si="1"/>
        <v>161.18200332121501</v>
      </c>
      <c r="K51">
        <v>51.25</v>
      </c>
      <c r="L51">
        <v>1837.453</v>
      </c>
      <c r="M51">
        <v>1883.414</v>
      </c>
      <c r="N51">
        <v>1954.671</v>
      </c>
      <c r="O51">
        <v>1736.9069999999999</v>
      </c>
      <c r="P51">
        <v>2316.2240000000002</v>
      </c>
      <c r="R51" s="3">
        <f t="shared" si="2"/>
        <v>1945.7338000000004</v>
      </c>
      <c r="S51" s="3">
        <f t="shared" si="3"/>
        <v>99.136265654601118</v>
      </c>
    </row>
    <row r="52" spans="1:19" x14ac:dyDescent="0.25">
      <c r="A52">
        <v>52.5</v>
      </c>
      <c r="B52">
        <v>2251.4110000000001</v>
      </c>
      <c r="C52">
        <v>2178.768</v>
      </c>
      <c r="D52">
        <v>2116.366</v>
      </c>
      <c r="E52">
        <v>2540.1819999999998</v>
      </c>
      <c r="F52">
        <v>1539.4670000000001</v>
      </c>
      <c r="H52" s="2">
        <f t="shared" si="0"/>
        <v>2125.2388000000001</v>
      </c>
      <c r="I52" s="2">
        <f t="shared" si="1"/>
        <v>163.42735187030314</v>
      </c>
      <c r="K52">
        <v>52.5</v>
      </c>
      <c r="L52">
        <v>1872.5060000000001</v>
      </c>
      <c r="M52">
        <v>1902.8789999999999</v>
      </c>
      <c r="N52">
        <v>2003.925</v>
      </c>
      <c r="O52">
        <v>1764.9349999999999</v>
      </c>
      <c r="P52">
        <v>2350.1109999999999</v>
      </c>
      <c r="R52" s="3">
        <f t="shared" si="2"/>
        <v>1978.8712</v>
      </c>
      <c r="S52" s="3">
        <f t="shared" si="3"/>
        <v>100.3254080232917</v>
      </c>
    </row>
    <row r="53" spans="1:19" x14ac:dyDescent="0.25">
      <c r="A53">
        <v>53.75</v>
      </c>
      <c r="B53">
        <v>2267.982</v>
      </c>
      <c r="C53">
        <v>2169.7570000000001</v>
      </c>
      <c r="D53">
        <v>2114.2460000000001</v>
      </c>
      <c r="E53">
        <v>2517.663</v>
      </c>
      <c r="F53">
        <v>1537.28</v>
      </c>
      <c r="H53" s="2">
        <f t="shared" si="0"/>
        <v>2121.3856000000001</v>
      </c>
      <c r="I53" s="2">
        <f t="shared" si="1"/>
        <v>161.56986111605073</v>
      </c>
      <c r="K53">
        <v>53.75</v>
      </c>
      <c r="L53">
        <v>1866.4639999999999</v>
      </c>
      <c r="M53">
        <v>1886.6210000000001</v>
      </c>
      <c r="N53">
        <v>2001.249</v>
      </c>
      <c r="O53">
        <v>1754.69</v>
      </c>
      <c r="P53">
        <v>2356.4490000000001</v>
      </c>
      <c r="R53" s="3">
        <f t="shared" si="2"/>
        <v>1973.0945999999999</v>
      </c>
      <c r="S53" s="3">
        <f t="shared" si="3"/>
        <v>103.51367153502038</v>
      </c>
    </row>
    <row r="54" spans="1:19" x14ac:dyDescent="0.25">
      <c r="A54">
        <v>55</v>
      </c>
      <c r="B54">
        <v>2238.085</v>
      </c>
      <c r="C54">
        <v>2115.931</v>
      </c>
      <c r="D54">
        <v>2045.5909999999999</v>
      </c>
      <c r="E54">
        <v>2427.9119999999998</v>
      </c>
      <c r="F54">
        <v>1502.8230000000001</v>
      </c>
      <c r="H54" s="2">
        <f t="shared" si="0"/>
        <v>2066.0684000000001</v>
      </c>
      <c r="I54" s="2">
        <f t="shared" si="1"/>
        <v>155.02765639510858</v>
      </c>
      <c r="K54">
        <v>55</v>
      </c>
      <c r="L54">
        <v>1812.2370000000001</v>
      </c>
      <c r="M54">
        <v>1836.501</v>
      </c>
      <c r="N54">
        <v>1932.143</v>
      </c>
      <c r="O54">
        <v>1701.3240000000001</v>
      </c>
      <c r="P54">
        <v>2290.5349999999999</v>
      </c>
      <c r="R54" s="3">
        <f t="shared" si="2"/>
        <v>1914.548</v>
      </c>
      <c r="S54" s="3">
        <f t="shared" si="3"/>
        <v>100.92055224284171</v>
      </c>
    </row>
    <row r="55" spans="1:19" x14ac:dyDescent="0.25">
      <c r="A55">
        <v>56.25</v>
      </c>
      <c r="B55">
        <v>2123.44</v>
      </c>
      <c r="C55">
        <v>2000.521</v>
      </c>
      <c r="D55">
        <v>1892.921</v>
      </c>
      <c r="E55">
        <v>2270.248</v>
      </c>
      <c r="F55">
        <v>1419.355</v>
      </c>
      <c r="H55" s="2">
        <f t="shared" si="0"/>
        <v>1941.297</v>
      </c>
      <c r="I55" s="2">
        <f t="shared" si="1"/>
        <v>144.85441031704843</v>
      </c>
      <c r="K55">
        <v>56.25</v>
      </c>
      <c r="L55">
        <v>1694.4490000000001</v>
      </c>
      <c r="M55">
        <v>1734.1189999999999</v>
      </c>
      <c r="N55">
        <v>1802.37</v>
      </c>
      <c r="O55">
        <v>1592.7650000000001</v>
      </c>
      <c r="P55">
        <v>2147.8270000000002</v>
      </c>
      <c r="R55" s="3">
        <f t="shared" si="2"/>
        <v>1794.306</v>
      </c>
      <c r="S55" s="3">
        <f t="shared" si="3"/>
        <v>94.671747537478666</v>
      </c>
    </row>
    <row r="56" spans="1:19" x14ac:dyDescent="0.25">
      <c r="A56">
        <v>57.5</v>
      </c>
      <c r="B56">
        <v>1958.7670000000001</v>
      </c>
      <c r="C56">
        <v>1847.124</v>
      </c>
      <c r="D56">
        <v>1693.633</v>
      </c>
      <c r="E56">
        <v>2054.663</v>
      </c>
      <c r="F56">
        <v>1299.4570000000001</v>
      </c>
      <c r="H56" s="2">
        <f t="shared" si="0"/>
        <v>1770.7288000000001</v>
      </c>
      <c r="I56" s="2">
        <f t="shared" si="1"/>
        <v>132.25998885241134</v>
      </c>
      <c r="K56">
        <v>57.5</v>
      </c>
      <c r="L56">
        <v>1531.883</v>
      </c>
      <c r="M56">
        <v>1599.309</v>
      </c>
      <c r="N56">
        <v>1626.923</v>
      </c>
      <c r="O56">
        <v>1455.046</v>
      </c>
      <c r="P56">
        <v>1989.3150000000001</v>
      </c>
      <c r="R56" s="3">
        <f t="shared" si="2"/>
        <v>1640.4952000000001</v>
      </c>
      <c r="S56" s="3">
        <f t="shared" si="3"/>
        <v>92.125939974796836</v>
      </c>
    </row>
    <row r="57" spans="1:19" x14ac:dyDescent="0.25">
      <c r="A57">
        <v>58.75</v>
      </c>
      <c r="B57">
        <v>1834.415</v>
      </c>
      <c r="C57">
        <v>1713.201</v>
      </c>
      <c r="D57">
        <v>1498.3340000000001</v>
      </c>
      <c r="E57">
        <v>1859.6379999999999</v>
      </c>
      <c r="F57">
        <v>1195.134</v>
      </c>
      <c r="H57" s="2">
        <f t="shared" si="0"/>
        <v>1620.1443999999999</v>
      </c>
      <c r="I57" s="2">
        <f t="shared" si="1"/>
        <v>123.97584823771128</v>
      </c>
      <c r="K57">
        <v>58.75</v>
      </c>
      <c r="L57">
        <v>1377.98</v>
      </c>
      <c r="M57">
        <v>1478.2739999999999</v>
      </c>
      <c r="N57">
        <v>1456.0909999999999</v>
      </c>
      <c r="O57">
        <v>1334.471</v>
      </c>
      <c r="P57">
        <v>1845.537</v>
      </c>
      <c r="R57" s="3">
        <f t="shared" si="2"/>
        <v>1498.4705999999999</v>
      </c>
      <c r="S57" s="3">
        <f t="shared" si="3"/>
        <v>90.573967740517162</v>
      </c>
    </row>
    <row r="58" spans="1:19" x14ac:dyDescent="0.25">
      <c r="A58">
        <v>60</v>
      </c>
      <c r="B58">
        <v>1747.702</v>
      </c>
      <c r="C58">
        <v>1623.4549999999999</v>
      </c>
      <c r="D58">
        <v>1392.7919999999999</v>
      </c>
      <c r="E58">
        <v>1743.7940000000001</v>
      </c>
      <c r="F58">
        <v>1134.796</v>
      </c>
      <c r="H58" s="2">
        <f t="shared" si="0"/>
        <v>1528.5078000000001</v>
      </c>
      <c r="I58" s="2">
        <f t="shared" si="1"/>
        <v>117.65138669832996</v>
      </c>
      <c r="K58">
        <v>60</v>
      </c>
      <c r="L58">
        <v>1293.3009999999999</v>
      </c>
      <c r="M58">
        <v>1398.7090000000001</v>
      </c>
      <c r="N58">
        <v>1360.4449999999999</v>
      </c>
      <c r="O58">
        <v>1259.569</v>
      </c>
      <c r="P58">
        <v>1742.242</v>
      </c>
      <c r="R58" s="3">
        <f t="shared" si="2"/>
        <v>1410.8532</v>
      </c>
      <c r="S58" s="3">
        <f t="shared" si="3"/>
        <v>86.374890414055045</v>
      </c>
    </row>
    <row r="59" spans="1:19" x14ac:dyDescent="0.25">
      <c r="A59">
        <v>61.25</v>
      </c>
      <c r="B59">
        <v>1687.027</v>
      </c>
      <c r="C59">
        <v>1557.557</v>
      </c>
      <c r="D59">
        <v>1346.979</v>
      </c>
      <c r="E59">
        <v>1674.4490000000001</v>
      </c>
      <c r="F59">
        <v>1092.8130000000001</v>
      </c>
      <c r="H59" s="2">
        <f t="shared" si="0"/>
        <v>1471.7650000000001</v>
      </c>
      <c r="I59" s="2">
        <f t="shared" si="1"/>
        <v>112.68428547583702</v>
      </c>
      <c r="K59">
        <v>61.25</v>
      </c>
      <c r="L59">
        <v>1245.377</v>
      </c>
      <c r="M59">
        <v>1341.3710000000001</v>
      </c>
      <c r="N59">
        <v>1306.7950000000001</v>
      </c>
      <c r="O59">
        <v>1210.8979999999999</v>
      </c>
      <c r="P59">
        <v>1672.444</v>
      </c>
      <c r="R59" s="3">
        <f t="shared" si="2"/>
        <v>1355.377</v>
      </c>
      <c r="S59" s="3">
        <f t="shared" si="3"/>
        <v>82.480919820889355</v>
      </c>
    </row>
    <row r="60" spans="1:19" x14ac:dyDescent="0.25">
      <c r="A60">
        <v>62.5</v>
      </c>
      <c r="B60">
        <v>1649.7860000000001</v>
      </c>
      <c r="C60">
        <v>1519.239</v>
      </c>
      <c r="D60">
        <v>1313.473</v>
      </c>
      <c r="E60">
        <v>1645.2629999999999</v>
      </c>
      <c r="F60">
        <v>1068.203</v>
      </c>
      <c r="H60" s="2">
        <f t="shared" si="0"/>
        <v>1439.1928</v>
      </c>
      <c r="I60" s="2">
        <f t="shared" si="1"/>
        <v>111.05420234390041</v>
      </c>
      <c r="K60">
        <v>62.5</v>
      </c>
      <c r="L60">
        <v>1216.24</v>
      </c>
      <c r="M60">
        <v>1306.934</v>
      </c>
      <c r="N60">
        <v>1280.2270000000001</v>
      </c>
      <c r="O60">
        <v>1182.076</v>
      </c>
      <c r="P60">
        <v>1629.3579999999999</v>
      </c>
      <c r="R60" s="3">
        <f t="shared" si="2"/>
        <v>1322.9670000000001</v>
      </c>
      <c r="S60" s="3">
        <f t="shared" si="3"/>
        <v>79.749650776664481</v>
      </c>
    </row>
    <row r="61" spans="1:19" x14ac:dyDescent="0.25">
      <c r="A61">
        <v>63.75</v>
      </c>
      <c r="B61">
        <v>1604.646</v>
      </c>
      <c r="C61">
        <v>1484.933</v>
      </c>
      <c r="D61">
        <v>1306.17</v>
      </c>
      <c r="E61">
        <v>1630.4929999999999</v>
      </c>
      <c r="F61">
        <v>1053.69</v>
      </c>
      <c r="H61" s="2">
        <f t="shared" si="0"/>
        <v>1415.9864000000002</v>
      </c>
      <c r="I61" s="2">
        <f t="shared" si="1"/>
        <v>107.16283939155355</v>
      </c>
      <c r="K61">
        <v>63.75</v>
      </c>
      <c r="L61">
        <v>1204.1859999999999</v>
      </c>
      <c r="M61">
        <v>1281.9480000000001</v>
      </c>
      <c r="N61">
        <v>1269.7670000000001</v>
      </c>
      <c r="O61">
        <v>1161.1220000000001</v>
      </c>
      <c r="P61">
        <v>1586.9110000000001</v>
      </c>
      <c r="R61" s="3">
        <f t="shared" si="2"/>
        <v>1300.7868000000001</v>
      </c>
      <c r="S61" s="3">
        <f t="shared" si="3"/>
        <v>74.840549544615229</v>
      </c>
    </row>
    <row r="62" spans="1:19" x14ac:dyDescent="0.25">
      <c r="A62">
        <v>65</v>
      </c>
      <c r="B62">
        <v>1577.337</v>
      </c>
      <c r="C62">
        <v>1462.0360000000001</v>
      </c>
      <c r="D62">
        <v>1297.96</v>
      </c>
      <c r="E62">
        <v>1618.943</v>
      </c>
      <c r="F62">
        <v>1036.56</v>
      </c>
      <c r="H62" s="2">
        <f t="shared" si="0"/>
        <v>1398.5672000000002</v>
      </c>
      <c r="I62" s="2">
        <f t="shared" si="1"/>
        <v>106.23639789045862</v>
      </c>
      <c r="K62">
        <v>65</v>
      </c>
      <c r="L62">
        <v>1197.1369999999999</v>
      </c>
      <c r="M62">
        <v>1253.7139999999999</v>
      </c>
      <c r="N62">
        <v>1266.05</v>
      </c>
      <c r="O62">
        <v>1144.28</v>
      </c>
      <c r="P62">
        <v>1568.848</v>
      </c>
      <c r="R62" s="3">
        <f t="shared" si="2"/>
        <v>1286.0057999999999</v>
      </c>
      <c r="S62" s="3">
        <f t="shared" si="3"/>
        <v>73.967753244505005</v>
      </c>
    </row>
    <row r="63" spans="1:19" x14ac:dyDescent="0.25">
      <c r="A63">
        <v>66.25</v>
      </c>
      <c r="B63">
        <v>1531.327</v>
      </c>
      <c r="C63">
        <v>1438.9169999999999</v>
      </c>
      <c r="D63">
        <v>1290.8989999999999</v>
      </c>
      <c r="E63">
        <v>1612.8150000000001</v>
      </c>
      <c r="F63">
        <v>1023.384</v>
      </c>
      <c r="H63" s="2">
        <f t="shared" si="0"/>
        <v>1379.4684000000002</v>
      </c>
      <c r="I63" s="2">
        <f t="shared" si="1"/>
        <v>103.84759137967477</v>
      </c>
      <c r="K63">
        <v>66.25</v>
      </c>
      <c r="L63">
        <v>1196.953</v>
      </c>
      <c r="M63">
        <v>1234.2819999999999</v>
      </c>
      <c r="N63">
        <v>1267.0419999999999</v>
      </c>
      <c r="O63">
        <v>1129.2329999999999</v>
      </c>
      <c r="P63">
        <v>1556.6510000000001</v>
      </c>
      <c r="R63" s="3">
        <f t="shared" si="2"/>
        <v>1276.8321999999998</v>
      </c>
      <c r="S63" s="3">
        <f t="shared" si="3"/>
        <v>73.610847978678137</v>
      </c>
    </row>
    <row r="64" spans="1:19" x14ac:dyDescent="0.25">
      <c r="A64">
        <v>67.5</v>
      </c>
      <c r="B64">
        <v>1478.518</v>
      </c>
      <c r="C64">
        <v>1411.615</v>
      </c>
      <c r="D64">
        <v>1291.375</v>
      </c>
      <c r="E64">
        <v>1623.479</v>
      </c>
      <c r="F64">
        <v>1001.49</v>
      </c>
      <c r="H64" s="2">
        <f t="shared" si="0"/>
        <v>1361.2954</v>
      </c>
      <c r="I64" s="2">
        <f t="shared" si="1"/>
        <v>104.72875164184879</v>
      </c>
      <c r="K64">
        <v>67.5</v>
      </c>
      <c r="L64">
        <v>1207.2819999999999</v>
      </c>
      <c r="M64">
        <v>1212.7619999999999</v>
      </c>
      <c r="N64">
        <v>1270.2439999999999</v>
      </c>
      <c r="O64">
        <v>1114.605</v>
      </c>
      <c r="P64">
        <v>1526.259</v>
      </c>
      <c r="R64" s="3">
        <f t="shared" si="2"/>
        <v>1266.2303999999999</v>
      </c>
      <c r="S64" s="3">
        <f t="shared" si="3"/>
        <v>69.625795287809623</v>
      </c>
    </row>
    <row r="65" spans="1:19" x14ac:dyDescent="0.25">
      <c r="A65">
        <v>68.75</v>
      </c>
      <c r="B65">
        <v>1449.971</v>
      </c>
      <c r="C65">
        <v>1396.6089999999999</v>
      </c>
      <c r="D65">
        <v>1293.3610000000001</v>
      </c>
      <c r="E65">
        <v>1634.595</v>
      </c>
      <c r="F65">
        <v>990.79700000000003</v>
      </c>
      <c r="H65" s="2">
        <f t="shared" si="0"/>
        <v>1353.0666000000001</v>
      </c>
      <c r="I65" s="2">
        <f t="shared" si="1"/>
        <v>106.14816651718435</v>
      </c>
      <c r="K65">
        <v>68.75</v>
      </c>
      <c r="L65">
        <v>1218.039</v>
      </c>
      <c r="M65">
        <v>1204.2080000000001</v>
      </c>
      <c r="N65">
        <v>1274.598</v>
      </c>
      <c r="O65">
        <v>1108.606</v>
      </c>
      <c r="P65">
        <v>1509.1220000000001</v>
      </c>
      <c r="R65" s="3">
        <f t="shared" si="2"/>
        <v>1262.9146000000001</v>
      </c>
      <c r="S65" s="3">
        <f t="shared" si="3"/>
        <v>67.091733486026357</v>
      </c>
    </row>
    <row r="66" spans="1:19" x14ac:dyDescent="0.25">
      <c r="A66">
        <v>70</v>
      </c>
      <c r="B66">
        <v>1421.269</v>
      </c>
      <c r="C66">
        <v>1385.797</v>
      </c>
      <c r="D66">
        <v>1305.6569999999999</v>
      </c>
      <c r="E66">
        <v>1645.297</v>
      </c>
      <c r="F66">
        <v>981.97900000000004</v>
      </c>
      <c r="H66" s="2">
        <f t="shared" si="0"/>
        <v>1347.9998000000001</v>
      </c>
      <c r="I66" s="2">
        <f t="shared" si="1"/>
        <v>107.45854267316261</v>
      </c>
      <c r="K66">
        <v>70</v>
      </c>
      <c r="L66">
        <v>1227.086</v>
      </c>
      <c r="M66">
        <v>1198.5540000000001</v>
      </c>
      <c r="N66">
        <v>1277.1120000000001</v>
      </c>
      <c r="O66">
        <v>1099.299</v>
      </c>
      <c r="P66">
        <v>1500.7190000000001</v>
      </c>
      <c r="R66" s="3">
        <f t="shared" si="2"/>
        <v>1260.5540000000001</v>
      </c>
      <c r="S66" s="3">
        <f t="shared" si="3"/>
        <v>66.6785860070528</v>
      </c>
    </row>
    <row r="67" spans="1:19" x14ac:dyDescent="0.25">
      <c r="A67">
        <v>71.25</v>
      </c>
      <c r="B67">
        <v>1393.337</v>
      </c>
      <c r="C67">
        <v>1373.7239999999999</v>
      </c>
      <c r="D67">
        <v>1303.278</v>
      </c>
      <c r="E67">
        <v>1637.13</v>
      </c>
      <c r="F67">
        <v>969.53099999999995</v>
      </c>
      <c r="H67" s="2">
        <f t="shared" si="0"/>
        <v>1335.4</v>
      </c>
      <c r="I67" s="2">
        <f t="shared" si="1"/>
        <v>107.41470241312406</v>
      </c>
      <c r="K67">
        <v>71.25</v>
      </c>
      <c r="L67">
        <v>1224.117</v>
      </c>
      <c r="M67">
        <v>1180.2539999999999</v>
      </c>
      <c r="N67">
        <v>1273.979</v>
      </c>
      <c r="O67">
        <v>1087.7560000000001</v>
      </c>
      <c r="P67">
        <v>1488.847</v>
      </c>
      <c r="R67" s="3">
        <f t="shared" si="2"/>
        <v>1250.9906000000001</v>
      </c>
      <c r="S67" s="3">
        <f t="shared" si="3"/>
        <v>66.886293494705711</v>
      </c>
    </row>
    <row r="68" spans="1:19" x14ac:dyDescent="0.25">
      <c r="A68">
        <v>72.5</v>
      </c>
      <c r="B68">
        <v>1377.13</v>
      </c>
      <c r="C68">
        <v>1361.9490000000001</v>
      </c>
      <c r="D68">
        <v>1291.0319999999999</v>
      </c>
      <c r="E68">
        <v>1616.8610000000001</v>
      </c>
      <c r="F68">
        <v>953.16600000000005</v>
      </c>
      <c r="H68" s="2">
        <f t="shared" si="0"/>
        <v>1320.0275999999999</v>
      </c>
      <c r="I68" s="2">
        <f t="shared" si="1"/>
        <v>106.90096669188708</v>
      </c>
      <c r="K68">
        <v>72.5</v>
      </c>
      <c r="L68">
        <v>1210.6579999999999</v>
      </c>
      <c r="M68">
        <v>1167.702</v>
      </c>
      <c r="N68">
        <v>1259.5709999999999</v>
      </c>
      <c r="O68">
        <v>1077.9690000000001</v>
      </c>
      <c r="P68">
        <v>1472.31</v>
      </c>
      <c r="R68" s="3">
        <f t="shared" si="2"/>
        <v>1237.6419999999998</v>
      </c>
      <c r="S68" s="3">
        <f t="shared" si="3"/>
        <v>65.827485919637908</v>
      </c>
    </row>
    <row r="69" spans="1:19" x14ac:dyDescent="0.25">
      <c r="A69">
        <v>73.75</v>
      </c>
      <c r="B69">
        <v>1372.944</v>
      </c>
      <c r="C69">
        <v>1357.231</v>
      </c>
      <c r="D69">
        <v>1280.8040000000001</v>
      </c>
      <c r="E69">
        <v>1602.9090000000001</v>
      </c>
      <c r="F69">
        <v>941.74199999999996</v>
      </c>
      <c r="H69" s="2">
        <f t="shared" ref="H69:H96" si="4">AVERAGE(B69:F69)</f>
        <v>1311.1260000000002</v>
      </c>
      <c r="I69" s="2">
        <f t="shared" ref="I69:I96" si="5">STDEV(B69:F69)/SQRT(COUNT(B69:F69))</f>
        <v>106.87572651870003</v>
      </c>
      <c r="K69">
        <v>73.75</v>
      </c>
      <c r="L69">
        <v>1202.835</v>
      </c>
      <c r="M69">
        <v>1159.701</v>
      </c>
      <c r="N69">
        <v>1249.52</v>
      </c>
      <c r="O69">
        <v>1076.58</v>
      </c>
      <c r="P69">
        <v>1463.5129999999999</v>
      </c>
      <c r="R69" s="3">
        <f t="shared" ref="R69:R96" si="6">AVERAGE(L69:P69)</f>
        <v>1230.4298000000001</v>
      </c>
      <c r="S69" s="3">
        <f t="shared" ref="S69:S96" si="7">STDEV(L69:P69)/SQRT(COUNT(L69:P69))</f>
        <v>64.855998548630097</v>
      </c>
    </row>
    <row r="70" spans="1:19" x14ac:dyDescent="0.25">
      <c r="A70">
        <v>75</v>
      </c>
      <c r="B70">
        <v>1436.8520000000001</v>
      </c>
      <c r="C70">
        <v>1395.184</v>
      </c>
      <c r="D70">
        <v>1309.7729999999999</v>
      </c>
      <c r="E70">
        <v>1646.9559999999999</v>
      </c>
      <c r="F70">
        <v>974.65800000000002</v>
      </c>
      <c r="H70" s="2">
        <f t="shared" si="4"/>
        <v>1352.6846</v>
      </c>
      <c r="I70" s="2">
        <f t="shared" si="5"/>
        <v>109.5973363734718</v>
      </c>
      <c r="K70">
        <v>75</v>
      </c>
      <c r="L70">
        <v>1232.7190000000001</v>
      </c>
      <c r="M70">
        <v>1189.8610000000001</v>
      </c>
      <c r="N70">
        <v>1280.8800000000001</v>
      </c>
      <c r="O70">
        <v>1108.2570000000001</v>
      </c>
      <c r="P70">
        <v>1497.796</v>
      </c>
      <c r="R70" s="3">
        <f t="shared" si="6"/>
        <v>1261.9026000000001</v>
      </c>
      <c r="S70" s="3">
        <f t="shared" si="7"/>
        <v>65.442525514072187</v>
      </c>
    </row>
    <row r="71" spans="1:19" x14ac:dyDescent="0.25">
      <c r="A71">
        <v>76.25</v>
      </c>
      <c r="B71">
        <v>1586.498</v>
      </c>
      <c r="C71">
        <v>1510.3530000000001</v>
      </c>
      <c r="D71">
        <v>1406.92</v>
      </c>
      <c r="E71">
        <v>1771.7619999999999</v>
      </c>
      <c r="F71">
        <v>1097.742</v>
      </c>
      <c r="H71" s="2">
        <f t="shared" si="4"/>
        <v>1474.6550000000002</v>
      </c>
      <c r="I71" s="2">
        <f t="shared" si="5"/>
        <v>111.51394825222501</v>
      </c>
      <c r="K71">
        <v>76.25</v>
      </c>
      <c r="L71">
        <v>1328.307</v>
      </c>
      <c r="M71">
        <v>1294.537</v>
      </c>
      <c r="N71">
        <v>1391.5730000000001</v>
      </c>
      <c r="O71">
        <v>1215.5119999999999</v>
      </c>
      <c r="P71">
        <v>1621.5519999999999</v>
      </c>
      <c r="R71" s="3">
        <f t="shared" si="6"/>
        <v>1370.2962</v>
      </c>
      <c r="S71" s="3">
        <f t="shared" si="7"/>
        <v>68.935795173045179</v>
      </c>
    </row>
    <row r="72" spans="1:19" x14ac:dyDescent="0.25">
      <c r="A72">
        <v>77.5</v>
      </c>
      <c r="B72">
        <v>1670.096</v>
      </c>
      <c r="C72">
        <v>1579.2719999999999</v>
      </c>
      <c r="D72">
        <v>1469.787</v>
      </c>
      <c r="E72">
        <v>1833.221</v>
      </c>
      <c r="F72">
        <v>1152.278</v>
      </c>
      <c r="H72" s="2">
        <f t="shared" si="4"/>
        <v>1540.9308000000001</v>
      </c>
      <c r="I72" s="2">
        <f t="shared" si="5"/>
        <v>113.95167764249879</v>
      </c>
      <c r="K72">
        <v>77.5</v>
      </c>
      <c r="L72">
        <v>1380.5650000000001</v>
      </c>
      <c r="M72">
        <v>1358.2260000000001</v>
      </c>
      <c r="N72">
        <v>1446.3040000000001</v>
      </c>
      <c r="O72">
        <v>1265.4570000000001</v>
      </c>
      <c r="P72">
        <v>1675.9839999999999</v>
      </c>
      <c r="R72" s="3">
        <f t="shared" si="6"/>
        <v>1425.3072</v>
      </c>
      <c r="S72" s="3">
        <f t="shared" si="7"/>
        <v>69.041133378153603</v>
      </c>
    </row>
    <row r="73" spans="1:19" x14ac:dyDescent="0.25">
      <c r="A73">
        <v>78.75</v>
      </c>
      <c r="B73">
        <v>1602.816</v>
      </c>
      <c r="C73">
        <v>1525.8779999999999</v>
      </c>
      <c r="D73">
        <v>1421.3409999999999</v>
      </c>
      <c r="E73">
        <v>1781.019</v>
      </c>
      <c r="F73">
        <v>1089.5</v>
      </c>
      <c r="H73" s="2">
        <f t="shared" si="4"/>
        <v>1484.1107999999999</v>
      </c>
      <c r="I73" s="2">
        <f t="shared" si="5"/>
        <v>114.81455351975202</v>
      </c>
      <c r="K73">
        <v>78.75</v>
      </c>
      <c r="L73">
        <v>1336.104</v>
      </c>
      <c r="M73">
        <v>1307.2090000000001</v>
      </c>
      <c r="N73">
        <v>1398.278</v>
      </c>
      <c r="O73">
        <v>1213.4639999999999</v>
      </c>
      <c r="P73">
        <v>1631.703</v>
      </c>
      <c r="R73" s="3">
        <f t="shared" si="6"/>
        <v>1377.3516</v>
      </c>
      <c r="S73" s="3">
        <f t="shared" si="7"/>
        <v>70.218602653856351</v>
      </c>
    </row>
    <row r="74" spans="1:19" x14ac:dyDescent="0.25">
      <c r="A74">
        <v>80</v>
      </c>
      <c r="B74">
        <v>1502.3879999999999</v>
      </c>
      <c r="C74">
        <v>1463.288</v>
      </c>
      <c r="D74">
        <v>1375.92</v>
      </c>
      <c r="E74">
        <v>1732.193</v>
      </c>
      <c r="F74">
        <v>1020.359</v>
      </c>
      <c r="H74" s="2">
        <f t="shared" si="4"/>
        <v>1418.8296</v>
      </c>
      <c r="I74" s="2">
        <f t="shared" si="5"/>
        <v>115.70981566772964</v>
      </c>
      <c r="K74">
        <v>80</v>
      </c>
      <c r="L74">
        <v>1290.8510000000001</v>
      </c>
      <c r="M74">
        <v>1251.0820000000001</v>
      </c>
      <c r="N74">
        <v>1349.6489999999999</v>
      </c>
      <c r="O74">
        <v>1156.3489999999999</v>
      </c>
      <c r="P74">
        <v>1572.751</v>
      </c>
      <c r="R74" s="3">
        <f t="shared" si="6"/>
        <v>1324.1363999999999</v>
      </c>
      <c r="S74" s="3">
        <f t="shared" si="7"/>
        <v>69.662610812114721</v>
      </c>
    </row>
    <row r="75" spans="1:19" x14ac:dyDescent="0.25">
      <c r="A75">
        <v>81.25</v>
      </c>
      <c r="B75">
        <v>1510.6690000000001</v>
      </c>
      <c r="C75">
        <v>1489.614</v>
      </c>
      <c r="D75">
        <v>1396.482</v>
      </c>
      <c r="E75">
        <v>1756.7339999999999</v>
      </c>
      <c r="F75">
        <v>1024.681</v>
      </c>
      <c r="H75" s="2">
        <f t="shared" si="4"/>
        <v>1435.636</v>
      </c>
      <c r="I75" s="2">
        <f t="shared" si="5"/>
        <v>118.7570100916147</v>
      </c>
      <c r="K75">
        <v>81.25</v>
      </c>
      <c r="L75">
        <v>1310.6610000000001</v>
      </c>
      <c r="M75">
        <v>1273.2660000000001</v>
      </c>
      <c r="N75">
        <v>1373.817</v>
      </c>
      <c r="O75">
        <v>1189.0260000000001</v>
      </c>
      <c r="P75">
        <v>1611.559</v>
      </c>
      <c r="R75" s="3">
        <f t="shared" si="6"/>
        <v>1351.6658000000002</v>
      </c>
      <c r="S75" s="3">
        <f t="shared" si="7"/>
        <v>71.524393697115471</v>
      </c>
    </row>
    <row r="76" spans="1:19" x14ac:dyDescent="0.25">
      <c r="A76">
        <v>82.5</v>
      </c>
      <c r="B76">
        <v>1896.162</v>
      </c>
      <c r="C76">
        <v>1845.375</v>
      </c>
      <c r="D76">
        <v>1616.405</v>
      </c>
      <c r="E76">
        <v>1942.9359999999999</v>
      </c>
      <c r="F76">
        <v>1277.1079999999999</v>
      </c>
      <c r="H76" s="2">
        <f t="shared" si="4"/>
        <v>1715.5971999999997</v>
      </c>
      <c r="I76" s="2">
        <f t="shared" si="5"/>
        <v>123.13422055115369</v>
      </c>
      <c r="K76">
        <v>82.5</v>
      </c>
      <c r="L76">
        <v>1493.999</v>
      </c>
      <c r="M76">
        <v>1568.94</v>
      </c>
      <c r="N76">
        <v>1596.317</v>
      </c>
      <c r="O76">
        <v>1485.6690000000001</v>
      </c>
      <c r="P76">
        <v>1927.7829999999999</v>
      </c>
      <c r="R76" s="3">
        <f t="shared" si="6"/>
        <v>1614.5416</v>
      </c>
      <c r="S76" s="3">
        <f t="shared" si="7"/>
        <v>81.138918555523844</v>
      </c>
    </row>
    <row r="77" spans="1:19" x14ac:dyDescent="0.25">
      <c r="A77">
        <v>83.75</v>
      </c>
      <c r="B77">
        <v>2818.6129999999998</v>
      </c>
      <c r="C77">
        <v>2819.797</v>
      </c>
      <c r="D77">
        <v>2204.5210000000002</v>
      </c>
      <c r="E77">
        <v>2480.4189999999999</v>
      </c>
      <c r="F77">
        <v>1958.3209999999999</v>
      </c>
      <c r="H77" s="2">
        <f t="shared" si="4"/>
        <v>2456.3342000000002</v>
      </c>
      <c r="I77" s="2">
        <f t="shared" si="5"/>
        <v>169.61106222366516</v>
      </c>
      <c r="K77">
        <v>83.75</v>
      </c>
      <c r="L77">
        <v>2016.0429999999999</v>
      </c>
      <c r="M77">
        <v>2331.703</v>
      </c>
      <c r="N77">
        <v>2227.9050000000002</v>
      </c>
      <c r="O77">
        <v>2200.306</v>
      </c>
      <c r="P77">
        <v>2716.74</v>
      </c>
      <c r="R77" s="3">
        <f t="shared" si="6"/>
        <v>2298.5394000000001</v>
      </c>
      <c r="S77" s="3">
        <f t="shared" si="7"/>
        <v>116.2830171515174</v>
      </c>
    </row>
    <row r="78" spans="1:19" x14ac:dyDescent="0.25">
      <c r="A78">
        <v>85</v>
      </c>
      <c r="B78">
        <v>3944.8150000000001</v>
      </c>
      <c r="C78">
        <v>3963.393</v>
      </c>
      <c r="D78">
        <v>2980.8969999999999</v>
      </c>
      <c r="E78">
        <v>3110.9850000000001</v>
      </c>
      <c r="F78">
        <v>2797.2420000000002</v>
      </c>
      <c r="H78" s="2">
        <f t="shared" si="4"/>
        <v>3359.4664000000002</v>
      </c>
      <c r="I78" s="2">
        <f t="shared" si="5"/>
        <v>247.84212660756322</v>
      </c>
      <c r="K78">
        <v>85</v>
      </c>
      <c r="L78">
        <v>2719.1080000000002</v>
      </c>
      <c r="M78">
        <v>3327.076</v>
      </c>
      <c r="N78">
        <v>3063.665</v>
      </c>
      <c r="O78">
        <v>3093.0749999999998</v>
      </c>
      <c r="P78">
        <v>3605.4380000000001</v>
      </c>
      <c r="R78" s="3">
        <f t="shared" si="6"/>
        <v>3161.6723999999999</v>
      </c>
      <c r="S78" s="3">
        <f t="shared" si="7"/>
        <v>147.38734011528942</v>
      </c>
    </row>
    <row r="79" spans="1:19" x14ac:dyDescent="0.25">
      <c r="A79">
        <v>86.25</v>
      </c>
      <c r="B79">
        <v>4635.9480000000003</v>
      </c>
      <c r="C79">
        <v>4581.9049999999997</v>
      </c>
      <c r="D79">
        <v>3428.2759999999998</v>
      </c>
      <c r="E79">
        <v>3443.3229999999999</v>
      </c>
      <c r="F79">
        <v>3304.3969999999999</v>
      </c>
      <c r="H79" s="2">
        <f t="shared" si="4"/>
        <v>3878.7697999999996</v>
      </c>
      <c r="I79" s="2">
        <f t="shared" si="5"/>
        <v>299.18060004642768</v>
      </c>
      <c r="K79">
        <v>86.25</v>
      </c>
      <c r="L79">
        <v>3153.6590000000001</v>
      </c>
      <c r="M79">
        <v>3909.7869999999998</v>
      </c>
      <c r="N79">
        <v>3515.5329999999999</v>
      </c>
      <c r="O79">
        <v>3618.9830000000002</v>
      </c>
      <c r="P79">
        <v>4070.9969999999998</v>
      </c>
      <c r="R79" s="3">
        <f t="shared" si="6"/>
        <v>3653.7918</v>
      </c>
      <c r="S79" s="3">
        <f t="shared" si="7"/>
        <v>159.69559907849677</v>
      </c>
    </row>
    <row r="80" spans="1:19" x14ac:dyDescent="0.25">
      <c r="A80">
        <v>87.5</v>
      </c>
      <c r="B80">
        <v>4560.1930000000002</v>
      </c>
      <c r="C80">
        <v>4368.8829999999998</v>
      </c>
      <c r="D80">
        <v>3254.248</v>
      </c>
      <c r="E80">
        <v>3229.9560000000001</v>
      </c>
      <c r="F80">
        <v>3137.6790000000001</v>
      </c>
      <c r="H80" s="2">
        <f t="shared" si="4"/>
        <v>3710.1918000000005</v>
      </c>
      <c r="I80" s="2">
        <f t="shared" si="5"/>
        <v>310.0530773498939</v>
      </c>
      <c r="K80">
        <v>87.5</v>
      </c>
      <c r="L80">
        <v>3006.8449999999998</v>
      </c>
      <c r="M80">
        <v>3764.654</v>
      </c>
      <c r="N80">
        <v>3307.1489999999999</v>
      </c>
      <c r="O80">
        <v>3426.538</v>
      </c>
      <c r="P80">
        <v>3782.2289999999998</v>
      </c>
      <c r="R80" s="3">
        <f t="shared" si="6"/>
        <v>3457.4830000000002</v>
      </c>
      <c r="S80" s="3">
        <f t="shared" si="7"/>
        <v>146.02165924649671</v>
      </c>
    </row>
    <row r="81" spans="1:19" x14ac:dyDescent="0.25">
      <c r="A81">
        <v>88.75</v>
      </c>
      <c r="B81">
        <v>3799.913</v>
      </c>
      <c r="C81">
        <v>3566.509</v>
      </c>
      <c r="D81">
        <v>2637.3629999999998</v>
      </c>
      <c r="E81">
        <v>2655.7710000000002</v>
      </c>
      <c r="F81">
        <v>2460.1089999999999</v>
      </c>
      <c r="H81" s="2">
        <f t="shared" si="4"/>
        <v>3023.933</v>
      </c>
      <c r="I81" s="2">
        <f t="shared" si="5"/>
        <v>273.80748732421449</v>
      </c>
      <c r="K81">
        <v>88.75</v>
      </c>
      <c r="L81">
        <v>2435.1489999999999</v>
      </c>
      <c r="M81">
        <v>3024.96</v>
      </c>
      <c r="N81">
        <v>2627.6770000000001</v>
      </c>
      <c r="O81">
        <v>2728.9270000000001</v>
      </c>
      <c r="P81">
        <v>3068.43</v>
      </c>
      <c r="R81" s="3">
        <f t="shared" si="6"/>
        <v>2777.0286000000001</v>
      </c>
      <c r="S81" s="3">
        <f t="shared" si="7"/>
        <v>119.97626437533384</v>
      </c>
    </row>
    <row r="82" spans="1:19" x14ac:dyDescent="0.25">
      <c r="A82">
        <v>90</v>
      </c>
      <c r="B82">
        <v>3196.123</v>
      </c>
      <c r="C82">
        <v>3048.9969999999998</v>
      </c>
      <c r="D82">
        <v>2122.3510000000001</v>
      </c>
      <c r="E82">
        <v>2212.0540000000001</v>
      </c>
      <c r="F82">
        <v>2173.7220000000002</v>
      </c>
      <c r="H82" s="2">
        <f t="shared" si="4"/>
        <v>2550.6493999999998</v>
      </c>
      <c r="I82" s="2">
        <f t="shared" si="5"/>
        <v>235.06883331666893</v>
      </c>
      <c r="K82">
        <v>90</v>
      </c>
      <c r="L82">
        <v>1969.2360000000001</v>
      </c>
      <c r="M82">
        <v>2541.962</v>
      </c>
      <c r="N82">
        <v>2121.7139999999999</v>
      </c>
      <c r="O82">
        <v>2321.4749999999999</v>
      </c>
      <c r="P82">
        <v>2531.826</v>
      </c>
      <c r="R82" s="3">
        <f t="shared" si="6"/>
        <v>2297.2426</v>
      </c>
      <c r="S82" s="3">
        <f t="shared" si="7"/>
        <v>112.67270844423683</v>
      </c>
    </row>
    <row r="83" spans="1:19" x14ac:dyDescent="0.25">
      <c r="A83">
        <v>91.25</v>
      </c>
      <c r="B83">
        <v>3561.6909999999998</v>
      </c>
      <c r="C83">
        <v>3437.625</v>
      </c>
      <c r="D83">
        <v>2074.4989999999998</v>
      </c>
      <c r="E83">
        <v>2127.3809999999999</v>
      </c>
      <c r="F83">
        <v>2497.0250000000001</v>
      </c>
      <c r="H83" s="2">
        <f t="shared" si="4"/>
        <v>2739.6441999999997</v>
      </c>
      <c r="I83" s="2">
        <f t="shared" si="5"/>
        <v>319.302879561461</v>
      </c>
      <c r="K83">
        <v>91.25</v>
      </c>
      <c r="L83">
        <v>1913.69</v>
      </c>
      <c r="M83">
        <v>2817.6689999999999</v>
      </c>
      <c r="N83">
        <v>2140.5650000000001</v>
      </c>
      <c r="O83">
        <v>2573.4830000000002</v>
      </c>
      <c r="P83">
        <v>2526.395</v>
      </c>
      <c r="R83" s="3">
        <f t="shared" si="6"/>
        <v>2394.3604000000005</v>
      </c>
      <c r="S83" s="3">
        <f t="shared" si="7"/>
        <v>161.88952263182338</v>
      </c>
    </row>
    <row r="84" spans="1:19" x14ac:dyDescent="0.25">
      <c r="A84">
        <v>92.5</v>
      </c>
      <c r="B84">
        <v>4190.2209999999995</v>
      </c>
      <c r="C84">
        <v>3926.9270000000001</v>
      </c>
      <c r="D84">
        <v>2212.9859999999999</v>
      </c>
      <c r="E84">
        <v>2223.27</v>
      </c>
      <c r="F84">
        <v>2882.4949999999999</v>
      </c>
      <c r="H84" s="2">
        <f t="shared" si="4"/>
        <v>3087.1797999999994</v>
      </c>
      <c r="I84" s="2">
        <f t="shared" si="5"/>
        <v>416.7928777373009</v>
      </c>
      <c r="K84">
        <v>92.5</v>
      </c>
      <c r="L84">
        <v>2059.9490000000001</v>
      </c>
      <c r="M84">
        <v>3216.6120000000001</v>
      </c>
      <c r="N84">
        <v>2316.1480000000001</v>
      </c>
      <c r="O84">
        <v>2917.71</v>
      </c>
      <c r="P84">
        <v>2682.973</v>
      </c>
      <c r="R84" s="3">
        <f t="shared" si="6"/>
        <v>2638.6783999999998</v>
      </c>
      <c r="S84" s="3">
        <f t="shared" si="7"/>
        <v>206.49230842154893</v>
      </c>
    </row>
    <row r="85" spans="1:19" x14ac:dyDescent="0.25">
      <c r="A85">
        <v>93.75</v>
      </c>
      <c r="B85">
        <v>4436.6549999999997</v>
      </c>
      <c r="C85">
        <v>4044.05</v>
      </c>
      <c r="D85">
        <v>2378.8539999999998</v>
      </c>
      <c r="E85">
        <v>2516.471</v>
      </c>
      <c r="F85">
        <v>2980.0889999999999</v>
      </c>
      <c r="H85" s="2">
        <f t="shared" si="4"/>
        <v>3271.2237999999998</v>
      </c>
      <c r="I85" s="2">
        <f t="shared" si="5"/>
        <v>412.68785650724027</v>
      </c>
      <c r="K85">
        <v>93.75</v>
      </c>
      <c r="L85">
        <v>2246.4940000000001</v>
      </c>
      <c r="M85">
        <v>3338.6480000000001</v>
      </c>
      <c r="N85">
        <v>2488.5610000000001</v>
      </c>
      <c r="O85">
        <v>3049.3510000000001</v>
      </c>
      <c r="P85">
        <v>2834.1909999999998</v>
      </c>
      <c r="R85" s="3">
        <f t="shared" si="6"/>
        <v>2791.4489999999996</v>
      </c>
      <c r="S85" s="3">
        <f t="shared" si="7"/>
        <v>194.48446703246128</v>
      </c>
    </row>
    <row r="86" spans="1:19" x14ac:dyDescent="0.25">
      <c r="A86">
        <v>95</v>
      </c>
      <c r="B86">
        <v>4139.6880000000001</v>
      </c>
      <c r="C86">
        <v>3711.3649999999998</v>
      </c>
      <c r="D86">
        <v>2584.0949999999998</v>
      </c>
      <c r="E86">
        <v>2996.5479999999998</v>
      </c>
      <c r="F86">
        <v>2720.366</v>
      </c>
      <c r="H86" s="2">
        <f t="shared" si="4"/>
        <v>3230.4124000000002</v>
      </c>
      <c r="I86" s="2">
        <f t="shared" si="5"/>
        <v>299.22095427001813</v>
      </c>
      <c r="K86">
        <v>95</v>
      </c>
      <c r="L86">
        <v>2457.1729999999998</v>
      </c>
      <c r="M86">
        <v>3119.4960000000001</v>
      </c>
      <c r="N86">
        <v>2674.9450000000002</v>
      </c>
      <c r="O86">
        <v>2873.2280000000001</v>
      </c>
      <c r="P86">
        <v>3028.8090000000002</v>
      </c>
      <c r="R86" s="3">
        <f t="shared" si="6"/>
        <v>2830.7302000000004</v>
      </c>
      <c r="S86" s="3">
        <f t="shared" si="7"/>
        <v>120.05019189380755</v>
      </c>
    </row>
    <row r="87" spans="1:19" x14ac:dyDescent="0.25">
      <c r="A87">
        <v>96.25</v>
      </c>
      <c r="B87">
        <v>3621.672</v>
      </c>
      <c r="C87">
        <v>3404.277</v>
      </c>
      <c r="D87">
        <v>2811.7449999999999</v>
      </c>
      <c r="E87">
        <v>3475.328</v>
      </c>
      <c r="F87">
        <v>2377.5940000000001</v>
      </c>
      <c r="H87" s="2">
        <f t="shared" si="4"/>
        <v>3138.1231999999995</v>
      </c>
      <c r="I87" s="2">
        <f t="shared" si="5"/>
        <v>234.87142843126048</v>
      </c>
      <c r="K87">
        <v>96.25</v>
      </c>
      <c r="L87">
        <v>2644.585</v>
      </c>
      <c r="M87">
        <v>2859.819</v>
      </c>
      <c r="N87">
        <v>2861.6779999999999</v>
      </c>
      <c r="O87">
        <v>2660.8739999999998</v>
      </c>
      <c r="P87">
        <v>3308.7979999999998</v>
      </c>
      <c r="R87" s="3">
        <f t="shared" si="6"/>
        <v>2867.1508000000003</v>
      </c>
      <c r="S87" s="3">
        <f t="shared" si="7"/>
        <v>119.83772562235981</v>
      </c>
    </row>
    <row r="88" spans="1:19" x14ac:dyDescent="0.25">
      <c r="A88">
        <v>97.5</v>
      </c>
      <c r="B88">
        <v>3501.6640000000002</v>
      </c>
      <c r="C88">
        <v>3424.181</v>
      </c>
      <c r="D88">
        <v>3092.6030000000001</v>
      </c>
      <c r="E88">
        <v>3876.5889999999999</v>
      </c>
      <c r="F88">
        <v>2361.9160000000002</v>
      </c>
      <c r="H88" s="2">
        <f t="shared" si="4"/>
        <v>3251.3906000000002</v>
      </c>
      <c r="I88" s="2">
        <f t="shared" si="5"/>
        <v>254.9259600748023</v>
      </c>
      <c r="K88">
        <v>97.5</v>
      </c>
      <c r="L88">
        <v>2867.846</v>
      </c>
      <c r="M88">
        <v>2920.4009999999998</v>
      </c>
      <c r="N88">
        <v>3044.056</v>
      </c>
      <c r="O88">
        <v>2705.3009999999999</v>
      </c>
      <c r="P88">
        <v>3671.9720000000002</v>
      </c>
      <c r="R88" s="3">
        <f t="shared" si="6"/>
        <v>3041.9151999999999</v>
      </c>
      <c r="S88" s="3">
        <f t="shared" si="7"/>
        <v>166.63598967252094</v>
      </c>
    </row>
    <row r="89" spans="1:19" x14ac:dyDescent="0.25">
      <c r="A89">
        <v>98.75</v>
      </c>
      <c r="B89">
        <v>3681.183</v>
      </c>
      <c r="C89">
        <v>3622.1790000000001</v>
      </c>
      <c r="D89">
        <v>3342.2750000000001</v>
      </c>
      <c r="E89">
        <v>4141.4279999999999</v>
      </c>
      <c r="F89">
        <v>2511.9470000000001</v>
      </c>
      <c r="H89" s="2">
        <f t="shared" si="4"/>
        <v>3459.8024000000005</v>
      </c>
      <c r="I89" s="2">
        <f t="shared" si="5"/>
        <v>269.46535379517655</v>
      </c>
      <c r="K89">
        <v>98.75</v>
      </c>
      <c r="L89">
        <v>3066.7539999999999</v>
      </c>
      <c r="M89">
        <v>3124.78</v>
      </c>
      <c r="N89">
        <v>3224.72</v>
      </c>
      <c r="O89">
        <v>2891.1010000000001</v>
      </c>
      <c r="P89">
        <v>3906.2289999999998</v>
      </c>
      <c r="R89" s="3">
        <f t="shared" si="6"/>
        <v>3242.7167999999997</v>
      </c>
      <c r="S89" s="3">
        <f t="shared" si="7"/>
        <v>174.51045684239193</v>
      </c>
    </row>
    <row r="90" spans="1:19" x14ac:dyDescent="0.25">
      <c r="A90">
        <v>100</v>
      </c>
      <c r="B90">
        <v>3749.6579999999999</v>
      </c>
      <c r="C90">
        <v>3700.8429999999998</v>
      </c>
      <c r="D90">
        <v>3428.6439999999998</v>
      </c>
      <c r="E90">
        <v>4196.5870000000004</v>
      </c>
      <c r="F90">
        <v>2548.3119999999999</v>
      </c>
      <c r="H90" s="2">
        <f t="shared" si="4"/>
        <v>3524.8088000000002</v>
      </c>
      <c r="I90" s="2">
        <f t="shared" si="5"/>
        <v>273.4615897594021</v>
      </c>
      <c r="K90">
        <v>100</v>
      </c>
      <c r="L90">
        <v>3086.7539999999999</v>
      </c>
      <c r="M90">
        <v>3196.4490000000001</v>
      </c>
      <c r="N90">
        <v>3272.433</v>
      </c>
      <c r="O90">
        <v>2973.21</v>
      </c>
      <c r="P90">
        <v>3970.0659999999998</v>
      </c>
      <c r="R90" s="3">
        <f t="shared" si="6"/>
        <v>3299.7823999999991</v>
      </c>
      <c r="S90" s="3">
        <f t="shared" si="7"/>
        <v>175.03378492639922</v>
      </c>
    </row>
    <row r="91" spans="1:19" x14ac:dyDescent="0.25">
      <c r="A91">
        <v>101.25</v>
      </c>
      <c r="B91">
        <v>3706.2739999999999</v>
      </c>
      <c r="C91">
        <v>3623.145</v>
      </c>
      <c r="D91">
        <v>3379.7460000000001</v>
      </c>
      <c r="E91">
        <v>4092.7930000000001</v>
      </c>
      <c r="F91">
        <v>2517.0129999999999</v>
      </c>
      <c r="H91" s="2">
        <f t="shared" si="4"/>
        <v>3463.7942000000003</v>
      </c>
      <c r="I91" s="2">
        <f t="shared" si="5"/>
        <v>262.9911939463741</v>
      </c>
      <c r="K91">
        <v>101.25</v>
      </c>
      <c r="L91">
        <v>3008.9409999999998</v>
      </c>
      <c r="M91">
        <v>3157.13</v>
      </c>
      <c r="N91">
        <v>3198.3510000000001</v>
      </c>
      <c r="O91">
        <v>2939.3560000000002</v>
      </c>
      <c r="P91">
        <v>3876.4789999999998</v>
      </c>
      <c r="R91" s="3">
        <f t="shared" si="6"/>
        <v>3236.0513999999998</v>
      </c>
      <c r="S91" s="3">
        <f t="shared" si="7"/>
        <v>166.94380979077991</v>
      </c>
    </row>
    <row r="92" spans="1:19" x14ac:dyDescent="0.25">
      <c r="A92">
        <v>102.5</v>
      </c>
      <c r="B92">
        <v>3542.4389999999999</v>
      </c>
      <c r="C92">
        <v>3412.9769999999999</v>
      </c>
      <c r="D92">
        <v>3196.4850000000001</v>
      </c>
      <c r="E92">
        <v>3824.5650000000001</v>
      </c>
      <c r="F92">
        <v>2395.3339999999998</v>
      </c>
      <c r="H92" s="2">
        <f t="shared" si="4"/>
        <v>3274.3599999999997</v>
      </c>
      <c r="I92" s="2">
        <f t="shared" si="5"/>
        <v>242.13196704029124</v>
      </c>
      <c r="K92">
        <v>102.5</v>
      </c>
      <c r="L92">
        <v>2839.212</v>
      </c>
      <c r="M92">
        <v>3025.6480000000001</v>
      </c>
      <c r="N92">
        <v>3001.0610000000001</v>
      </c>
      <c r="O92">
        <v>2801.58</v>
      </c>
      <c r="P92">
        <v>3667.1970000000001</v>
      </c>
      <c r="R92" s="3">
        <f t="shared" si="6"/>
        <v>3066.9396000000002</v>
      </c>
      <c r="S92" s="3">
        <f t="shared" si="7"/>
        <v>156.30571159385141</v>
      </c>
    </row>
    <row r="93" spans="1:19" x14ac:dyDescent="0.25">
      <c r="A93">
        <v>103.75</v>
      </c>
      <c r="B93">
        <v>3173.6779999999999</v>
      </c>
      <c r="C93">
        <v>3013.1219999999998</v>
      </c>
      <c r="D93">
        <v>2850.4740000000002</v>
      </c>
      <c r="E93">
        <v>3413.0810000000001</v>
      </c>
      <c r="F93">
        <v>2117.2710000000002</v>
      </c>
      <c r="H93" s="2">
        <f t="shared" si="4"/>
        <v>2913.5252</v>
      </c>
      <c r="I93" s="2">
        <f t="shared" si="5"/>
        <v>219.67603465908599</v>
      </c>
      <c r="K93">
        <v>103.75</v>
      </c>
      <c r="L93">
        <v>2497.3589999999999</v>
      </c>
      <c r="M93">
        <v>2721.777</v>
      </c>
      <c r="N93">
        <v>2648.165</v>
      </c>
      <c r="O93">
        <v>2509.623</v>
      </c>
      <c r="P93">
        <v>3304.3649999999998</v>
      </c>
      <c r="R93" s="3">
        <f t="shared" si="6"/>
        <v>2736.2578000000003</v>
      </c>
      <c r="S93" s="3">
        <f t="shared" si="7"/>
        <v>148.18093583265036</v>
      </c>
    </row>
    <row r="94" spans="1:19" x14ac:dyDescent="0.25">
      <c r="A94">
        <v>105</v>
      </c>
      <c r="B94">
        <v>2740.674</v>
      </c>
      <c r="C94">
        <v>2604.2779999999998</v>
      </c>
      <c r="D94">
        <v>2494.375</v>
      </c>
      <c r="E94">
        <v>3029.739</v>
      </c>
      <c r="F94">
        <v>1854.415</v>
      </c>
      <c r="H94" s="2">
        <f t="shared" si="4"/>
        <v>2544.6961999999999</v>
      </c>
      <c r="I94" s="2">
        <f t="shared" si="5"/>
        <v>194.4536146564011</v>
      </c>
      <c r="K94">
        <v>105</v>
      </c>
      <c r="L94">
        <v>2156.8139999999999</v>
      </c>
      <c r="M94">
        <v>2380.4870000000001</v>
      </c>
      <c r="N94">
        <v>2285.9679999999998</v>
      </c>
      <c r="O94">
        <v>2184.5219999999999</v>
      </c>
      <c r="P94">
        <v>2928.5509999999999</v>
      </c>
      <c r="R94" s="3">
        <f t="shared" si="6"/>
        <v>2387.2683999999999</v>
      </c>
      <c r="S94" s="3">
        <f t="shared" si="7"/>
        <v>140.98048529516566</v>
      </c>
    </row>
    <row r="95" spans="1:19" x14ac:dyDescent="0.25">
      <c r="A95">
        <v>106.25</v>
      </c>
      <c r="B95">
        <v>2409.8420000000001</v>
      </c>
      <c r="C95">
        <v>2314.1410000000001</v>
      </c>
      <c r="D95">
        <v>2223.5790000000002</v>
      </c>
      <c r="E95">
        <v>2719.8969999999999</v>
      </c>
      <c r="F95">
        <v>1660.5730000000001</v>
      </c>
      <c r="H95" s="2">
        <f t="shared" si="4"/>
        <v>2265.6063999999997</v>
      </c>
      <c r="I95" s="2">
        <f t="shared" si="5"/>
        <v>172.82522709651025</v>
      </c>
      <c r="K95">
        <v>106.25</v>
      </c>
      <c r="L95">
        <v>1912.33</v>
      </c>
      <c r="M95">
        <v>2116.8069999999998</v>
      </c>
      <c r="N95">
        <v>2030.7070000000001</v>
      </c>
      <c r="O95">
        <v>1947.0840000000001</v>
      </c>
      <c r="P95">
        <v>2631.5970000000002</v>
      </c>
      <c r="R95" s="3">
        <f t="shared" si="6"/>
        <v>2127.7049999999999</v>
      </c>
      <c r="S95" s="3">
        <f t="shared" si="7"/>
        <v>130.85198935018198</v>
      </c>
    </row>
    <row r="96" spans="1:19" x14ac:dyDescent="0.25">
      <c r="A96">
        <v>107.5</v>
      </c>
      <c r="B96">
        <v>2159.0740000000001</v>
      </c>
      <c r="C96">
        <v>2076.982</v>
      </c>
      <c r="D96">
        <v>2004.4939999999999</v>
      </c>
      <c r="E96">
        <v>2467.7069999999999</v>
      </c>
      <c r="F96">
        <v>1492.58</v>
      </c>
      <c r="H96" s="2">
        <f t="shared" si="4"/>
        <v>2040.1673999999998</v>
      </c>
      <c r="I96" s="2">
        <f t="shared" si="5"/>
        <v>158.02037146697268</v>
      </c>
      <c r="K96">
        <v>107.5</v>
      </c>
      <c r="L96">
        <v>1706.0319999999999</v>
      </c>
      <c r="M96">
        <v>1903.345</v>
      </c>
      <c r="N96">
        <v>1824.0070000000001</v>
      </c>
      <c r="O96">
        <v>1755.585</v>
      </c>
      <c r="P96">
        <v>2376.8939999999998</v>
      </c>
      <c r="R96" s="3">
        <f t="shared" si="6"/>
        <v>1913.1725999999999</v>
      </c>
      <c r="S96" s="3">
        <f t="shared" si="7"/>
        <v>120.58725110997489</v>
      </c>
    </row>
  </sheetData>
  <mergeCells count="2">
    <mergeCell ref="A1:F1"/>
    <mergeCell ref="K1:P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18D54-D7F3-49ED-BCB2-98E1EA2263E6}">
  <dimension ref="A1:AN96"/>
  <sheetViews>
    <sheetView workbookViewId="0">
      <selection activeCell="U3" sqref="U3"/>
    </sheetView>
  </sheetViews>
  <sheetFormatPr defaultRowHeight="11.25" x14ac:dyDescent="0.2"/>
  <cols>
    <col min="1" max="1" width="8.5703125" style="7" bestFit="1" customWidth="1"/>
    <col min="2" max="16" width="7.85546875" style="7" bestFit="1" customWidth="1"/>
    <col min="17" max="17" width="2.140625" style="4" customWidth="1"/>
    <col min="18" max="19" width="9.140625" style="5"/>
    <col min="20" max="20" width="2.85546875" style="4" customWidth="1"/>
    <col min="21" max="21" width="8.85546875" style="7" bestFit="1" customWidth="1"/>
    <col min="22" max="36" width="7.85546875" style="7" bestFit="1" customWidth="1"/>
    <col min="37" max="37" width="2.140625" style="4" customWidth="1"/>
    <col min="38" max="39" width="9.140625" style="6"/>
    <col min="40" max="40" width="2.85546875" style="4" customWidth="1"/>
    <col min="41" max="16384" width="9.140625" style="7"/>
  </cols>
  <sheetData>
    <row r="1" spans="1:39" x14ac:dyDescent="0.2">
      <c r="A1" s="10" t="s">
        <v>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U1" s="11" t="s">
        <v>5</v>
      </c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</row>
    <row r="2" spans="1:39" x14ac:dyDescent="0.2">
      <c r="A2" s="7" t="s">
        <v>6</v>
      </c>
      <c r="B2" s="7">
        <v>1</v>
      </c>
      <c r="C2" s="7">
        <v>2</v>
      </c>
      <c r="D2" s="7">
        <v>3</v>
      </c>
      <c r="E2" s="7">
        <v>4</v>
      </c>
      <c r="F2" s="7">
        <v>5</v>
      </c>
      <c r="G2" s="7">
        <v>6</v>
      </c>
      <c r="H2" s="7">
        <v>7</v>
      </c>
      <c r="I2" s="7">
        <v>8</v>
      </c>
      <c r="J2" s="7">
        <v>9</v>
      </c>
      <c r="K2" s="7">
        <v>10</v>
      </c>
      <c r="L2" s="7">
        <v>11</v>
      </c>
      <c r="M2" s="7">
        <v>12</v>
      </c>
      <c r="N2" s="7">
        <v>13</v>
      </c>
      <c r="O2" s="7">
        <v>14</v>
      </c>
      <c r="P2" s="7">
        <v>15</v>
      </c>
      <c r="U2" s="7" t="s">
        <v>7</v>
      </c>
      <c r="V2" s="7">
        <v>1</v>
      </c>
      <c r="W2" s="7">
        <v>2</v>
      </c>
      <c r="X2" s="7">
        <v>3</v>
      </c>
      <c r="Y2" s="7">
        <v>4</v>
      </c>
      <c r="Z2" s="7">
        <v>5</v>
      </c>
      <c r="AA2" s="7">
        <v>6</v>
      </c>
      <c r="AB2" s="7">
        <v>7</v>
      </c>
      <c r="AC2" s="7">
        <v>8</v>
      </c>
      <c r="AD2" s="7">
        <v>9</v>
      </c>
      <c r="AE2" s="7">
        <v>10</v>
      </c>
      <c r="AF2" s="7">
        <v>11</v>
      </c>
      <c r="AG2" s="7">
        <v>12</v>
      </c>
      <c r="AH2" s="7">
        <v>13</v>
      </c>
      <c r="AI2" s="7">
        <v>14</v>
      </c>
      <c r="AJ2" s="7">
        <v>15</v>
      </c>
    </row>
    <row r="3" spans="1:39" x14ac:dyDescent="0.2">
      <c r="A3" s="7" t="s">
        <v>0</v>
      </c>
      <c r="B3" s="7">
        <v>-5.1310000000000002</v>
      </c>
      <c r="C3" s="7">
        <v>-1.496</v>
      </c>
      <c r="D3" s="7">
        <v>-0.13400000000000001</v>
      </c>
      <c r="E3" s="7">
        <v>-1.1379999999999999</v>
      </c>
      <c r="F3" s="7">
        <v>2.4329999999999998</v>
      </c>
      <c r="G3" s="7">
        <v>1.4510000000000001</v>
      </c>
      <c r="H3" s="7">
        <v>3.4129999999999998</v>
      </c>
      <c r="I3" s="7">
        <v>-1.181</v>
      </c>
      <c r="J3" s="7">
        <v>-1.0029999999999999</v>
      </c>
      <c r="K3" s="7">
        <v>-1.9119999999999999</v>
      </c>
      <c r="L3" s="7">
        <v>6.1550000000000002</v>
      </c>
      <c r="M3" s="7">
        <v>-2.46</v>
      </c>
      <c r="N3" s="7">
        <v>2.798</v>
      </c>
      <c r="O3" s="7">
        <v>4.7060000000000004</v>
      </c>
      <c r="P3" s="7">
        <v>3.0179999999999998</v>
      </c>
      <c r="U3" s="7" t="s">
        <v>0</v>
      </c>
      <c r="V3" s="7">
        <v>-2E-3</v>
      </c>
      <c r="W3" s="7">
        <v>-0.46300000000000002</v>
      </c>
      <c r="X3" s="7">
        <v>3.6259999999999999</v>
      </c>
      <c r="Y3" s="7">
        <v>3.5</v>
      </c>
      <c r="Z3" s="7">
        <v>-0.76800000000000002</v>
      </c>
      <c r="AA3" s="7">
        <v>0.50800000000000001</v>
      </c>
      <c r="AB3" s="7">
        <v>1.762</v>
      </c>
      <c r="AC3" s="7">
        <v>1.5389999999999999</v>
      </c>
      <c r="AD3" s="7">
        <v>0.51300000000000001</v>
      </c>
      <c r="AE3" s="7">
        <v>2.3149999999999999</v>
      </c>
      <c r="AF3" s="7">
        <v>1.8939999999999999</v>
      </c>
      <c r="AG3" s="7">
        <v>1.9259999999999999</v>
      </c>
      <c r="AH3" s="7">
        <v>0.97</v>
      </c>
      <c r="AI3" s="7">
        <v>0.65</v>
      </c>
      <c r="AJ3" s="7">
        <v>2.887</v>
      </c>
    </row>
    <row r="4" spans="1:39" x14ac:dyDescent="0.2">
      <c r="A4" s="7" t="s">
        <v>1</v>
      </c>
      <c r="B4" s="7">
        <v>341.35700000000003</v>
      </c>
      <c r="C4" s="7">
        <v>342.68900000000002</v>
      </c>
      <c r="D4" s="7">
        <v>342.88400000000001</v>
      </c>
      <c r="E4" s="7">
        <v>341.21699999999998</v>
      </c>
      <c r="F4" s="7">
        <v>339.29399999999998</v>
      </c>
      <c r="G4" s="7">
        <v>342.91</v>
      </c>
      <c r="H4" s="7">
        <v>340.55900000000003</v>
      </c>
      <c r="I4" s="7">
        <v>342.02199999999999</v>
      </c>
      <c r="J4" s="7">
        <v>341.76900000000001</v>
      </c>
      <c r="K4" s="7">
        <v>343.86900000000003</v>
      </c>
      <c r="L4" s="7">
        <v>341.89400000000001</v>
      </c>
      <c r="M4" s="7">
        <v>342.25599999999997</v>
      </c>
      <c r="N4" s="7">
        <v>339.96600000000001</v>
      </c>
      <c r="O4" s="7">
        <v>340.39600000000002</v>
      </c>
      <c r="P4" s="7">
        <v>341.75700000000001</v>
      </c>
      <c r="R4" s="5">
        <f>AVERAGE(B4:P4)</f>
        <v>341.65593333333334</v>
      </c>
      <c r="S4" s="5">
        <f>STDEV(B4:P4)/SQRT(COUNT(B4:P4))</f>
        <v>0.31718105790236656</v>
      </c>
      <c r="U4" s="7" t="s">
        <v>1</v>
      </c>
      <c r="V4" s="7">
        <v>339.774</v>
      </c>
      <c r="W4" s="7">
        <v>340.19099999999997</v>
      </c>
      <c r="X4" s="7">
        <v>338.89699999999999</v>
      </c>
      <c r="Y4" s="7">
        <v>336.92599999999999</v>
      </c>
      <c r="Z4" s="7">
        <v>339.12200000000001</v>
      </c>
      <c r="AA4" s="7">
        <v>341.87599999999998</v>
      </c>
      <c r="AB4" s="7">
        <v>340.964</v>
      </c>
      <c r="AC4" s="7">
        <v>341.75599999999997</v>
      </c>
      <c r="AD4" s="7">
        <v>340.49599999999998</v>
      </c>
      <c r="AE4" s="7">
        <v>341.26100000000002</v>
      </c>
      <c r="AF4" s="7">
        <v>341.988</v>
      </c>
      <c r="AG4" s="7">
        <v>338.66800000000001</v>
      </c>
      <c r="AH4" s="7">
        <v>338.90899999999999</v>
      </c>
      <c r="AI4" s="7">
        <v>338.62099999999998</v>
      </c>
      <c r="AJ4" s="7">
        <v>342.57</v>
      </c>
      <c r="AL4" s="6">
        <f>AVERAGE(AC4:AJ4)</f>
        <v>340.53362500000003</v>
      </c>
      <c r="AM4" s="6">
        <f>STDEV(AC4:AJ4)/SQRT(COUNT(AC4:AJ4))</f>
        <v>0.56796657778617843</v>
      </c>
    </row>
    <row r="5" spans="1:39" x14ac:dyDescent="0.2">
      <c r="A5" s="7" t="s">
        <v>2</v>
      </c>
      <c r="B5" s="7">
        <v>75.212999999999994</v>
      </c>
      <c r="C5" s="7">
        <v>75.847999999999999</v>
      </c>
      <c r="D5" s="7">
        <v>75.411000000000001</v>
      </c>
      <c r="E5" s="7">
        <v>75.325999999999993</v>
      </c>
      <c r="F5" s="7">
        <v>74.975999999999999</v>
      </c>
      <c r="G5" s="7">
        <v>75.462999999999994</v>
      </c>
      <c r="H5" s="7">
        <v>75.123000000000005</v>
      </c>
      <c r="I5" s="7">
        <v>75.073999999999998</v>
      </c>
      <c r="J5" s="7">
        <v>75.406000000000006</v>
      </c>
      <c r="K5" s="7">
        <v>75.025000000000006</v>
      </c>
      <c r="L5" s="7">
        <v>75.314999999999998</v>
      </c>
      <c r="M5" s="7">
        <v>75.597999999999999</v>
      </c>
      <c r="N5" s="7">
        <v>74.858000000000004</v>
      </c>
      <c r="O5" s="7">
        <v>74.542000000000002</v>
      </c>
      <c r="P5" s="7">
        <v>74.867999999999995</v>
      </c>
      <c r="R5" s="5">
        <f t="shared" ref="R5:R68" si="0">AVERAGE(B5:P5)</f>
        <v>75.203066666666643</v>
      </c>
      <c r="S5" s="5">
        <f t="shared" ref="S5:S68" si="1">STDEV(B5:P5)/SQRT(COUNT(B5:P5))</f>
        <v>8.525370913124472E-2</v>
      </c>
      <c r="U5" s="7" t="s">
        <v>2</v>
      </c>
      <c r="V5" s="7">
        <v>74.754000000000005</v>
      </c>
      <c r="W5" s="7">
        <v>75.152000000000001</v>
      </c>
      <c r="X5" s="7">
        <v>73.888999999999996</v>
      </c>
      <c r="Y5" s="7">
        <v>73.787000000000006</v>
      </c>
      <c r="Z5" s="7">
        <v>74.775000000000006</v>
      </c>
      <c r="AA5" s="7">
        <v>75.456999999999994</v>
      </c>
      <c r="AB5" s="7">
        <v>74.001000000000005</v>
      </c>
      <c r="AC5" s="7">
        <v>75.415000000000006</v>
      </c>
      <c r="AD5" s="7">
        <v>74.897999999999996</v>
      </c>
      <c r="AE5" s="7">
        <v>75.037999999999997</v>
      </c>
      <c r="AF5" s="7">
        <v>74.989999999999995</v>
      </c>
      <c r="AG5" s="7">
        <v>74.088999999999999</v>
      </c>
      <c r="AH5" s="7">
        <v>74.566999999999993</v>
      </c>
      <c r="AI5" s="7">
        <v>74.706000000000003</v>
      </c>
      <c r="AJ5" s="7">
        <v>74.582999999999998</v>
      </c>
      <c r="AL5" s="6">
        <f t="shared" ref="AL5:AL68" si="2">AVERAGE(AC5:AJ5)</f>
        <v>74.785749999999993</v>
      </c>
      <c r="AM5" s="6">
        <f t="shared" ref="AM5:AM68" si="3">STDEV(AC5:AJ5)/SQRT(COUNT(AC5:AJ5))</f>
        <v>0.13981387500122186</v>
      </c>
    </row>
    <row r="6" spans="1:39" x14ac:dyDescent="0.2">
      <c r="A6" s="7" t="s">
        <v>3</v>
      </c>
      <c r="B6" s="7">
        <v>35.875999999999998</v>
      </c>
      <c r="C6" s="7">
        <v>35.334000000000003</v>
      </c>
      <c r="D6" s="7">
        <v>38.292000000000002</v>
      </c>
      <c r="E6" s="7">
        <v>37.463000000000001</v>
      </c>
      <c r="F6" s="7">
        <v>35.761000000000003</v>
      </c>
      <c r="G6" s="7">
        <v>35.468000000000004</v>
      </c>
      <c r="H6" s="7">
        <v>35.76</v>
      </c>
      <c r="I6" s="7">
        <v>36.033000000000001</v>
      </c>
      <c r="J6" s="7">
        <v>36.816000000000003</v>
      </c>
      <c r="K6" s="7">
        <v>38.942</v>
      </c>
      <c r="L6" s="7">
        <v>36.591000000000001</v>
      </c>
      <c r="M6" s="7">
        <v>36.982999999999997</v>
      </c>
      <c r="N6" s="7">
        <v>36.256</v>
      </c>
      <c r="O6" s="7">
        <v>35.494</v>
      </c>
      <c r="P6" s="7">
        <v>37.531999999999996</v>
      </c>
      <c r="R6" s="5">
        <f t="shared" si="0"/>
        <v>36.573400000000007</v>
      </c>
      <c r="S6" s="5">
        <f t="shared" si="1"/>
        <v>0.28136547661106426</v>
      </c>
      <c r="U6" s="7" t="s">
        <v>3</v>
      </c>
      <c r="V6" s="7">
        <v>35.485999999999997</v>
      </c>
      <c r="W6" s="7">
        <v>36.049999999999997</v>
      </c>
      <c r="X6" s="7">
        <v>36.149000000000001</v>
      </c>
      <c r="Y6" s="7">
        <v>36.14</v>
      </c>
      <c r="Z6" s="7">
        <v>36.601999999999997</v>
      </c>
      <c r="AA6" s="7">
        <v>35.447000000000003</v>
      </c>
      <c r="AB6" s="7">
        <v>35.871000000000002</v>
      </c>
      <c r="AC6" s="7">
        <v>35.451000000000001</v>
      </c>
      <c r="AD6" s="7">
        <v>35.540999999999997</v>
      </c>
      <c r="AE6" s="7">
        <v>38.122999999999998</v>
      </c>
      <c r="AF6" s="7">
        <v>38.191000000000003</v>
      </c>
      <c r="AG6" s="7">
        <v>36.975999999999999</v>
      </c>
      <c r="AH6" s="7">
        <v>37.637</v>
      </c>
      <c r="AI6" s="7">
        <v>37.180999999999997</v>
      </c>
      <c r="AJ6" s="7">
        <v>39.33</v>
      </c>
      <c r="AL6" s="6">
        <f t="shared" si="2"/>
        <v>37.303749999999994</v>
      </c>
      <c r="AM6" s="6">
        <f t="shared" si="3"/>
        <v>0.46937621028948018</v>
      </c>
    </row>
    <row r="7" spans="1:39" x14ac:dyDescent="0.2">
      <c r="A7" s="7">
        <v>-3.75</v>
      </c>
      <c r="B7" s="7">
        <v>768.79700000000003</v>
      </c>
      <c r="C7" s="7">
        <v>772.048</v>
      </c>
      <c r="D7" s="7">
        <v>496.57400000000001</v>
      </c>
      <c r="E7" s="7">
        <v>450.31900000000002</v>
      </c>
      <c r="F7" s="7">
        <v>535.11599999999999</v>
      </c>
      <c r="G7" s="7">
        <v>570.75800000000004</v>
      </c>
      <c r="H7" s="7">
        <v>572.41999999999996</v>
      </c>
      <c r="I7" s="7">
        <v>863.11099999999999</v>
      </c>
      <c r="J7" s="7">
        <v>597.25800000000004</v>
      </c>
      <c r="K7" s="7">
        <v>611.15800000000002</v>
      </c>
      <c r="L7" s="7">
        <v>532.79499999999996</v>
      </c>
      <c r="M7" s="7">
        <v>580.89099999999996</v>
      </c>
      <c r="N7" s="7">
        <v>777.05100000000004</v>
      </c>
      <c r="O7" s="7">
        <v>630.05899999999997</v>
      </c>
      <c r="P7" s="7">
        <v>669.53399999999999</v>
      </c>
      <c r="R7" s="5">
        <f t="shared" si="0"/>
        <v>628.52593333333323</v>
      </c>
      <c r="S7" s="5">
        <f t="shared" si="1"/>
        <v>30.561467575311713</v>
      </c>
      <c r="U7" s="7">
        <v>-3.75</v>
      </c>
      <c r="V7" s="7">
        <v>770.80200000000002</v>
      </c>
      <c r="W7" s="7">
        <v>667.36400000000003</v>
      </c>
      <c r="X7" s="7">
        <v>685.10299999999995</v>
      </c>
      <c r="Y7" s="7">
        <v>524.01099999999997</v>
      </c>
      <c r="Z7" s="7">
        <v>663.22699999999998</v>
      </c>
      <c r="AA7" s="7">
        <v>695.74599999999998</v>
      </c>
      <c r="AB7" s="7">
        <v>590.65800000000002</v>
      </c>
      <c r="AC7" s="7">
        <v>667.178</v>
      </c>
      <c r="AD7" s="7">
        <v>727.596</v>
      </c>
      <c r="AE7" s="7">
        <v>660.59</v>
      </c>
      <c r="AF7" s="7">
        <v>520.68899999999996</v>
      </c>
      <c r="AG7" s="7">
        <v>622.79200000000003</v>
      </c>
      <c r="AH7" s="7">
        <v>690.90200000000004</v>
      </c>
      <c r="AI7" s="7">
        <v>607.92899999999997</v>
      </c>
      <c r="AJ7" s="7">
        <v>555.28300000000002</v>
      </c>
      <c r="AL7" s="6">
        <f t="shared" si="2"/>
        <v>631.61987499999998</v>
      </c>
      <c r="AM7" s="6">
        <f t="shared" si="3"/>
        <v>24.495481273839964</v>
      </c>
    </row>
    <row r="8" spans="1:39" x14ac:dyDescent="0.2">
      <c r="A8" s="7">
        <v>-2.5</v>
      </c>
      <c r="B8" s="7">
        <v>945.947</v>
      </c>
      <c r="C8" s="7">
        <v>1075.2059999999999</v>
      </c>
      <c r="D8" s="7">
        <v>734.59</v>
      </c>
      <c r="E8" s="7">
        <v>667.13</v>
      </c>
      <c r="F8" s="7">
        <v>772.428</v>
      </c>
      <c r="G8" s="7">
        <v>857.73099999999999</v>
      </c>
      <c r="H8" s="7">
        <v>819.92700000000002</v>
      </c>
      <c r="I8" s="7">
        <v>1118.019</v>
      </c>
      <c r="J8" s="7">
        <v>782.9</v>
      </c>
      <c r="K8" s="7">
        <v>695.68899999999996</v>
      </c>
      <c r="L8" s="7">
        <v>755.94600000000003</v>
      </c>
      <c r="M8" s="7">
        <v>788.25</v>
      </c>
      <c r="N8" s="7">
        <v>1018.076</v>
      </c>
      <c r="O8" s="7">
        <v>795.04399999999998</v>
      </c>
      <c r="P8" s="7">
        <v>874.89200000000005</v>
      </c>
      <c r="R8" s="5">
        <f t="shared" si="0"/>
        <v>846.78499999999997</v>
      </c>
      <c r="S8" s="5">
        <f t="shared" si="1"/>
        <v>35.065110296214961</v>
      </c>
      <c r="U8" s="7">
        <v>-2.5</v>
      </c>
      <c r="V8" s="7">
        <v>1013.8579999999999</v>
      </c>
      <c r="W8" s="7">
        <v>903.75800000000004</v>
      </c>
      <c r="X8" s="7">
        <v>919.59799999999996</v>
      </c>
      <c r="Y8" s="7">
        <v>724.54399999999998</v>
      </c>
      <c r="Z8" s="7">
        <v>918.26099999999997</v>
      </c>
      <c r="AA8" s="7">
        <v>786.07799999999997</v>
      </c>
      <c r="AB8" s="7">
        <v>765.66200000000003</v>
      </c>
      <c r="AC8" s="7">
        <v>982.54899999999998</v>
      </c>
      <c r="AD8" s="7">
        <v>1005.83</v>
      </c>
      <c r="AE8" s="7">
        <v>812.36800000000005</v>
      </c>
      <c r="AF8" s="7">
        <v>787.56700000000001</v>
      </c>
      <c r="AG8" s="7">
        <v>830.048</v>
      </c>
      <c r="AH8" s="7">
        <v>960.61900000000003</v>
      </c>
      <c r="AI8" s="7">
        <v>930.43299999999999</v>
      </c>
      <c r="AJ8" s="7">
        <v>824.40700000000004</v>
      </c>
      <c r="AL8" s="6">
        <f t="shared" si="2"/>
        <v>891.72762499999999</v>
      </c>
      <c r="AM8" s="6">
        <f t="shared" si="3"/>
        <v>30.762869058526601</v>
      </c>
    </row>
    <row r="9" spans="1:39" x14ac:dyDescent="0.2">
      <c r="A9" s="7">
        <v>-1.25</v>
      </c>
      <c r="B9" s="7">
        <v>1599.748</v>
      </c>
      <c r="C9" s="7">
        <v>1711.1379999999999</v>
      </c>
      <c r="D9" s="7">
        <v>1396.3430000000001</v>
      </c>
      <c r="E9" s="7">
        <v>1295.2349999999999</v>
      </c>
      <c r="F9" s="7">
        <v>1324.155</v>
      </c>
      <c r="G9" s="7">
        <v>1485.105</v>
      </c>
      <c r="H9" s="7">
        <v>1410.075</v>
      </c>
      <c r="I9" s="7">
        <v>1743.4059999999999</v>
      </c>
      <c r="J9" s="7">
        <v>1461.134</v>
      </c>
      <c r="K9" s="7">
        <v>1248.5039999999999</v>
      </c>
      <c r="L9" s="7">
        <v>1273.463</v>
      </c>
      <c r="M9" s="7">
        <v>1304.4010000000001</v>
      </c>
      <c r="N9" s="7">
        <v>1633.739</v>
      </c>
      <c r="O9" s="7">
        <v>1325.4269999999999</v>
      </c>
      <c r="P9" s="7">
        <v>1428.5730000000001</v>
      </c>
      <c r="R9" s="5">
        <f t="shared" si="0"/>
        <v>1442.6964000000003</v>
      </c>
      <c r="S9" s="5">
        <f t="shared" si="1"/>
        <v>41.646221131927987</v>
      </c>
      <c r="U9" s="7">
        <v>-1.25</v>
      </c>
      <c r="V9" s="7">
        <v>1652.7370000000001</v>
      </c>
      <c r="W9" s="7">
        <v>1539.6030000000001</v>
      </c>
      <c r="X9" s="7">
        <v>1482.9169999999999</v>
      </c>
      <c r="Y9" s="7">
        <v>1195.2619999999999</v>
      </c>
      <c r="Z9" s="7">
        <v>1494.3789999999999</v>
      </c>
      <c r="AA9" s="7">
        <v>1584.8989999999999</v>
      </c>
      <c r="AB9" s="7">
        <v>1244.713</v>
      </c>
      <c r="AC9" s="7">
        <v>1615.625</v>
      </c>
      <c r="AD9" s="7">
        <v>1631.008</v>
      </c>
      <c r="AE9" s="7">
        <v>1462.8979999999999</v>
      </c>
      <c r="AF9" s="7">
        <v>1371.6289999999999</v>
      </c>
      <c r="AG9" s="7">
        <v>1313.2360000000001</v>
      </c>
      <c r="AH9" s="7">
        <v>1563.377</v>
      </c>
      <c r="AI9" s="7">
        <v>1611.8430000000001</v>
      </c>
      <c r="AJ9" s="7">
        <v>1581.56</v>
      </c>
      <c r="AL9" s="6">
        <f t="shared" si="2"/>
        <v>1518.8969999999999</v>
      </c>
      <c r="AM9" s="6">
        <f t="shared" si="3"/>
        <v>43.009438734837197</v>
      </c>
    </row>
    <row r="10" spans="1:39" x14ac:dyDescent="0.2">
      <c r="A10" s="7">
        <v>0</v>
      </c>
      <c r="B10" s="7">
        <v>2419.5410000000002</v>
      </c>
      <c r="C10" s="7">
        <v>2555.8420000000001</v>
      </c>
      <c r="D10" s="7">
        <v>2355.2469999999998</v>
      </c>
      <c r="E10" s="7">
        <v>1986.9639999999999</v>
      </c>
      <c r="F10" s="7">
        <v>2029.652</v>
      </c>
      <c r="G10" s="7">
        <v>2295.7950000000001</v>
      </c>
      <c r="H10" s="7">
        <v>2128.308</v>
      </c>
      <c r="I10" s="7">
        <v>2611.692</v>
      </c>
      <c r="J10" s="7">
        <v>2298.94</v>
      </c>
      <c r="K10" s="7">
        <v>2093.7249999999999</v>
      </c>
      <c r="L10" s="7">
        <v>1918.2660000000001</v>
      </c>
      <c r="M10" s="7">
        <v>2021.81</v>
      </c>
      <c r="N10" s="7">
        <v>2416.058</v>
      </c>
      <c r="O10" s="7">
        <v>2053.6930000000002</v>
      </c>
      <c r="P10" s="7">
        <v>2199.0360000000001</v>
      </c>
      <c r="R10" s="5">
        <f t="shared" si="0"/>
        <v>2225.637933333333</v>
      </c>
      <c r="S10" s="5">
        <f t="shared" si="1"/>
        <v>55.530785602091001</v>
      </c>
      <c r="U10" s="7">
        <v>0</v>
      </c>
      <c r="V10" s="7">
        <v>2471.1819999999998</v>
      </c>
      <c r="W10" s="7">
        <v>2319.0329999999999</v>
      </c>
      <c r="X10" s="7">
        <v>2254.4720000000002</v>
      </c>
      <c r="Y10" s="7">
        <v>1803.0340000000001</v>
      </c>
      <c r="Z10" s="7">
        <v>2191.808</v>
      </c>
      <c r="AA10" s="7">
        <v>2509.098</v>
      </c>
      <c r="AB10" s="7">
        <v>1951.569</v>
      </c>
      <c r="AC10" s="7">
        <v>2435.4520000000002</v>
      </c>
      <c r="AD10" s="7">
        <v>2393.3090000000002</v>
      </c>
      <c r="AE10" s="7">
        <v>2303.127</v>
      </c>
      <c r="AF10" s="7">
        <v>2099.3389999999999</v>
      </c>
      <c r="AG10" s="7">
        <v>1927.8889999999999</v>
      </c>
      <c r="AH10" s="7">
        <v>2322.4189999999999</v>
      </c>
      <c r="AI10" s="7">
        <v>2437.2640000000001</v>
      </c>
      <c r="AJ10" s="7">
        <v>2492.0720000000001</v>
      </c>
      <c r="AL10" s="6">
        <f t="shared" si="2"/>
        <v>2301.3588749999999</v>
      </c>
      <c r="AM10" s="6">
        <f t="shared" si="3"/>
        <v>68.402162046405905</v>
      </c>
    </row>
    <row r="11" spans="1:39" x14ac:dyDescent="0.2">
      <c r="A11" s="7">
        <v>1.25</v>
      </c>
      <c r="B11" s="7">
        <v>3348.1550000000002</v>
      </c>
      <c r="C11" s="7">
        <v>3491.357</v>
      </c>
      <c r="D11" s="7">
        <v>3430.663</v>
      </c>
      <c r="E11" s="7">
        <v>2772.1950000000002</v>
      </c>
      <c r="F11" s="7">
        <v>2800.192</v>
      </c>
      <c r="G11" s="7">
        <v>3131.2809999999999</v>
      </c>
      <c r="H11" s="7">
        <v>2927.808</v>
      </c>
      <c r="I11" s="7">
        <v>3510.86</v>
      </c>
      <c r="J11" s="7">
        <v>3145.3420000000001</v>
      </c>
      <c r="K11" s="7">
        <v>3089.0340000000001</v>
      </c>
      <c r="L11" s="7">
        <v>2644.3490000000002</v>
      </c>
      <c r="M11" s="7">
        <v>2854.1840000000002</v>
      </c>
      <c r="N11" s="7">
        <v>3289.2150000000001</v>
      </c>
      <c r="O11" s="7">
        <v>2792.9720000000002</v>
      </c>
      <c r="P11" s="7">
        <v>3048.5</v>
      </c>
      <c r="R11" s="5">
        <f t="shared" si="0"/>
        <v>3085.0738000000006</v>
      </c>
      <c r="S11" s="5">
        <f t="shared" si="1"/>
        <v>73.044444475896867</v>
      </c>
      <c r="U11" s="7">
        <v>1.25</v>
      </c>
      <c r="V11" s="7">
        <v>3327.462</v>
      </c>
      <c r="W11" s="7">
        <v>3119.6779999999999</v>
      </c>
      <c r="X11" s="7">
        <v>3109.6030000000001</v>
      </c>
      <c r="Y11" s="7">
        <v>2516.3910000000001</v>
      </c>
      <c r="Z11" s="7">
        <v>2972.92</v>
      </c>
      <c r="AA11" s="7">
        <v>3354.6880000000001</v>
      </c>
      <c r="AB11" s="7">
        <v>2732.2510000000002</v>
      </c>
      <c r="AC11" s="7">
        <v>3227.6350000000002</v>
      </c>
      <c r="AD11" s="7">
        <v>3241.136</v>
      </c>
      <c r="AE11" s="7">
        <v>3277.1120000000001</v>
      </c>
      <c r="AF11" s="7">
        <v>2845.317</v>
      </c>
      <c r="AG11" s="7">
        <v>2598.002</v>
      </c>
      <c r="AH11" s="7">
        <v>3102.328</v>
      </c>
      <c r="AI11" s="7">
        <v>3325.8649999999998</v>
      </c>
      <c r="AJ11" s="7">
        <v>3567.8510000000001</v>
      </c>
      <c r="AL11" s="6">
        <f t="shared" si="2"/>
        <v>3148.1557500000004</v>
      </c>
      <c r="AM11" s="6">
        <f t="shared" si="3"/>
        <v>106.55291380874542</v>
      </c>
    </row>
    <row r="12" spans="1:39" x14ac:dyDescent="0.2">
      <c r="A12" s="7">
        <v>2.5</v>
      </c>
      <c r="B12" s="7">
        <v>3884.9459999999999</v>
      </c>
      <c r="C12" s="7">
        <v>3990.8670000000002</v>
      </c>
      <c r="D12" s="7">
        <v>3673.3760000000002</v>
      </c>
      <c r="E12" s="7">
        <v>3219.1779999999999</v>
      </c>
      <c r="F12" s="7">
        <v>3234.953</v>
      </c>
      <c r="G12" s="7">
        <v>3594.49</v>
      </c>
      <c r="H12" s="7">
        <v>3434.3789999999999</v>
      </c>
      <c r="I12" s="7">
        <v>4009.1329999999998</v>
      </c>
      <c r="J12" s="7">
        <v>3649.0590000000002</v>
      </c>
      <c r="K12" s="7">
        <v>3415.498</v>
      </c>
      <c r="L12" s="7">
        <v>3084.2249999999999</v>
      </c>
      <c r="M12" s="7">
        <v>3267.6010000000001</v>
      </c>
      <c r="N12" s="7">
        <v>3768.076</v>
      </c>
      <c r="O12" s="7">
        <v>3253.8739999999998</v>
      </c>
      <c r="P12" s="7">
        <v>3465.127</v>
      </c>
      <c r="R12" s="5">
        <f t="shared" si="0"/>
        <v>3529.6521333333335</v>
      </c>
      <c r="S12" s="5">
        <f t="shared" si="1"/>
        <v>76.140919704620046</v>
      </c>
      <c r="U12" s="7">
        <v>2.5</v>
      </c>
      <c r="V12" s="7">
        <v>3904.9119999999998</v>
      </c>
      <c r="W12" s="7">
        <v>3648.2040000000002</v>
      </c>
      <c r="X12" s="7">
        <v>3599.3020000000001</v>
      </c>
      <c r="Y12" s="7">
        <v>2951.317</v>
      </c>
      <c r="Z12" s="7">
        <v>3452.9389999999999</v>
      </c>
      <c r="AA12" s="7">
        <v>3915.7640000000001</v>
      </c>
      <c r="AB12" s="7">
        <v>3155.2269999999999</v>
      </c>
      <c r="AC12" s="7">
        <v>3710.0210000000002</v>
      </c>
      <c r="AD12" s="7">
        <v>3747.58</v>
      </c>
      <c r="AE12" s="7">
        <v>3757.5189999999998</v>
      </c>
      <c r="AF12" s="7">
        <v>3283.0039999999999</v>
      </c>
      <c r="AG12" s="7">
        <v>3039.6219999999998</v>
      </c>
      <c r="AH12" s="7">
        <v>3614.9319999999998</v>
      </c>
      <c r="AI12" s="7">
        <v>3903.89</v>
      </c>
      <c r="AJ12" s="7">
        <v>4122.4939999999997</v>
      </c>
      <c r="AL12" s="6">
        <f t="shared" si="2"/>
        <v>3647.3827499999998</v>
      </c>
      <c r="AM12" s="6">
        <f t="shared" si="3"/>
        <v>121.06799711920304</v>
      </c>
    </row>
    <row r="13" spans="1:39" x14ac:dyDescent="0.2">
      <c r="A13" s="7">
        <v>3.75</v>
      </c>
      <c r="B13" s="7">
        <v>4125.4250000000002</v>
      </c>
      <c r="C13" s="7">
        <v>4158.473</v>
      </c>
      <c r="D13" s="7">
        <v>3580.8310000000001</v>
      </c>
      <c r="E13" s="7">
        <v>3419.99</v>
      </c>
      <c r="F13" s="7">
        <v>3449.8490000000002</v>
      </c>
      <c r="G13" s="7">
        <v>3804.096</v>
      </c>
      <c r="H13" s="7">
        <v>3609.2860000000001</v>
      </c>
      <c r="I13" s="7">
        <v>4197.3710000000001</v>
      </c>
      <c r="J13" s="7">
        <v>3823</v>
      </c>
      <c r="K13" s="7">
        <v>3285.0529999999999</v>
      </c>
      <c r="L13" s="7">
        <v>3277.8969999999999</v>
      </c>
      <c r="M13" s="7">
        <v>3476.0610000000001</v>
      </c>
      <c r="N13" s="7">
        <v>3992.2849999999999</v>
      </c>
      <c r="O13" s="7">
        <v>3451.3969999999999</v>
      </c>
      <c r="P13" s="7">
        <v>3557.4259999999999</v>
      </c>
      <c r="R13" s="5">
        <f t="shared" si="0"/>
        <v>3680.5626666666662</v>
      </c>
      <c r="S13" s="5">
        <f t="shared" si="1"/>
        <v>81.367274778106434</v>
      </c>
      <c r="U13" s="7">
        <v>3.75</v>
      </c>
      <c r="V13" s="7">
        <v>4139.5929999999998</v>
      </c>
      <c r="W13" s="7">
        <v>3855.2350000000001</v>
      </c>
      <c r="X13" s="7">
        <v>3783.6350000000002</v>
      </c>
      <c r="Y13" s="7">
        <v>3142.91</v>
      </c>
      <c r="Z13" s="7">
        <v>3637.3180000000002</v>
      </c>
      <c r="AA13" s="7">
        <v>4140.6220000000003</v>
      </c>
      <c r="AB13" s="7">
        <v>3314.9949999999999</v>
      </c>
      <c r="AC13" s="7">
        <v>3942.2190000000001</v>
      </c>
      <c r="AD13" s="7">
        <v>3958.0349999999999</v>
      </c>
      <c r="AE13" s="7">
        <v>3884.2489999999998</v>
      </c>
      <c r="AF13" s="7">
        <v>3449.0509999999999</v>
      </c>
      <c r="AG13" s="7">
        <v>3228.4479999999999</v>
      </c>
      <c r="AH13" s="7">
        <v>3833.3609999999999</v>
      </c>
      <c r="AI13" s="7">
        <v>4212.3119999999999</v>
      </c>
      <c r="AJ13" s="7">
        <v>4212.9399999999996</v>
      </c>
      <c r="AL13" s="6">
        <f t="shared" si="2"/>
        <v>3840.0768750000002</v>
      </c>
      <c r="AM13" s="6">
        <f t="shared" si="3"/>
        <v>121.81077439435043</v>
      </c>
    </row>
    <row r="14" spans="1:39" x14ac:dyDescent="0.2">
      <c r="A14" s="7">
        <v>5</v>
      </c>
      <c r="B14" s="7">
        <v>4162.3760000000002</v>
      </c>
      <c r="C14" s="7">
        <v>4235.6189999999997</v>
      </c>
      <c r="D14" s="7">
        <v>3490.7420000000002</v>
      </c>
      <c r="E14" s="7">
        <v>3459.5160000000001</v>
      </c>
      <c r="F14" s="7">
        <v>3519.8270000000002</v>
      </c>
      <c r="G14" s="7">
        <v>3942.8290000000002</v>
      </c>
      <c r="H14" s="7">
        <v>3651.48</v>
      </c>
      <c r="I14" s="7">
        <v>4239.0990000000002</v>
      </c>
      <c r="J14" s="7">
        <v>3825.4209999999998</v>
      </c>
      <c r="K14" s="7">
        <v>3223.047</v>
      </c>
      <c r="L14" s="7">
        <v>3365.7959999999998</v>
      </c>
      <c r="M14" s="7">
        <v>3527.27</v>
      </c>
      <c r="N14" s="7">
        <v>4078.223</v>
      </c>
      <c r="O14" s="7">
        <v>3581.5279999999998</v>
      </c>
      <c r="P14" s="7">
        <v>3618.723</v>
      </c>
      <c r="R14" s="5">
        <f t="shared" si="0"/>
        <v>3728.099733333333</v>
      </c>
      <c r="S14" s="5">
        <f t="shared" si="1"/>
        <v>85.169403592261858</v>
      </c>
      <c r="U14" s="7">
        <v>5</v>
      </c>
      <c r="V14" s="7">
        <v>4204.37</v>
      </c>
      <c r="W14" s="7">
        <v>3893.5160000000001</v>
      </c>
      <c r="X14" s="7">
        <v>3889.576</v>
      </c>
      <c r="Y14" s="7">
        <v>3213.1460000000002</v>
      </c>
      <c r="Z14" s="7">
        <v>3695.2660000000001</v>
      </c>
      <c r="AA14" s="7">
        <v>4242.5590000000002</v>
      </c>
      <c r="AB14" s="7">
        <v>3392.3589999999999</v>
      </c>
      <c r="AC14" s="7">
        <v>4041.779</v>
      </c>
      <c r="AD14" s="7">
        <v>4051.21</v>
      </c>
      <c r="AE14" s="7">
        <v>3964.7579999999998</v>
      </c>
      <c r="AF14" s="7">
        <v>3511.5410000000002</v>
      </c>
      <c r="AG14" s="7">
        <v>3304.3319999999999</v>
      </c>
      <c r="AH14" s="7">
        <v>3961.7759999999998</v>
      </c>
      <c r="AI14" s="7">
        <v>4315.21</v>
      </c>
      <c r="AJ14" s="7">
        <v>4213.6850000000004</v>
      </c>
      <c r="AL14" s="6">
        <f t="shared" si="2"/>
        <v>3920.5363750000001</v>
      </c>
      <c r="AM14" s="6">
        <f t="shared" si="3"/>
        <v>121.31129263223977</v>
      </c>
    </row>
    <row r="15" spans="1:39" x14ac:dyDescent="0.2">
      <c r="A15" s="7">
        <v>6.25</v>
      </c>
      <c r="B15" s="7">
        <v>4194.3969999999999</v>
      </c>
      <c r="C15" s="7">
        <v>4275.0510000000004</v>
      </c>
      <c r="D15" s="7">
        <v>3405.7359999999999</v>
      </c>
      <c r="E15" s="7">
        <v>3442.9760000000001</v>
      </c>
      <c r="F15" s="7">
        <v>3579.0659999999998</v>
      </c>
      <c r="G15" s="7">
        <v>4009.4470000000001</v>
      </c>
      <c r="H15" s="7">
        <v>3689.319</v>
      </c>
      <c r="I15" s="7">
        <v>4260.2380000000003</v>
      </c>
      <c r="J15" s="7">
        <v>3815.248</v>
      </c>
      <c r="K15" s="7">
        <v>3164.7130000000002</v>
      </c>
      <c r="L15" s="7">
        <v>3425.4259999999999</v>
      </c>
      <c r="M15" s="7">
        <v>3516.6779999999999</v>
      </c>
      <c r="N15" s="7">
        <v>4133.2349999999997</v>
      </c>
      <c r="O15" s="7">
        <v>3637.5650000000001</v>
      </c>
      <c r="P15" s="7">
        <v>3658.0079999999998</v>
      </c>
      <c r="R15" s="5">
        <f t="shared" si="0"/>
        <v>3747.1402000000007</v>
      </c>
      <c r="S15" s="5">
        <f t="shared" si="1"/>
        <v>90.52652912290408</v>
      </c>
      <c r="U15" s="7">
        <v>6.25</v>
      </c>
      <c r="V15" s="7">
        <v>4220.1859999999997</v>
      </c>
      <c r="W15" s="7">
        <v>3916.7689999999998</v>
      </c>
      <c r="X15" s="7">
        <v>3901.6039999999998</v>
      </c>
      <c r="Y15" s="7">
        <v>3252.3710000000001</v>
      </c>
      <c r="Z15" s="7">
        <v>3769.212</v>
      </c>
      <c r="AA15" s="7">
        <v>4276.8249999999998</v>
      </c>
      <c r="AB15" s="7">
        <v>3444.7350000000001</v>
      </c>
      <c r="AC15" s="7">
        <v>4123.6419999999998</v>
      </c>
      <c r="AD15" s="7">
        <v>4058.5059999999999</v>
      </c>
      <c r="AE15" s="7">
        <v>4006.6419999999998</v>
      </c>
      <c r="AF15" s="7">
        <v>3554.5210000000002</v>
      </c>
      <c r="AG15" s="7">
        <v>3359.2750000000001</v>
      </c>
      <c r="AH15" s="7">
        <v>4010.1080000000002</v>
      </c>
      <c r="AI15" s="7">
        <v>4341.0069999999996</v>
      </c>
      <c r="AJ15" s="7">
        <v>4213.7879999999996</v>
      </c>
      <c r="AL15" s="6">
        <f t="shared" si="2"/>
        <v>3958.4361250000002</v>
      </c>
      <c r="AM15" s="6">
        <f t="shared" si="3"/>
        <v>117.71691880212295</v>
      </c>
    </row>
    <row r="16" spans="1:39" x14ac:dyDescent="0.2">
      <c r="A16" s="7">
        <v>7.5</v>
      </c>
      <c r="B16" s="7">
        <v>4114.1859999999997</v>
      </c>
      <c r="C16" s="7">
        <v>4196.99</v>
      </c>
      <c r="D16" s="7">
        <v>3284.0329999999999</v>
      </c>
      <c r="E16" s="7">
        <v>3322.634</v>
      </c>
      <c r="F16" s="7">
        <v>3524.3330000000001</v>
      </c>
      <c r="G16" s="7">
        <v>3920.44</v>
      </c>
      <c r="H16" s="7">
        <v>3655.39</v>
      </c>
      <c r="I16" s="7">
        <v>4237.8310000000001</v>
      </c>
      <c r="J16" s="7">
        <v>3735.3310000000001</v>
      </c>
      <c r="K16" s="7">
        <v>3101.9690000000001</v>
      </c>
      <c r="L16" s="7">
        <v>3370.7689999999998</v>
      </c>
      <c r="M16" s="7">
        <v>3413.223</v>
      </c>
      <c r="N16" s="7">
        <v>4039.7860000000001</v>
      </c>
      <c r="O16" s="7">
        <v>3550.8510000000001</v>
      </c>
      <c r="P16" s="7">
        <v>3609.7370000000001</v>
      </c>
      <c r="R16" s="5">
        <f t="shared" si="0"/>
        <v>3671.833533333333</v>
      </c>
      <c r="S16" s="5">
        <f t="shared" si="1"/>
        <v>92.276970196142003</v>
      </c>
      <c r="U16" s="7">
        <v>7.5</v>
      </c>
      <c r="V16" s="7">
        <v>4141.4669999999996</v>
      </c>
      <c r="W16" s="7">
        <v>3841.326</v>
      </c>
      <c r="X16" s="7">
        <v>3840.0630000000001</v>
      </c>
      <c r="Y16" s="7">
        <v>3255.4169999999999</v>
      </c>
      <c r="Z16" s="7">
        <v>3754.93</v>
      </c>
      <c r="AA16" s="7">
        <v>4169.8919999999998</v>
      </c>
      <c r="AB16" s="7">
        <v>3434.3180000000002</v>
      </c>
      <c r="AC16" s="7">
        <v>4091.6759999999999</v>
      </c>
      <c r="AD16" s="7">
        <v>3983.241</v>
      </c>
      <c r="AE16" s="7">
        <v>3921.223</v>
      </c>
      <c r="AF16" s="7">
        <v>3500.502</v>
      </c>
      <c r="AG16" s="7">
        <v>3316.8690000000001</v>
      </c>
      <c r="AH16" s="7">
        <v>3963.413</v>
      </c>
      <c r="AI16" s="7">
        <v>4264.7780000000002</v>
      </c>
      <c r="AJ16" s="7">
        <v>4123.9380000000001</v>
      </c>
      <c r="AL16" s="6">
        <f t="shared" si="2"/>
        <v>3895.7049999999999</v>
      </c>
      <c r="AM16" s="6">
        <f t="shared" si="3"/>
        <v>114.24006939086028</v>
      </c>
    </row>
    <row r="17" spans="1:39" x14ac:dyDescent="0.2">
      <c r="A17" s="7">
        <v>8.75</v>
      </c>
      <c r="B17" s="7">
        <v>3809.7289999999998</v>
      </c>
      <c r="C17" s="7">
        <v>3857.4250000000002</v>
      </c>
      <c r="D17" s="7">
        <v>3110.49</v>
      </c>
      <c r="E17" s="7">
        <v>3108.5030000000002</v>
      </c>
      <c r="F17" s="7">
        <v>3272.7379999999998</v>
      </c>
      <c r="G17" s="7">
        <v>3561.098</v>
      </c>
      <c r="H17" s="7">
        <v>3337.5639999999999</v>
      </c>
      <c r="I17" s="7">
        <v>3930.1550000000002</v>
      </c>
      <c r="J17" s="7">
        <v>3474.877</v>
      </c>
      <c r="K17" s="7">
        <v>2907.701</v>
      </c>
      <c r="L17" s="7">
        <v>3159.4319999999998</v>
      </c>
      <c r="M17" s="7">
        <v>3133.951</v>
      </c>
      <c r="N17" s="7">
        <v>3721.8820000000001</v>
      </c>
      <c r="O17" s="7">
        <v>3298.2739999999999</v>
      </c>
      <c r="P17" s="7">
        <v>3387.2109999999998</v>
      </c>
      <c r="R17" s="5">
        <f t="shared" si="0"/>
        <v>3404.7353333333331</v>
      </c>
      <c r="S17" s="5">
        <f t="shared" si="1"/>
        <v>80.575787982593596</v>
      </c>
      <c r="U17" s="7">
        <v>8.75</v>
      </c>
      <c r="V17" s="7">
        <v>3854.7779999999998</v>
      </c>
      <c r="W17" s="7">
        <v>3572.3429999999998</v>
      </c>
      <c r="X17" s="7">
        <v>3575.2910000000002</v>
      </c>
      <c r="Y17" s="7">
        <v>3088.1729999999998</v>
      </c>
      <c r="Z17" s="7">
        <v>3492.7060000000001</v>
      </c>
      <c r="AA17" s="7">
        <v>3846.9589999999998</v>
      </c>
      <c r="AB17" s="7">
        <v>3152.7739999999999</v>
      </c>
      <c r="AC17" s="7">
        <v>3789.5749999999998</v>
      </c>
      <c r="AD17" s="7">
        <v>3717.6190000000001</v>
      </c>
      <c r="AE17" s="7">
        <v>3664.5410000000002</v>
      </c>
      <c r="AF17" s="7">
        <v>3250.4279999999999</v>
      </c>
      <c r="AG17" s="7">
        <v>3074.5169999999998</v>
      </c>
      <c r="AH17" s="7">
        <v>3746.6030000000001</v>
      </c>
      <c r="AI17" s="7">
        <v>3995.5529999999999</v>
      </c>
      <c r="AJ17" s="7">
        <v>3855.4369999999999</v>
      </c>
      <c r="AL17" s="6">
        <f t="shared" si="2"/>
        <v>3636.7841250000001</v>
      </c>
      <c r="AM17" s="6">
        <f t="shared" si="3"/>
        <v>110.57072062315036</v>
      </c>
    </row>
    <row r="18" spans="1:39" x14ac:dyDescent="0.2">
      <c r="A18" s="7">
        <v>10</v>
      </c>
      <c r="B18" s="7">
        <v>3331.19</v>
      </c>
      <c r="C18" s="7">
        <v>3270.8240000000001</v>
      </c>
      <c r="D18" s="7">
        <v>2637.4189999999999</v>
      </c>
      <c r="E18" s="7">
        <v>2608.4409999999998</v>
      </c>
      <c r="F18" s="7">
        <v>2778.1089999999999</v>
      </c>
      <c r="G18" s="7">
        <v>2999.3939999999998</v>
      </c>
      <c r="H18" s="7">
        <v>2823.5</v>
      </c>
      <c r="I18" s="7">
        <v>3279.6219999999998</v>
      </c>
      <c r="J18" s="7">
        <v>2957.9540000000002</v>
      </c>
      <c r="K18" s="7">
        <v>2536.0100000000002</v>
      </c>
      <c r="L18" s="7">
        <v>2716.5549999999998</v>
      </c>
      <c r="M18" s="7">
        <v>2683.8139999999999</v>
      </c>
      <c r="N18" s="7">
        <v>3104.4760000000001</v>
      </c>
      <c r="O18" s="7">
        <v>2795.145</v>
      </c>
      <c r="P18" s="7">
        <v>2837.779</v>
      </c>
      <c r="R18" s="5">
        <f t="shared" si="0"/>
        <v>2890.6821333333337</v>
      </c>
      <c r="S18" s="5">
        <f t="shared" si="1"/>
        <v>66.321810777513107</v>
      </c>
      <c r="U18" s="7">
        <v>10</v>
      </c>
      <c r="V18" s="7">
        <v>3225.4940000000001</v>
      </c>
      <c r="W18" s="7">
        <v>3005.585</v>
      </c>
      <c r="X18" s="7">
        <v>3065.48</v>
      </c>
      <c r="Y18" s="7">
        <v>2660.855</v>
      </c>
      <c r="Z18" s="7">
        <v>2948.5650000000001</v>
      </c>
      <c r="AA18" s="7">
        <v>3302.444</v>
      </c>
      <c r="AB18" s="7">
        <v>2607.9319999999998</v>
      </c>
      <c r="AC18" s="7">
        <v>3196.6959999999999</v>
      </c>
      <c r="AD18" s="7">
        <v>3207.779</v>
      </c>
      <c r="AE18" s="7">
        <v>3037.2330000000002</v>
      </c>
      <c r="AF18" s="7">
        <v>2723.6289999999999</v>
      </c>
      <c r="AG18" s="7">
        <v>2577.4180000000001</v>
      </c>
      <c r="AH18" s="7">
        <v>3229.2840000000001</v>
      </c>
      <c r="AI18" s="7">
        <v>3413.6379999999999</v>
      </c>
      <c r="AJ18" s="7">
        <v>3276.2249999999999</v>
      </c>
      <c r="AL18" s="6">
        <f t="shared" si="2"/>
        <v>3082.7377499999998</v>
      </c>
      <c r="AM18" s="6">
        <f t="shared" si="3"/>
        <v>102.06857971442356</v>
      </c>
    </row>
    <row r="19" spans="1:39" x14ac:dyDescent="0.2">
      <c r="A19" s="7">
        <v>11.25</v>
      </c>
      <c r="B19" s="7">
        <v>2972.6570000000002</v>
      </c>
      <c r="C19" s="7">
        <v>2844.672</v>
      </c>
      <c r="D19" s="7">
        <v>2224.857</v>
      </c>
      <c r="E19" s="7">
        <v>2231.6729999999998</v>
      </c>
      <c r="F19" s="7">
        <v>2433.7060000000001</v>
      </c>
      <c r="G19" s="7">
        <v>2600.9609999999998</v>
      </c>
      <c r="H19" s="7">
        <v>2467.3510000000001</v>
      </c>
      <c r="I19" s="7">
        <v>2848.0610000000001</v>
      </c>
      <c r="J19" s="7">
        <v>2562.1930000000002</v>
      </c>
      <c r="K19" s="7">
        <v>2213.752</v>
      </c>
      <c r="L19" s="7">
        <v>2400.8560000000002</v>
      </c>
      <c r="M19" s="7">
        <v>2319.0129999999999</v>
      </c>
      <c r="N19" s="7">
        <v>2736.1689999999999</v>
      </c>
      <c r="O19" s="7">
        <v>2440.6550000000002</v>
      </c>
      <c r="P19" s="7">
        <v>2453.6660000000002</v>
      </c>
      <c r="R19" s="5">
        <f t="shared" si="0"/>
        <v>2516.6828</v>
      </c>
      <c r="S19" s="5">
        <f t="shared" si="1"/>
        <v>62.196629561584395</v>
      </c>
      <c r="U19" s="7">
        <v>11.25</v>
      </c>
      <c r="V19" s="7">
        <v>2788.0990000000002</v>
      </c>
      <c r="W19" s="7">
        <v>2614.9259999999999</v>
      </c>
      <c r="X19" s="7">
        <v>2643.25</v>
      </c>
      <c r="Y19" s="7">
        <v>2290.0100000000002</v>
      </c>
      <c r="Z19" s="7">
        <v>2550.3270000000002</v>
      </c>
      <c r="AA19" s="7">
        <v>2838.337</v>
      </c>
      <c r="AB19" s="7">
        <v>2282.654</v>
      </c>
      <c r="AC19" s="7">
        <v>2756.134</v>
      </c>
      <c r="AD19" s="7">
        <v>2802.3049999999998</v>
      </c>
      <c r="AE19" s="7">
        <v>2609.2069999999999</v>
      </c>
      <c r="AF19" s="7">
        <v>2369.0219999999999</v>
      </c>
      <c r="AG19" s="7">
        <v>2276.9749999999999</v>
      </c>
      <c r="AH19" s="7">
        <v>2784.0749999999998</v>
      </c>
      <c r="AI19" s="7">
        <v>2967.5610000000001</v>
      </c>
      <c r="AJ19" s="7">
        <v>2812.703</v>
      </c>
      <c r="AL19" s="6">
        <f t="shared" si="2"/>
        <v>2672.2477500000005</v>
      </c>
      <c r="AM19" s="6">
        <f t="shared" si="3"/>
        <v>84.044552008943029</v>
      </c>
    </row>
    <row r="20" spans="1:39" x14ac:dyDescent="0.2">
      <c r="A20" s="7">
        <v>12.5</v>
      </c>
      <c r="B20" s="7">
        <v>2786.9879999999998</v>
      </c>
      <c r="C20" s="7">
        <v>2685.7130000000002</v>
      </c>
      <c r="D20" s="7">
        <v>1974.796</v>
      </c>
      <c r="E20" s="7">
        <v>2073.0709999999999</v>
      </c>
      <c r="F20" s="7">
        <v>2273.04</v>
      </c>
      <c r="G20" s="7">
        <v>2412.2440000000001</v>
      </c>
      <c r="H20" s="7">
        <v>2314.9290000000001</v>
      </c>
      <c r="I20" s="7">
        <v>2661.4250000000002</v>
      </c>
      <c r="J20" s="7">
        <v>2372.1579999999999</v>
      </c>
      <c r="K20" s="7">
        <v>2012.423</v>
      </c>
      <c r="L20" s="7">
        <v>2259.1559999999999</v>
      </c>
      <c r="M20" s="7">
        <v>2156.7359999999999</v>
      </c>
      <c r="N20" s="7">
        <v>2562.16</v>
      </c>
      <c r="O20" s="7">
        <v>2274.8519999999999</v>
      </c>
      <c r="P20" s="7">
        <v>2271.7510000000002</v>
      </c>
      <c r="R20" s="5">
        <f t="shared" si="0"/>
        <v>2339.4294666666665</v>
      </c>
      <c r="S20" s="5">
        <f t="shared" si="1"/>
        <v>63.407257763105179</v>
      </c>
      <c r="U20" s="7">
        <v>12.5</v>
      </c>
      <c r="V20" s="7">
        <v>2600.2080000000001</v>
      </c>
      <c r="W20" s="7">
        <v>2425.5590000000002</v>
      </c>
      <c r="X20" s="7">
        <v>2437.1210000000001</v>
      </c>
      <c r="Y20" s="7">
        <v>2090.7869999999998</v>
      </c>
      <c r="Z20" s="7">
        <v>2365.8000000000002</v>
      </c>
      <c r="AA20" s="7">
        <v>2665.0990000000002</v>
      </c>
      <c r="AB20" s="7">
        <v>2126.1089999999999</v>
      </c>
      <c r="AC20" s="7">
        <v>2572.2849999999999</v>
      </c>
      <c r="AD20" s="7">
        <v>2627.8429999999998</v>
      </c>
      <c r="AE20" s="7">
        <v>2433.0250000000001</v>
      </c>
      <c r="AF20" s="7">
        <v>2205.8359999999998</v>
      </c>
      <c r="AG20" s="7">
        <v>2104.8420000000001</v>
      </c>
      <c r="AH20" s="7">
        <v>2518.02</v>
      </c>
      <c r="AI20" s="7">
        <v>2709.2339999999999</v>
      </c>
      <c r="AJ20" s="7">
        <v>2579.9899999999998</v>
      </c>
      <c r="AL20" s="6">
        <f t="shared" si="2"/>
        <v>2468.8843749999996</v>
      </c>
      <c r="AM20" s="6">
        <f t="shared" si="3"/>
        <v>74.581383959053511</v>
      </c>
    </row>
    <row r="21" spans="1:39" x14ac:dyDescent="0.2">
      <c r="A21" s="7">
        <v>13.75</v>
      </c>
      <c r="B21" s="7">
        <v>2706.4870000000001</v>
      </c>
      <c r="C21" s="7">
        <v>2620.1010000000001</v>
      </c>
      <c r="D21" s="7">
        <v>1882.93</v>
      </c>
      <c r="E21" s="7">
        <v>2019.598</v>
      </c>
      <c r="F21" s="7">
        <v>2226.895</v>
      </c>
      <c r="G21" s="7">
        <v>2359.3780000000002</v>
      </c>
      <c r="H21" s="7">
        <v>2258.4549999999999</v>
      </c>
      <c r="I21" s="7">
        <v>2602.3870000000002</v>
      </c>
      <c r="J21" s="7">
        <v>2307.6149999999998</v>
      </c>
      <c r="K21" s="7">
        <v>1907.231</v>
      </c>
      <c r="L21" s="7">
        <v>2226.598</v>
      </c>
      <c r="M21" s="7">
        <v>2100.4490000000001</v>
      </c>
      <c r="N21" s="7">
        <v>2499.7629999999999</v>
      </c>
      <c r="O21" s="7">
        <v>2216.5329999999999</v>
      </c>
      <c r="P21" s="7">
        <v>2222.549</v>
      </c>
      <c r="R21" s="5">
        <f t="shared" si="0"/>
        <v>2277.1312666666663</v>
      </c>
      <c r="S21" s="5">
        <f t="shared" si="1"/>
        <v>64.248878832646554</v>
      </c>
      <c r="U21" s="7">
        <v>13.75</v>
      </c>
      <c r="V21" s="7">
        <v>2540.27</v>
      </c>
      <c r="W21" s="7">
        <v>2372.7489999999998</v>
      </c>
      <c r="X21" s="7">
        <v>2373.0070000000001</v>
      </c>
      <c r="Y21" s="7">
        <v>2024.3040000000001</v>
      </c>
      <c r="Z21" s="7">
        <v>2303.9630000000002</v>
      </c>
      <c r="AA21" s="7">
        <v>2610.7399999999998</v>
      </c>
      <c r="AB21" s="7">
        <v>2091.4749999999999</v>
      </c>
      <c r="AC21" s="7">
        <v>2503.6</v>
      </c>
      <c r="AD21" s="7">
        <v>2539.431</v>
      </c>
      <c r="AE21" s="7">
        <v>2389.7849999999999</v>
      </c>
      <c r="AF21" s="7">
        <v>2149.0219999999999</v>
      </c>
      <c r="AG21" s="7">
        <v>2043.6869999999999</v>
      </c>
      <c r="AH21" s="7">
        <v>2411.306</v>
      </c>
      <c r="AI21" s="7">
        <v>2610.201</v>
      </c>
      <c r="AJ21" s="7">
        <v>2492.27</v>
      </c>
      <c r="AL21" s="6">
        <f t="shared" si="2"/>
        <v>2392.41275</v>
      </c>
      <c r="AM21" s="6">
        <f t="shared" si="3"/>
        <v>69.769099852336907</v>
      </c>
    </row>
    <row r="22" spans="1:39" x14ac:dyDescent="0.2">
      <c r="A22" s="7">
        <v>15</v>
      </c>
      <c r="B22" s="7">
        <v>2670.4850000000001</v>
      </c>
      <c r="C22" s="7">
        <v>2576.38</v>
      </c>
      <c r="D22" s="7">
        <v>1866.72</v>
      </c>
      <c r="E22" s="7">
        <v>1985.3150000000001</v>
      </c>
      <c r="F22" s="7">
        <v>2206.2579999999998</v>
      </c>
      <c r="G22" s="7">
        <v>2367.866</v>
      </c>
      <c r="H22" s="7">
        <v>2244.04</v>
      </c>
      <c r="I22" s="7">
        <v>2582.1089999999999</v>
      </c>
      <c r="J22" s="7">
        <v>2286.7860000000001</v>
      </c>
      <c r="K22" s="7">
        <v>1870.92</v>
      </c>
      <c r="L22" s="7">
        <v>2224.5390000000002</v>
      </c>
      <c r="M22" s="7">
        <v>2095.8429999999998</v>
      </c>
      <c r="N22" s="7">
        <v>2481.491</v>
      </c>
      <c r="O22" s="7">
        <v>2213.85</v>
      </c>
      <c r="P22" s="7">
        <v>2218.8710000000001</v>
      </c>
      <c r="R22" s="5">
        <f t="shared" si="0"/>
        <v>2259.4315333333334</v>
      </c>
      <c r="S22" s="5">
        <f t="shared" si="1"/>
        <v>63.636917464619138</v>
      </c>
      <c r="U22" s="7">
        <v>15</v>
      </c>
      <c r="V22" s="7">
        <v>2532.0059999999999</v>
      </c>
      <c r="W22" s="7">
        <v>2361.9899999999998</v>
      </c>
      <c r="X22" s="7">
        <v>2355.2449999999999</v>
      </c>
      <c r="Y22" s="7">
        <v>1991.5319999999999</v>
      </c>
      <c r="Z22" s="7">
        <v>2282.665</v>
      </c>
      <c r="AA22" s="7">
        <v>2582.029</v>
      </c>
      <c r="AB22" s="7">
        <v>2072.1640000000002</v>
      </c>
      <c r="AC22" s="7">
        <v>2483.1129999999998</v>
      </c>
      <c r="AD22" s="7">
        <v>2511.404</v>
      </c>
      <c r="AE22" s="7">
        <v>2378.683</v>
      </c>
      <c r="AF22" s="7">
        <v>2136.0160000000001</v>
      </c>
      <c r="AG22" s="7">
        <v>2030.874</v>
      </c>
      <c r="AH22" s="7">
        <v>2369.107</v>
      </c>
      <c r="AI22" s="7">
        <v>2584.0810000000001</v>
      </c>
      <c r="AJ22" s="7">
        <v>2456.85</v>
      </c>
      <c r="AL22" s="6">
        <f t="shared" si="2"/>
        <v>2368.7659999999996</v>
      </c>
      <c r="AM22" s="6">
        <f t="shared" si="3"/>
        <v>67.609990421428932</v>
      </c>
    </row>
    <row r="23" spans="1:39" x14ac:dyDescent="0.2">
      <c r="A23" s="7">
        <v>16.25</v>
      </c>
      <c r="B23" s="7">
        <v>2660.127</v>
      </c>
      <c r="C23" s="7">
        <v>2568.0540000000001</v>
      </c>
      <c r="D23" s="7">
        <v>1856.075</v>
      </c>
      <c r="E23" s="7">
        <v>1990.9860000000001</v>
      </c>
      <c r="F23" s="7">
        <v>2197.4789999999998</v>
      </c>
      <c r="G23" s="7">
        <v>2371.7069999999999</v>
      </c>
      <c r="H23" s="7">
        <v>2243.8209999999999</v>
      </c>
      <c r="I23" s="7">
        <v>2584.8919999999998</v>
      </c>
      <c r="J23" s="7">
        <v>2298.5749999999998</v>
      </c>
      <c r="K23" s="7">
        <v>1865.511</v>
      </c>
      <c r="L23" s="7">
        <v>2227.6109999999999</v>
      </c>
      <c r="M23" s="7">
        <v>2120.9290000000001</v>
      </c>
      <c r="N23" s="7">
        <v>2482.4499999999998</v>
      </c>
      <c r="O23" s="7">
        <v>2231.009</v>
      </c>
      <c r="P23" s="7">
        <v>2225.9140000000002</v>
      </c>
      <c r="R23" s="5">
        <f t="shared" si="0"/>
        <v>2261.6759999999999</v>
      </c>
      <c r="S23" s="5">
        <f t="shared" si="1"/>
        <v>63.308402936809969</v>
      </c>
      <c r="U23" s="7">
        <v>16.25</v>
      </c>
      <c r="V23" s="7">
        <v>2555.0210000000002</v>
      </c>
      <c r="W23" s="7">
        <v>2379.4389999999999</v>
      </c>
      <c r="X23" s="7">
        <v>2340.6750000000002</v>
      </c>
      <c r="Y23" s="7">
        <v>1982.9970000000001</v>
      </c>
      <c r="Z23" s="7">
        <v>2274.1849999999999</v>
      </c>
      <c r="AA23" s="7">
        <v>2582.4090000000001</v>
      </c>
      <c r="AB23" s="7">
        <v>2078.1350000000002</v>
      </c>
      <c r="AC23" s="7">
        <v>2482.3319999999999</v>
      </c>
      <c r="AD23" s="7">
        <v>2538.681</v>
      </c>
      <c r="AE23" s="7">
        <v>2381.15</v>
      </c>
      <c r="AF23" s="7">
        <v>2145.6149999999998</v>
      </c>
      <c r="AG23" s="7">
        <v>2040.191</v>
      </c>
      <c r="AH23" s="7">
        <v>2368.8110000000001</v>
      </c>
      <c r="AI23" s="7">
        <v>2591.0230000000001</v>
      </c>
      <c r="AJ23" s="7">
        <v>2456.1999999999998</v>
      </c>
      <c r="AL23" s="6">
        <f t="shared" si="2"/>
        <v>2375.5003750000001</v>
      </c>
      <c r="AM23" s="6">
        <f t="shared" si="3"/>
        <v>67.659820377896352</v>
      </c>
    </row>
    <row r="24" spans="1:39" x14ac:dyDescent="0.2">
      <c r="A24" s="7">
        <v>17.5</v>
      </c>
      <c r="B24" s="7">
        <v>2679.6460000000002</v>
      </c>
      <c r="C24" s="7">
        <v>2583.9690000000001</v>
      </c>
      <c r="D24" s="7">
        <v>1853.671</v>
      </c>
      <c r="E24" s="7">
        <v>2014.6669999999999</v>
      </c>
      <c r="F24" s="7">
        <v>2205.3130000000001</v>
      </c>
      <c r="G24" s="7">
        <v>2380.8009999999999</v>
      </c>
      <c r="H24" s="7">
        <v>2251.8159999999998</v>
      </c>
      <c r="I24" s="7">
        <v>2609.8119999999999</v>
      </c>
      <c r="J24" s="7">
        <v>2320.6219999999998</v>
      </c>
      <c r="K24" s="7">
        <v>1875.6010000000001</v>
      </c>
      <c r="L24" s="7">
        <v>2227.748</v>
      </c>
      <c r="M24" s="7">
        <v>2147.3470000000002</v>
      </c>
      <c r="N24" s="7">
        <v>2502.9140000000002</v>
      </c>
      <c r="O24" s="7">
        <v>2243.5659999999998</v>
      </c>
      <c r="P24" s="7">
        <v>2233.0410000000002</v>
      </c>
      <c r="R24" s="5">
        <f t="shared" si="0"/>
        <v>2275.3689333333332</v>
      </c>
      <c r="S24" s="5">
        <f t="shared" si="1"/>
        <v>64.290956926525354</v>
      </c>
      <c r="U24" s="7">
        <v>17.5</v>
      </c>
      <c r="V24" s="7">
        <v>2583.7979999999998</v>
      </c>
      <c r="W24" s="7">
        <v>2403.614</v>
      </c>
      <c r="X24" s="7">
        <v>2357.9110000000001</v>
      </c>
      <c r="Y24" s="7">
        <v>1991.4269999999999</v>
      </c>
      <c r="Z24" s="7">
        <v>2297.1260000000002</v>
      </c>
      <c r="AA24" s="7">
        <v>2596.123</v>
      </c>
      <c r="AB24" s="7">
        <v>2088.7979999999998</v>
      </c>
      <c r="AC24" s="7">
        <v>2485.7330000000002</v>
      </c>
      <c r="AD24" s="7">
        <v>2567.81</v>
      </c>
      <c r="AE24" s="7">
        <v>2398.8490000000002</v>
      </c>
      <c r="AF24" s="7">
        <v>2162.864</v>
      </c>
      <c r="AG24" s="7">
        <v>2061.4969999999998</v>
      </c>
      <c r="AH24" s="7">
        <v>2374.4879999999998</v>
      </c>
      <c r="AI24" s="7">
        <v>2617.4450000000002</v>
      </c>
      <c r="AJ24" s="7">
        <v>2466.1219999999998</v>
      </c>
      <c r="AL24" s="6">
        <f t="shared" si="2"/>
        <v>2391.8509999999997</v>
      </c>
      <c r="AM24" s="6">
        <f t="shared" si="3"/>
        <v>67.889549366705097</v>
      </c>
    </row>
    <row r="25" spans="1:39" x14ac:dyDescent="0.2">
      <c r="A25" s="7">
        <v>18.75</v>
      </c>
      <c r="B25" s="7">
        <v>2700.8110000000001</v>
      </c>
      <c r="C25" s="7">
        <v>2610.8539999999998</v>
      </c>
      <c r="D25" s="7">
        <v>1866.306</v>
      </c>
      <c r="E25" s="7">
        <v>2043.838</v>
      </c>
      <c r="F25" s="7">
        <v>2210.5390000000002</v>
      </c>
      <c r="G25" s="7">
        <v>2375.3969999999999</v>
      </c>
      <c r="H25" s="7">
        <v>2261.2150000000001</v>
      </c>
      <c r="I25" s="7">
        <v>2636.7649999999999</v>
      </c>
      <c r="J25" s="7">
        <v>2324.625</v>
      </c>
      <c r="K25" s="7">
        <v>1891.3440000000001</v>
      </c>
      <c r="L25" s="7">
        <v>2235.0770000000002</v>
      </c>
      <c r="M25" s="7">
        <v>2156.9899999999998</v>
      </c>
      <c r="N25" s="7">
        <v>2526.2339999999999</v>
      </c>
      <c r="O25" s="7">
        <v>2250.6060000000002</v>
      </c>
      <c r="P25" s="7">
        <v>2255.3670000000002</v>
      </c>
      <c r="R25" s="5">
        <f t="shared" si="0"/>
        <v>2289.7312000000002</v>
      </c>
      <c r="S25" s="5">
        <f t="shared" si="1"/>
        <v>64.950420152107853</v>
      </c>
      <c r="U25" s="7">
        <v>18.75</v>
      </c>
      <c r="V25" s="7">
        <v>2591.4090000000001</v>
      </c>
      <c r="W25" s="7">
        <v>2414.038</v>
      </c>
      <c r="X25" s="7">
        <v>2361.7049999999999</v>
      </c>
      <c r="Y25" s="7">
        <v>2006.2909999999999</v>
      </c>
      <c r="Z25" s="7">
        <v>2340.5059999999999</v>
      </c>
      <c r="AA25" s="7">
        <v>2617.2620000000002</v>
      </c>
      <c r="AB25" s="7">
        <v>2093.2930000000001</v>
      </c>
      <c r="AC25" s="7">
        <v>2504.9</v>
      </c>
      <c r="AD25" s="7">
        <v>2589.63</v>
      </c>
      <c r="AE25" s="7">
        <v>2422.643</v>
      </c>
      <c r="AF25" s="7">
        <v>2168.4360000000001</v>
      </c>
      <c r="AG25" s="7">
        <v>2063.7449999999999</v>
      </c>
      <c r="AH25" s="7">
        <v>2365.4850000000001</v>
      </c>
      <c r="AI25" s="7">
        <v>2621.8870000000002</v>
      </c>
      <c r="AJ25" s="7">
        <v>2487.0569999999998</v>
      </c>
      <c r="AL25" s="6">
        <f t="shared" si="2"/>
        <v>2402.9728749999999</v>
      </c>
      <c r="AM25" s="6">
        <f t="shared" si="3"/>
        <v>69.705875293836698</v>
      </c>
    </row>
    <row r="26" spans="1:39" x14ac:dyDescent="0.2">
      <c r="A26" s="7">
        <v>20</v>
      </c>
      <c r="B26" s="7">
        <v>2704.9850000000001</v>
      </c>
      <c r="C26" s="7">
        <v>2638.8110000000001</v>
      </c>
      <c r="D26" s="7">
        <v>1883.6120000000001</v>
      </c>
      <c r="E26" s="7">
        <v>2054.0100000000002</v>
      </c>
      <c r="F26" s="7">
        <v>2220.8490000000002</v>
      </c>
      <c r="G26" s="7">
        <v>2390.9209999999998</v>
      </c>
      <c r="H26" s="7">
        <v>2283.0839999999998</v>
      </c>
      <c r="I26" s="7">
        <v>2649.4870000000001</v>
      </c>
      <c r="J26" s="7">
        <v>2334.5230000000001</v>
      </c>
      <c r="K26" s="7">
        <v>1888.1869999999999</v>
      </c>
      <c r="L26" s="7">
        <v>2254.2060000000001</v>
      </c>
      <c r="M26" s="7">
        <v>2162.0430000000001</v>
      </c>
      <c r="N26" s="7">
        <v>2531.2220000000002</v>
      </c>
      <c r="O26" s="7">
        <v>2256.5279999999998</v>
      </c>
      <c r="P26" s="7">
        <v>2272.7260000000001</v>
      </c>
      <c r="R26" s="5">
        <f t="shared" si="0"/>
        <v>2301.6796000000004</v>
      </c>
      <c r="S26" s="5">
        <f t="shared" si="1"/>
        <v>65.378772073334645</v>
      </c>
      <c r="U26" s="7">
        <v>20</v>
      </c>
      <c r="V26" s="7">
        <v>2585.123</v>
      </c>
      <c r="W26" s="7">
        <v>2413.9769999999999</v>
      </c>
      <c r="X26" s="7">
        <v>2376.9110000000001</v>
      </c>
      <c r="Y26" s="7">
        <v>2019.866</v>
      </c>
      <c r="Z26" s="7">
        <v>2356.4079999999999</v>
      </c>
      <c r="AA26" s="7">
        <v>2659.6239999999998</v>
      </c>
      <c r="AB26" s="7">
        <v>2099.607</v>
      </c>
      <c r="AC26" s="7">
        <v>2532.58</v>
      </c>
      <c r="AD26" s="7">
        <v>2600.8470000000002</v>
      </c>
      <c r="AE26" s="7">
        <v>2427.0039999999999</v>
      </c>
      <c r="AF26" s="7">
        <v>2165.6759999999999</v>
      </c>
      <c r="AG26" s="7">
        <v>2069.2080000000001</v>
      </c>
      <c r="AH26" s="7">
        <v>2350.9960000000001</v>
      </c>
      <c r="AI26" s="7">
        <v>2615.991</v>
      </c>
      <c r="AJ26" s="7">
        <v>2492.1660000000002</v>
      </c>
      <c r="AL26" s="6">
        <f t="shared" si="2"/>
        <v>2406.8085000000005</v>
      </c>
      <c r="AM26" s="6">
        <f t="shared" si="3"/>
        <v>70.730184547132552</v>
      </c>
    </row>
    <row r="27" spans="1:39" x14ac:dyDescent="0.2">
      <c r="A27" s="7">
        <v>21.25</v>
      </c>
      <c r="B27" s="7">
        <v>2709.5259999999998</v>
      </c>
      <c r="C27" s="7">
        <v>2642.8229999999999</v>
      </c>
      <c r="D27" s="7">
        <v>1894.3679999999999</v>
      </c>
      <c r="E27" s="7">
        <v>2073.9899999999998</v>
      </c>
      <c r="F27" s="7">
        <v>2235.0920000000001</v>
      </c>
      <c r="G27" s="7">
        <v>2417.4760000000001</v>
      </c>
      <c r="H27" s="7">
        <v>2296.058</v>
      </c>
      <c r="I27" s="7">
        <v>2660.518</v>
      </c>
      <c r="J27" s="7">
        <v>2347.6129999999998</v>
      </c>
      <c r="K27" s="7">
        <v>1876.6659999999999</v>
      </c>
      <c r="L27" s="7">
        <v>2272.4810000000002</v>
      </c>
      <c r="M27" s="7">
        <v>2161.0010000000002</v>
      </c>
      <c r="N27" s="7">
        <v>2537.1370000000002</v>
      </c>
      <c r="O27" s="7">
        <v>2271.308</v>
      </c>
      <c r="P27" s="7">
        <v>2282.873</v>
      </c>
      <c r="R27" s="5">
        <f t="shared" si="0"/>
        <v>2311.9286666666671</v>
      </c>
      <c r="S27" s="5">
        <f t="shared" si="1"/>
        <v>65.669890048248334</v>
      </c>
      <c r="U27" s="7">
        <v>21.25</v>
      </c>
      <c r="V27" s="7">
        <v>2582.3220000000001</v>
      </c>
      <c r="W27" s="7">
        <v>2427.4940000000001</v>
      </c>
      <c r="X27" s="7">
        <v>2390.9389999999999</v>
      </c>
      <c r="Y27" s="7">
        <v>2029.547</v>
      </c>
      <c r="Z27" s="7">
        <v>2362.3530000000001</v>
      </c>
      <c r="AA27" s="7">
        <v>2670.5639999999999</v>
      </c>
      <c r="AB27" s="7">
        <v>2121.2130000000002</v>
      </c>
      <c r="AC27" s="7">
        <v>2553.6610000000001</v>
      </c>
      <c r="AD27" s="7">
        <v>2612.788</v>
      </c>
      <c r="AE27" s="7">
        <v>2429.8519999999999</v>
      </c>
      <c r="AF27" s="7">
        <v>2161.873</v>
      </c>
      <c r="AG27" s="7">
        <v>2082.3519999999999</v>
      </c>
      <c r="AH27" s="7">
        <v>2347.5940000000001</v>
      </c>
      <c r="AI27" s="7">
        <v>2627.163</v>
      </c>
      <c r="AJ27" s="7">
        <v>2490.5010000000002</v>
      </c>
      <c r="AL27" s="6">
        <f t="shared" si="2"/>
        <v>2413.2230000000004</v>
      </c>
      <c r="AM27" s="6">
        <f t="shared" si="3"/>
        <v>71.779344966760064</v>
      </c>
    </row>
    <row r="28" spans="1:39" x14ac:dyDescent="0.2">
      <c r="A28" s="7">
        <v>22.5</v>
      </c>
      <c r="B28" s="7">
        <v>2719.078</v>
      </c>
      <c r="C28" s="7">
        <v>2642.7919999999999</v>
      </c>
      <c r="D28" s="7">
        <v>1908.3969999999999</v>
      </c>
      <c r="E28" s="7">
        <v>2085.5509999999999</v>
      </c>
      <c r="F28" s="7">
        <v>2254.433</v>
      </c>
      <c r="G28" s="7">
        <v>2436.9270000000001</v>
      </c>
      <c r="H28" s="7">
        <v>2307.817</v>
      </c>
      <c r="I28" s="7">
        <v>2682.51</v>
      </c>
      <c r="J28" s="7">
        <v>2355.23</v>
      </c>
      <c r="K28" s="7">
        <v>1894.492</v>
      </c>
      <c r="L28" s="7">
        <v>2280.732</v>
      </c>
      <c r="M28" s="7">
        <v>2159.9090000000001</v>
      </c>
      <c r="N28" s="7">
        <v>2570.018</v>
      </c>
      <c r="O28" s="7">
        <v>2295.085</v>
      </c>
      <c r="P28" s="7">
        <v>2304.672</v>
      </c>
      <c r="R28" s="5">
        <f t="shared" si="0"/>
        <v>2326.5095333333329</v>
      </c>
      <c r="S28" s="5">
        <f t="shared" si="1"/>
        <v>65.812597534997522</v>
      </c>
      <c r="U28" s="7">
        <v>22.5</v>
      </c>
      <c r="V28" s="7">
        <v>2587.4119999999998</v>
      </c>
      <c r="W28" s="7">
        <v>2444.0540000000001</v>
      </c>
      <c r="X28" s="7">
        <v>2401.7550000000001</v>
      </c>
      <c r="Y28" s="7">
        <v>2049.663</v>
      </c>
      <c r="Z28" s="7">
        <v>2367.8560000000002</v>
      </c>
      <c r="AA28" s="7">
        <v>2681.8789999999999</v>
      </c>
      <c r="AB28" s="7">
        <v>2138.8180000000002</v>
      </c>
      <c r="AC28" s="7">
        <v>2566.145</v>
      </c>
      <c r="AD28" s="7">
        <v>2602.6060000000002</v>
      </c>
      <c r="AE28" s="7">
        <v>2446.4870000000001</v>
      </c>
      <c r="AF28" s="7">
        <v>2184.4</v>
      </c>
      <c r="AG28" s="7">
        <v>2100.415</v>
      </c>
      <c r="AH28" s="7">
        <v>2362.0729999999999</v>
      </c>
      <c r="AI28" s="7">
        <v>2644.2429999999999</v>
      </c>
      <c r="AJ28" s="7">
        <v>2491.491</v>
      </c>
      <c r="AL28" s="6">
        <f t="shared" si="2"/>
        <v>2424.7325000000001</v>
      </c>
      <c r="AM28" s="6">
        <f t="shared" si="3"/>
        <v>69.644384537243411</v>
      </c>
    </row>
    <row r="29" spans="1:39" x14ac:dyDescent="0.2">
      <c r="A29" s="7">
        <v>23.75</v>
      </c>
      <c r="B29" s="7">
        <v>2731.3020000000001</v>
      </c>
      <c r="C29" s="7">
        <v>2670.4859999999999</v>
      </c>
      <c r="D29" s="7">
        <v>1917.9190000000001</v>
      </c>
      <c r="E29" s="7">
        <v>2097.2570000000001</v>
      </c>
      <c r="F29" s="7">
        <v>2274.221</v>
      </c>
      <c r="G29" s="7">
        <v>2440.9589999999998</v>
      </c>
      <c r="H29" s="7">
        <v>2323.1419999999998</v>
      </c>
      <c r="I29" s="7">
        <v>2702.8429999999998</v>
      </c>
      <c r="J29" s="7">
        <v>2372.212</v>
      </c>
      <c r="K29" s="7">
        <v>1913.6980000000001</v>
      </c>
      <c r="L29" s="7">
        <v>2289.0970000000002</v>
      </c>
      <c r="M29" s="7">
        <v>2165.971</v>
      </c>
      <c r="N29" s="7">
        <v>2602.0300000000002</v>
      </c>
      <c r="O29" s="7">
        <v>2309.1109999999999</v>
      </c>
      <c r="P29" s="7">
        <v>2317.366</v>
      </c>
      <c r="R29" s="5">
        <f t="shared" si="0"/>
        <v>2341.8409333333334</v>
      </c>
      <c r="S29" s="5">
        <f t="shared" si="1"/>
        <v>66.604631162695838</v>
      </c>
      <c r="U29" s="7">
        <v>23.75</v>
      </c>
      <c r="V29" s="7">
        <v>2595.7779999999998</v>
      </c>
      <c r="W29" s="7">
        <v>2442.8119999999999</v>
      </c>
      <c r="X29" s="7">
        <v>2411.8429999999998</v>
      </c>
      <c r="Y29" s="7">
        <v>2085.0819999999999</v>
      </c>
      <c r="Z29" s="7">
        <v>2377.5259999999998</v>
      </c>
      <c r="AA29" s="7">
        <v>2689.0230000000001</v>
      </c>
      <c r="AB29" s="7">
        <v>2153.2620000000002</v>
      </c>
      <c r="AC29" s="7">
        <v>2573.2350000000001</v>
      </c>
      <c r="AD29" s="7">
        <v>2619.06</v>
      </c>
      <c r="AE29" s="7">
        <v>2456.6469999999999</v>
      </c>
      <c r="AF29" s="7">
        <v>2213.35</v>
      </c>
      <c r="AG29" s="7">
        <v>2115.6010000000001</v>
      </c>
      <c r="AH29" s="7">
        <v>2395.4079999999999</v>
      </c>
      <c r="AI29" s="7">
        <v>2657.348</v>
      </c>
      <c r="AJ29" s="7">
        <v>2494.518</v>
      </c>
      <c r="AL29" s="6">
        <f t="shared" si="2"/>
        <v>2440.6458749999997</v>
      </c>
      <c r="AM29" s="6">
        <f t="shared" si="3"/>
        <v>67.993379377133238</v>
      </c>
    </row>
    <row r="30" spans="1:39" x14ac:dyDescent="0.2">
      <c r="A30" s="7">
        <v>25</v>
      </c>
      <c r="B30" s="7">
        <v>2754.538</v>
      </c>
      <c r="C30" s="7">
        <v>2698.96</v>
      </c>
      <c r="D30" s="7">
        <v>1922.502</v>
      </c>
      <c r="E30" s="7">
        <v>2111.9180000000001</v>
      </c>
      <c r="F30" s="7">
        <v>2302.8519999999999</v>
      </c>
      <c r="G30" s="7">
        <v>2474.989</v>
      </c>
      <c r="H30" s="7">
        <v>2347.8690000000001</v>
      </c>
      <c r="I30" s="7">
        <v>2735.2579999999998</v>
      </c>
      <c r="J30" s="7">
        <v>2387.0079999999998</v>
      </c>
      <c r="K30" s="7">
        <v>1919.01</v>
      </c>
      <c r="L30" s="7">
        <v>2320.998</v>
      </c>
      <c r="M30" s="7">
        <v>2175.3960000000002</v>
      </c>
      <c r="N30" s="7">
        <v>2610.2040000000002</v>
      </c>
      <c r="O30" s="7">
        <v>2310.299</v>
      </c>
      <c r="P30" s="7">
        <v>2334.489</v>
      </c>
      <c r="R30" s="5">
        <f t="shared" si="0"/>
        <v>2360.4193333333333</v>
      </c>
      <c r="S30" s="5">
        <f t="shared" si="1"/>
        <v>68.225089472357013</v>
      </c>
      <c r="U30" s="7">
        <v>25</v>
      </c>
      <c r="V30" s="7">
        <v>2605.6770000000001</v>
      </c>
      <c r="W30" s="7">
        <v>2443.5410000000002</v>
      </c>
      <c r="X30" s="7">
        <v>2451.7170000000001</v>
      </c>
      <c r="Y30" s="7">
        <v>2129.2649999999999</v>
      </c>
      <c r="Z30" s="7">
        <v>2387.9050000000002</v>
      </c>
      <c r="AA30" s="7">
        <v>2717.6909999999998</v>
      </c>
      <c r="AB30" s="7">
        <v>2181.9119999999998</v>
      </c>
      <c r="AC30" s="7">
        <v>2601.8980000000001</v>
      </c>
      <c r="AD30" s="7">
        <v>2619.1439999999998</v>
      </c>
      <c r="AE30" s="7">
        <v>2464.8670000000002</v>
      </c>
      <c r="AF30" s="7">
        <v>2227.3960000000002</v>
      </c>
      <c r="AG30" s="7">
        <v>2133.625</v>
      </c>
      <c r="AH30" s="7">
        <v>2404.0320000000002</v>
      </c>
      <c r="AI30" s="7">
        <v>2672.694</v>
      </c>
      <c r="AJ30" s="7">
        <v>2510.0569999999998</v>
      </c>
      <c r="AL30" s="6">
        <f t="shared" si="2"/>
        <v>2454.214125</v>
      </c>
      <c r="AM30" s="6">
        <f t="shared" si="3"/>
        <v>67.707333874614193</v>
      </c>
    </row>
    <row r="31" spans="1:39" x14ac:dyDescent="0.2">
      <c r="A31" s="7">
        <v>26.25</v>
      </c>
      <c r="B31" s="7">
        <v>2785.5790000000002</v>
      </c>
      <c r="C31" s="7">
        <v>2716.703</v>
      </c>
      <c r="D31" s="7">
        <v>1928.7380000000001</v>
      </c>
      <c r="E31" s="7">
        <v>2124.0010000000002</v>
      </c>
      <c r="F31" s="7">
        <v>2322.0129999999999</v>
      </c>
      <c r="G31" s="7">
        <v>2505.8290000000002</v>
      </c>
      <c r="H31" s="7">
        <v>2382.337</v>
      </c>
      <c r="I31" s="7">
        <v>2740.3719999999998</v>
      </c>
      <c r="J31" s="7">
        <v>2398.223</v>
      </c>
      <c r="K31" s="7">
        <v>1926.915</v>
      </c>
      <c r="L31" s="7">
        <v>2368.0520000000001</v>
      </c>
      <c r="M31" s="7">
        <v>2192.9670000000001</v>
      </c>
      <c r="N31" s="7">
        <v>2629.1610000000001</v>
      </c>
      <c r="O31" s="7">
        <v>2323.44</v>
      </c>
      <c r="P31" s="7">
        <v>2359.212</v>
      </c>
      <c r="R31" s="5">
        <f t="shared" si="0"/>
        <v>2380.2361333333333</v>
      </c>
      <c r="S31" s="5">
        <f t="shared" si="1"/>
        <v>69.09478376996114</v>
      </c>
      <c r="U31" s="7">
        <v>26.25</v>
      </c>
      <c r="V31" s="7">
        <v>2631.33</v>
      </c>
      <c r="W31" s="7">
        <v>2467.3490000000002</v>
      </c>
      <c r="X31" s="7">
        <v>2502.3780000000002</v>
      </c>
      <c r="Y31" s="7">
        <v>2149.0880000000002</v>
      </c>
      <c r="Z31" s="7">
        <v>2397.8850000000002</v>
      </c>
      <c r="AA31" s="7">
        <v>2742.1680000000001</v>
      </c>
      <c r="AB31" s="7">
        <v>2203.0770000000002</v>
      </c>
      <c r="AC31" s="7">
        <v>2626.6640000000002</v>
      </c>
      <c r="AD31" s="7">
        <v>2628.0880000000002</v>
      </c>
      <c r="AE31" s="7">
        <v>2487.663</v>
      </c>
      <c r="AF31" s="7">
        <v>2236.9090000000001</v>
      </c>
      <c r="AG31" s="7">
        <v>2147.777</v>
      </c>
      <c r="AH31" s="7">
        <v>2418.326</v>
      </c>
      <c r="AI31" s="7">
        <v>2678.2330000000002</v>
      </c>
      <c r="AJ31" s="7">
        <v>2527.0949999999998</v>
      </c>
      <c r="AL31" s="6">
        <f t="shared" si="2"/>
        <v>2468.8443750000001</v>
      </c>
      <c r="AM31" s="6">
        <f t="shared" si="3"/>
        <v>67.78205910646308</v>
      </c>
    </row>
    <row r="32" spans="1:39" x14ac:dyDescent="0.2">
      <c r="A32" s="7">
        <v>27.5</v>
      </c>
      <c r="B32" s="7">
        <v>2806.37</v>
      </c>
      <c r="C32" s="7">
        <v>2716.8270000000002</v>
      </c>
      <c r="D32" s="7">
        <v>1948.5519999999999</v>
      </c>
      <c r="E32" s="7">
        <v>2126.5120000000002</v>
      </c>
      <c r="F32" s="7">
        <v>2323.9119999999998</v>
      </c>
      <c r="G32" s="7">
        <v>2509.3209999999999</v>
      </c>
      <c r="H32" s="7">
        <v>2386.3029999999999</v>
      </c>
      <c r="I32" s="7">
        <v>2733.5</v>
      </c>
      <c r="J32" s="7">
        <v>2403.2089999999998</v>
      </c>
      <c r="K32" s="7">
        <v>1945.08</v>
      </c>
      <c r="L32" s="7">
        <v>2375.15</v>
      </c>
      <c r="M32" s="7">
        <v>2214.1689999999999</v>
      </c>
      <c r="N32" s="7">
        <v>2643.3490000000002</v>
      </c>
      <c r="O32" s="7">
        <v>2324.1060000000002</v>
      </c>
      <c r="P32" s="7">
        <v>2379.799</v>
      </c>
      <c r="R32" s="5">
        <f t="shared" si="0"/>
        <v>2389.0772666666667</v>
      </c>
      <c r="S32" s="5">
        <f t="shared" si="1"/>
        <v>68.277359466438369</v>
      </c>
      <c r="U32" s="7">
        <v>27.5</v>
      </c>
      <c r="V32" s="7">
        <v>2642.5219999999999</v>
      </c>
      <c r="W32" s="7">
        <v>2481.5790000000002</v>
      </c>
      <c r="X32" s="7">
        <v>2533.8389999999999</v>
      </c>
      <c r="Y32" s="7">
        <v>2147.085</v>
      </c>
      <c r="Z32" s="7">
        <v>2400.0320000000002</v>
      </c>
      <c r="AA32" s="7">
        <v>2748.672</v>
      </c>
      <c r="AB32" s="7">
        <v>2211.5920000000001</v>
      </c>
      <c r="AC32" s="7">
        <v>2642.04</v>
      </c>
      <c r="AD32" s="7">
        <v>2664.6840000000002</v>
      </c>
      <c r="AE32" s="7">
        <v>2507.085</v>
      </c>
      <c r="AF32" s="7">
        <v>2243.886</v>
      </c>
      <c r="AG32" s="7">
        <v>2155.59</v>
      </c>
      <c r="AH32" s="7">
        <v>2419.6239999999998</v>
      </c>
      <c r="AI32" s="7">
        <v>2696.0740000000001</v>
      </c>
      <c r="AJ32" s="7">
        <v>2542.4969999999998</v>
      </c>
      <c r="AL32" s="6">
        <f t="shared" si="2"/>
        <v>2483.9349999999999</v>
      </c>
      <c r="AM32" s="6">
        <f t="shared" si="3"/>
        <v>70.229934073472435</v>
      </c>
    </row>
    <row r="33" spans="1:39" x14ac:dyDescent="0.2">
      <c r="A33" s="7">
        <v>28.75</v>
      </c>
      <c r="B33" s="7">
        <v>2797.576</v>
      </c>
      <c r="C33" s="7">
        <v>2721.56</v>
      </c>
      <c r="D33" s="7">
        <v>1955.39</v>
      </c>
      <c r="E33" s="7">
        <v>2138.9960000000001</v>
      </c>
      <c r="F33" s="7">
        <v>2332.2710000000002</v>
      </c>
      <c r="G33" s="7">
        <v>2524.6170000000002</v>
      </c>
      <c r="H33" s="7">
        <v>2382.2649999999999</v>
      </c>
      <c r="I33" s="7">
        <v>2744.8270000000002</v>
      </c>
      <c r="J33" s="7">
        <v>2409.96</v>
      </c>
      <c r="K33" s="7">
        <v>1955.375</v>
      </c>
      <c r="L33" s="7">
        <v>2362.0970000000002</v>
      </c>
      <c r="M33" s="7">
        <v>2239.0309999999999</v>
      </c>
      <c r="N33" s="7">
        <v>2657.73</v>
      </c>
      <c r="O33" s="7">
        <v>2333.277</v>
      </c>
      <c r="P33" s="7">
        <v>2406.279</v>
      </c>
      <c r="R33" s="5">
        <f t="shared" si="0"/>
        <v>2397.4167333333335</v>
      </c>
      <c r="S33" s="5">
        <f t="shared" si="1"/>
        <v>67.702421031512245</v>
      </c>
      <c r="U33" s="7">
        <v>28.75</v>
      </c>
      <c r="V33" s="7">
        <v>2651.3719999999998</v>
      </c>
      <c r="W33" s="7">
        <v>2478.7979999999998</v>
      </c>
      <c r="X33" s="7">
        <v>2530.5770000000002</v>
      </c>
      <c r="Y33" s="7">
        <v>2149.1350000000002</v>
      </c>
      <c r="Z33" s="7">
        <v>2397.1</v>
      </c>
      <c r="AA33" s="7">
        <v>2758.971</v>
      </c>
      <c r="AB33" s="7">
        <v>2202.201</v>
      </c>
      <c r="AC33" s="7">
        <v>2649.3719999999998</v>
      </c>
      <c r="AD33" s="7">
        <v>2710.6959999999999</v>
      </c>
      <c r="AE33" s="7">
        <v>2498.2530000000002</v>
      </c>
      <c r="AF33" s="7">
        <v>2250.41</v>
      </c>
      <c r="AG33" s="7">
        <v>2170.35</v>
      </c>
      <c r="AH33" s="7">
        <v>2431.7719999999999</v>
      </c>
      <c r="AI33" s="7">
        <v>2712.1379999999999</v>
      </c>
      <c r="AJ33" s="7">
        <v>2544.9929999999999</v>
      </c>
      <c r="AL33" s="6">
        <f t="shared" si="2"/>
        <v>2495.9979999999996</v>
      </c>
      <c r="AM33" s="6">
        <f t="shared" si="3"/>
        <v>71.86619193905733</v>
      </c>
    </row>
    <row r="34" spans="1:39" x14ac:dyDescent="0.2">
      <c r="A34" s="7">
        <v>30</v>
      </c>
      <c r="B34" s="7">
        <v>2802.31</v>
      </c>
      <c r="C34" s="7">
        <v>2743.8969999999999</v>
      </c>
      <c r="D34" s="7">
        <v>1960.9570000000001</v>
      </c>
      <c r="E34" s="7">
        <v>2174.8359999999998</v>
      </c>
      <c r="F34" s="7">
        <v>2356.3649999999998</v>
      </c>
      <c r="G34" s="7">
        <v>2539.806</v>
      </c>
      <c r="H34" s="7">
        <v>2392.81</v>
      </c>
      <c r="I34" s="7">
        <v>2774.8679999999999</v>
      </c>
      <c r="J34" s="7">
        <v>2440.6999999999998</v>
      </c>
      <c r="K34" s="7">
        <v>1970.3009999999999</v>
      </c>
      <c r="L34" s="7">
        <v>2368.5880000000002</v>
      </c>
      <c r="M34" s="7">
        <v>2248.9160000000002</v>
      </c>
      <c r="N34" s="7">
        <v>2680.8229999999999</v>
      </c>
      <c r="O34" s="7">
        <v>2355.6320000000001</v>
      </c>
      <c r="P34" s="7">
        <v>2420.982</v>
      </c>
      <c r="R34" s="5">
        <f t="shared" si="0"/>
        <v>2415.4527333333331</v>
      </c>
      <c r="S34" s="5">
        <f t="shared" si="1"/>
        <v>68.082682079007512</v>
      </c>
      <c r="U34" s="7">
        <v>30</v>
      </c>
      <c r="V34" s="7">
        <v>2653.0749999999998</v>
      </c>
      <c r="W34" s="7">
        <v>2507.471</v>
      </c>
      <c r="X34" s="7">
        <v>2525.42</v>
      </c>
      <c r="Y34" s="7">
        <v>2173.0189999999998</v>
      </c>
      <c r="Z34" s="7">
        <v>2405.6149999999998</v>
      </c>
      <c r="AA34" s="7">
        <v>2787.0169999999998</v>
      </c>
      <c r="AB34" s="7">
        <v>2212.2719999999999</v>
      </c>
      <c r="AC34" s="7">
        <v>2663.2570000000001</v>
      </c>
      <c r="AD34" s="7">
        <v>2737.154</v>
      </c>
      <c r="AE34" s="7">
        <v>2515.0160000000001</v>
      </c>
      <c r="AF34" s="7">
        <v>2272.5039999999999</v>
      </c>
      <c r="AG34" s="7">
        <v>2199.0630000000001</v>
      </c>
      <c r="AH34" s="7">
        <v>2449.9499999999998</v>
      </c>
      <c r="AI34" s="7">
        <v>2724.1950000000002</v>
      </c>
      <c r="AJ34" s="7">
        <v>2554.6</v>
      </c>
      <c r="AL34" s="6">
        <f t="shared" si="2"/>
        <v>2514.4673749999997</v>
      </c>
      <c r="AM34" s="6">
        <f t="shared" si="3"/>
        <v>70.649155416025806</v>
      </c>
    </row>
    <row r="35" spans="1:39" x14ac:dyDescent="0.2">
      <c r="A35" s="7">
        <v>31.25</v>
      </c>
      <c r="B35" s="7">
        <v>2818.8850000000002</v>
      </c>
      <c r="C35" s="7">
        <v>2756.1889999999999</v>
      </c>
      <c r="D35" s="7">
        <v>1960.3710000000001</v>
      </c>
      <c r="E35" s="7">
        <v>2177.2310000000002</v>
      </c>
      <c r="F35" s="7">
        <v>2365.1790000000001</v>
      </c>
      <c r="G35" s="7">
        <v>2534.58</v>
      </c>
      <c r="H35" s="7">
        <v>2397.2919999999999</v>
      </c>
      <c r="I35" s="7">
        <v>2774.3649999999998</v>
      </c>
      <c r="J35" s="7">
        <v>2446.0590000000002</v>
      </c>
      <c r="K35" s="7">
        <v>1979.2239999999999</v>
      </c>
      <c r="L35" s="7">
        <v>2375.9690000000001</v>
      </c>
      <c r="M35" s="7">
        <v>2243.8679999999999</v>
      </c>
      <c r="N35" s="7">
        <v>2690.1379999999999</v>
      </c>
      <c r="O35" s="7">
        <v>2349.6680000000001</v>
      </c>
      <c r="P35" s="7">
        <v>2413.4470000000001</v>
      </c>
      <c r="R35" s="5">
        <f t="shared" si="0"/>
        <v>2418.8310000000001</v>
      </c>
      <c r="S35" s="5">
        <f t="shared" si="1"/>
        <v>68.675196658652482</v>
      </c>
      <c r="U35" s="7">
        <v>31.25</v>
      </c>
      <c r="V35" s="7">
        <v>2659.0610000000001</v>
      </c>
      <c r="W35" s="7">
        <v>2521.4870000000001</v>
      </c>
      <c r="X35" s="7">
        <v>2529.08</v>
      </c>
      <c r="Y35" s="7">
        <v>2174.6590000000001</v>
      </c>
      <c r="Z35" s="7">
        <v>2438.13</v>
      </c>
      <c r="AA35" s="7">
        <v>2792.0940000000001</v>
      </c>
      <c r="AB35" s="7">
        <v>2237.1039999999998</v>
      </c>
      <c r="AC35" s="7">
        <v>2670.8789999999999</v>
      </c>
      <c r="AD35" s="7">
        <v>2723.4479999999999</v>
      </c>
      <c r="AE35" s="7">
        <v>2517.6640000000002</v>
      </c>
      <c r="AF35" s="7">
        <v>2289.518</v>
      </c>
      <c r="AG35" s="7">
        <v>2209.893</v>
      </c>
      <c r="AH35" s="7">
        <v>2449.0300000000002</v>
      </c>
      <c r="AI35" s="7">
        <v>2736.9659999999999</v>
      </c>
      <c r="AJ35" s="7">
        <v>2563.346</v>
      </c>
      <c r="AL35" s="6">
        <f t="shared" si="2"/>
        <v>2520.0930000000003</v>
      </c>
      <c r="AM35" s="6">
        <f t="shared" si="3"/>
        <v>69.106428607567707</v>
      </c>
    </row>
    <row r="36" spans="1:39" x14ac:dyDescent="0.2">
      <c r="A36" s="7">
        <v>32.5</v>
      </c>
      <c r="B36" s="7">
        <v>2798.7550000000001</v>
      </c>
      <c r="C36" s="7">
        <v>2736.1179999999999</v>
      </c>
      <c r="D36" s="7">
        <v>1943.482</v>
      </c>
      <c r="E36" s="7">
        <v>2158.88</v>
      </c>
      <c r="F36" s="7">
        <v>2348.212</v>
      </c>
      <c r="G36" s="7">
        <v>2526.5619999999999</v>
      </c>
      <c r="H36" s="7">
        <v>2402.9549999999999</v>
      </c>
      <c r="I36" s="7">
        <v>2751.0740000000001</v>
      </c>
      <c r="J36" s="7">
        <v>2423.1999999999998</v>
      </c>
      <c r="K36" s="7">
        <v>1965.6790000000001</v>
      </c>
      <c r="L36" s="7">
        <v>2366.7379999999998</v>
      </c>
      <c r="M36" s="7">
        <v>2226.3389999999999</v>
      </c>
      <c r="N36" s="7">
        <v>2670.5250000000001</v>
      </c>
      <c r="O36" s="7">
        <v>2334.84</v>
      </c>
      <c r="P36" s="7">
        <v>2395.5740000000001</v>
      </c>
      <c r="R36" s="5">
        <f t="shared" si="0"/>
        <v>2403.2622000000001</v>
      </c>
      <c r="S36" s="5">
        <f t="shared" si="1"/>
        <v>68.250834881911544</v>
      </c>
      <c r="U36" s="7">
        <v>32.5</v>
      </c>
      <c r="V36" s="7">
        <v>2668.8530000000001</v>
      </c>
      <c r="W36" s="7">
        <v>2500.2510000000002</v>
      </c>
      <c r="X36" s="7">
        <v>2520.2170000000001</v>
      </c>
      <c r="Y36" s="7">
        <v>2157.62</v>
      </c>
      <c r="Z36" s="7">
        <v>2440.462</v>
      </c>
      <c r="AA36" s="7">
        <v>2788.45</v>
      </c>
      <c r="AB36" s="7">
        <v>2245.9369999999999</v>
      </c>
      <c r="AC36" s="7">
        <v>2660.5239999999999</v>
      </c>
      <c r="AD36" s="7">
        <v>2703.8710000000001</v>
      </c>
      <c r="AE36" s="7">
        <v>2506.9960000000001</v>
      </c>
      <c r="AF36" s="7">
        <v>2278.9079999999999</v>
      </c>
      <c r="AG36" s="7">
        <v>2188.373</v>
      </c>
      <c r="AH36" s="7">
        <v>2422.1210000000001</v>
      </c>
      <c r="AI36" s="7">
        <v>2727.08</v>
      </c>
      <c r="AJ36" s="7">
        <v>2539.9450000000002</v>
      </c>
      <c r="AL36" s="6">
        <f t="shared" si="2"/>
        <v>2503.4772499999999</v>
      </c>
      <c r="AM36" s="6">
        <f t="shared" si="3"/>
        <v>69.757575209678308</v>
      </c>
    </row>
    <row r="37" spans="1:39" x14ac:dyDescent="0.2">
      <c r="A37" s="7">
        <v>33.75</v>
      </c>
      <c r="B37" s="7">
        <v>2785.2069999999999</v>
      </c>
      <c r="C37" s="7">
        <v>2718.835</v>
      </c>
      <c r="D37" s="7">
        <v>1945.152</v>
      </c>
      <c r="E37" s="7">
        <v>2155.556</v>
      </c>
      <c r="F37" s="7">
        <v>2322.2979999999998</v>
      </c>
      <c r="G37" s="7">
        <v>2528.5700000000002</v>
      </c>
      <c r="H37" s="7">
        <v>2400.4740000000002</v>
      </c>
      <c r="I37" s="7">
        <v>2737.6990000000001</v>
      </c>
      <c r="J37" s="7">
        <v>2413.1550000000002</v>
      </c>
      <c r="K37" s="7">
        <v>1953.9780000000001</v>
      </c>
      <c r="L37" s="7">
        <v>2366.5920000000001</v>
      </c>
      <c r="M37" s="7">
        <v>2213.942</v>
      </c>
      <c r="N37" s="7">
        <v>2656.973</v>
      </c>
      <c r="O37" s="7">
        <v>2328.5160000000001</v>
      </c>
      <c r="P37" s="7">
        <v>2398.0680000000002</v>
      </c>
      <c r="R37" s="5">
        <f t="shared" si="0"/>
        <v>2395.0009999999997</v>
      </c>
      <c r="S37" s="5">
        <f t="shared" si="1"/>
        <v>67.573761011701691</v>
      </c>
      <c r="U37" s="7">
        <v>33.75</v>
      </c>
      <c r="V37" s="7">
        <v>2674.1590000000001</v>
      </c>
      <c r="W37" s="7">
        <v>2475.5169999999998</v>
      </c>
      <c r="X37" s="7">
        <v>2518.8710000000001</v>
      </c>
      <c r="Y37" s="7">
        <v>2165.2800000000002</v>
      </c>
      <c r="Z37" s="7">
        <v>2440.1909999999998</v>
      </c>
      <c r="AA37" s="7">
        <v>2814.88</v>
      </c>
      <c r="AB37" s="7">
        <v>2243.7710000000002</v>
      </c>
      <c r="AC37" s="7">
        <v>2650.4009999999998</v>
      </c>
      <c r="AD37" s="7">
        <v>2689.4639999999999</v>
      </c>
      <c r="AE37" s="7">
        <v>2483.962</v>
      </c>
      <c r="AF37" s="7">
        <v>2259.5410000000002</v>
      </c>
      <c r="AG37" s="7">
        <v>2174.9029999999998</v>
      </c>
      <c r="AH37" s="7">
        <v>2409.1880000000001</v>
      </c>
      <c r="AI37" s="7">
        <v>2694.0239999999999</v>
      </c>
      <c r="AJ37" s="7">
        <v>2513.3200000000002</v>
      </c>
      <c r="AL37" s="6">
        <f t="shared" si="2"/>
        <v>2484.350375</v>
      </c>
      <c r="AM37" s="6">
        <f t="shared" si="3"/>
        <v>68.971156477839514</v>
      </c>
    </row>
    <row r="38" spans="1:39" x14ac:dyDescent="0.2">
      <c r="A38" s="7">
        <v>35</v>
      </c>
      <c r="B38" s="7">
        <v>2754.7159999999999</v>
      </c>
      <c r="C38" s="7">
        <v>2699.2370000000001</v>
      </c>
      <c r="D38" s="7">
        <v>1931.1880000000001</v>
      </c>
      <c r="E38" s="7">
        <v>2147.3220000000001</v>
      </c>
      <c r="F38" s="7">
        <v>2306.9319999999998</v>
      </c>
      <c r="G38" s="7">
        <v>2534.672</v>
      </c>
      <c r="H38" s="7">
        <v>2381.8589999999999</v>
      </c>
      <c r="I38" s="7">
        <v>2713.4740000000002</v>
      </c>
      <c r="J38" s="7">
        <v>2388.6329999999998</v>
      </c>
      <c r="K38" s="7">
        <v>1926.7380000000001</v>
      </c>
      <c r="L38" s="7">
        <v>2355.2869999999998</v>
      </c>
      <c r="M38" s="7">
        <v>2202.42</v>
      </c>
      <c r="N38" s="7">
        <v>2633.1669999999999</v>
      </c>
      <c r="O38" s="7">
        <v>2308.4259999999999</v>
      </c>
      <c r="P38" s="7">
        <v>2390.59</v>
      </c>
      <c r="R38" s="5">
        <f t="shared" si="0"/>
        <v>2378.3107333333337</v>
      </c>
      <c r="S38" s="5">
        <f t="shared" si="1"/>
        <v>67.093339384731848</v>
      </c>
      <c r="U38" s="7">
        <v>35</v>
      </c>
      <c r="V38" s="7">
        <v>2632.2069999999999</v>
      </c>
      <c r="W38" s="7">
        <v>2458.221</v>
      </c>
      <c r="X38" s="7">
        <v>2510.8809999999999</v>
      </c>
      <c r="Y38" s="7">
        <v>2165.2869999999998</v>
      </c>
      <c r="Z38" s="7">
        <v>2427.8760000000002</v>
      </c>
      <c r="AA38" s="7">
        <v>2795.085</v>
      </c>
      <c r="AB38" s="7">
        <v>2229.5210000000002</v>
      </c>
      <c r="AC38" s="7">
        <v>2642.6750000000002</v>
      </c>
      <c r="AD38" s="7">
        <v>2671.8760000000002</v>
      </c>
      <c r="AE38" s="7">
        <v>2471.7350000000001</v>
      </c>
      <c r="AF38" s="7">
        <v>2239.25</v>
      </c>
      <c r="AG38" s="7">
        <v>2159.1419999999998</v>
      </c>
      <c r="AH38" s="7">
        <v>2401.5279999999998</v>
      </c>
      <c r="AI38" s="7">
        <v>2665.3919999999998</v>
      </c>
      <c r="AJ38" s="7">
        <v>2487.3820000000001</v>
      </c>
      <c r="AL38" s="6">
        <f t="shared" si="2"/>
        <v>2467.3724999999999</v>
      </c>
      <c r="AM38" s="6">
        <f t="shared" si="3"/>
        <v>68.604091429947346</v>
      </c>
    </row>
    <row r="39" spans="1:39" x14ac:dyDescent="0.2">
      <c r="A39" s="7">
        <v>36.25</v>
      </c>
      <c r="B39" s="7">
        <v>2613.7489999999998</v>
      </c>
      <c r="C39" s="7">
        <v>2583.9749999999999</v>
      </c>
      <c r="D39" s="7">
        <v>1842.9739999999999</v>
      </c>
      <c r="E39" s="7">
        <v>2050.1750000000002</v>
      </c>
      <c r="F39" s="7">
        <v>2213.1840000000002</v>
      </c>
      <c r="G39" s="7">
        <v>2419.5610000000001</v>
      </c>
      <c r="H39" s="7">
        <v>2265.143</v>
      </c>
      <c r="I39" s="7">
        <v>2581.143</v>
      </c>
      <c r="J39" s="7">
        <v>2283.8829999999998</v>
      </c>
      <c r="K39" s="7">
        <v>1834.8630000000001</v>
      </c>
      <c r="L39" s="7">
        <v>2241.6970000000001</v>
      </c>
      <c r="M39" s="7">
        <v>2109.1379999999999</v>
      </c>
      <c r="N39" s="7">
        <v>2518.4490000000001</v>
      </c>
      <c r="O39" s="7">
        <v>2194.1</v>
      </c>
      <c r="P39" s="7">
        <v>2269.9259999999999</v>
      </c>
      <c r="R39" s="5">
        <f t="shared" si="0"/>
        <v>2268.1306666666669</v>
      </c>
      <c r="S39" s="5">
        <f t="shared" si="1"/>
        <v>63.751672720661603</v>
      </c>
      <c r="U39" s="7">
        <v>36.25</v>
      </c>
      <c r="V39" s="7">
        <v>2491.335</v>
      </c>
      <c r="W39" s="7">
        <v>2344.558</v>
      </c>
      <c r="X39" s="7">
        <v>2400.8519999999999</v>
      </c>
      <c r="Y39" s="7">
        <v>2077.9690000000001</v>
      </c>
      <c r="Z39" s="7">
        <v>2316.4430000000002</v>
      </c>
      <c r="AA39" s="7">
        <v>2654.1260000000002</v>
      </c>
      <c r="AB39" s="7">
        <v>2130.9369999999999</v>
      </c>
      <c r="AC39" s="7">
        <v>2524.7080000000001</v>
      </c>
      <c r="AD39" s="7">
        <v>2558.6170000000002</v>
      </c>
      <c r="AE39" s="7">
        <v>2362.1060000000002</v>
      </c>
      <c r="AF39" s="7">
        <v>2137.1559999999999</v>
      </c>
      <c r="AG39" s="7">
        <v>2075.7249999999999</v>
      </c>
      <c r="AH39" s="7">
        <v>2298.5859999999998</v>
      </c>
      <c r="AI39" s="7">
        <v>2551.6489999999999</v>
      </c>
      <c r="AJ39" s="7">
        <v>2369.2869999999998</v>
      </c>
      <c r="AL39" s="6">
        <f t="shared" si="2"/>
        <v>2359.7292499999999</v>
      </c>
      <c r="AM39" s="6">
        <f t="shared" si="3"/>
        <v>65.142738559190718</v>
      </c>
    </row>
    <row r="40" spans="1:39" x14ac:dyDescent="0.2">
      <c r="A40" s="7">
        <v>37.5</v>
      </c>
      <c r="B40" s="7">
        <v>2409.6999999999998</v>
      </c>
      <c r="C40" s="7">
        <v>2389.0500000000002</v>
      </c>
      <c r="D40" s="7">
        <v>1701.377</v>
      </c>
      <c r="E40" s="7">
        <v>1886.0309999999999</v>
      </c>
      <c r="F40" s="7">
        <v>2041.6980000000001</v>
      </c>
      <c r="G40" s="7">
        <v>2203.6030000000001</v>
      </c>
      <c r="H40" s="7">
        <v>2074.67</v>
      </c>
      <c r="I40" s="7">
        <v>2391.8980000000001</v>
      </c>
      <c r="J40" s="7">
        <v>2100.5259999999998</v>
      </c>
      <c r="K40" s="7">
        <v>1694.9559999999999</v>
      </c>
      <c r="L40" s="7">
        <v>2064.8000000000002</v>
      </c>
      <c r="M40" s="7">
        <v>1937.86</v>
      </c>
      <c r="N40" s="7">
        <v>2335.9609999999998</v>
      </c>
      <c r="O40" s="7">
        <v>2018.0440000000001</v>
      </c>
      <c r="P40" s="7">
        <v>2081.835</v>
      </c>
      <c r="R40" s="5">
        <f t="shared" si="0"/>
        <v>2088.8006</v>
      </c>
      <c r="S40" s="5">
        <f t="shared" si="1"/>
        <v>59.223469615621696</v>
      </c>
      <c r="U40" s="7">
        <v>37.5</v>
      </c>
      <c r="V40" s="7">
        <v>2300.221</v>
      </c>
      <c r="W40" s="7">
        <v>2165.4119999999998</v>
      </c>
      <c r="X40" s="7">
        <v>2224.931</v>
      </c>
      <c r="Y40" s="7">
        <v>1906.25</v>
      </c>
      <c r="Z40" s="7">
        <v>2134.4180000000001</v>
      </c>
      <c r="AA40" s="7">
        <v>2418.46</v>
      </c>
      <c r="AB40" s="7">
        <v>1949.0060000000001</v>
      </c>
      <c r="AC40" s="7">
        <v>2294.9299999999998</v>
      </c>
      <c r="AD40" s="7">
        <v>2361.0010000000002</v>
      </c>
      <c r="AE40" s="7">
        <v>2172.1129999999998</v>
      </c>
      <c r="AF40" s="7">
        <v>1967.682</v>
      </c>
      <c r="AG40" s="7">
        <v>1921.8720000000001</v>
      </c>
      <c r="AH40" s="7">
        <v>2123.8609999999999</v>
      </c>
      <c r="AI40" s="7">
        <v>2359.9949999999999</v>
      </c>
      <c r="AJ40" s="7">
        <v>2179.6869999999999</v>
      </c>
      <c r="AL40" s="6">
        <f t="shared" si="2"/>
        <v>2172.6426249999995</v>
      </c>
      <c r="AM40" s="6">
        <f t="shared" si="3"/>
        <v>58.684736814286325</v>
      </c>
    </row>
    <row r="41" spans="1:39" x14ac:dyDescent="0.2">
      <c r="A41" s="7">
        <v>38.75</v>
      </c>
      <c r="B41" s="7">
        <v>2236.4</v>
      </c>
      <c r="C41" s="7">
        <v>2214.0439999999999</v>
      </c>
      <c r="D41" s="7">
        <v>1574.4760000000001</v>
      </c>
      <c r="E41" s="7">
        <v>1737.56</v>
      </c>
      <c r="F41" s="7">
        <v>1881.5650000000001</v>
      </c>
      <c r="G41" s="7">
        <v>2059.3359999999998</v>
      </c>
      <c r="H41" s="7">
        <v>1931.028</v>
      </c>
      <c r="I41" s="7">
        <v>2235.2089999999998</v>
      </c>
      <c r="J41" s="7">
        <v>1940.7339999999999</v>
      </c>
      <c r="K41" s="7">
        <v>1577.6410000000001</v>
      </c>
      <c r="L41" s="7">
        <v>1918.961</v>
      </c>
      <c r="M41" s="7">
        <v>1800.5029999999999</v>
      </c>
      <c r="N41" s="7">
        <v>2184.915</v>
      </c>
      <c r="O41" s="7">
        <v>1876.4780000000001</v>
      </c>
      <c r="P41" s="7">
        <v>1944.5219999999999</v>
      </c>
      <c r="R41" s="5">
        <f t="shared" si="0"/>
        <v>1940.8914666666667</v>
      </c>
      <c r="S41" s="5">
        <f t="shared" si="1"/>
        <v>55.961762811581409</v>
      </c>
      <c r="U41" s="7">
        <v>38.75</v>
      </c>
      <c r="V41" s="7">
        <v>2146.348</v>
      </c>
      <c r="W41" s="7">
        <v>2009.8109999999999</v>
      </c>
      <c r="X41" s="7">
        <v>2055.154</v>
      </c>
      <c r="Y41" s="7">
        <v>1771.5930000000001</v>
      </c>
      <c r="Z41" s="7">
        <v>1971.498</v>
      </c>
      <c r="AA41" s="7">
        <v>2231.5929999999998</v>
      </c>
      <c r="AB41" s="7">
        <v>1796.8240000000001</v>
      </c>
      <c r="AC41" s="7">
        <v>2130.2260000000001</v>
      </c>
      <c r="AD41" s="7">
        <v>2201.0909999999999</v>
      </c>
      <c r="AE41" s="7">
        <v>2012.6089999999999</v>
      </c>
      <c r="AF41" s="7">
        <v>1819.3689999999999</v>
      </c>
      <c r="AG41" s="7">
        <v>1778.9449999999999</v>
      </c>
      <c r="AH41" s="7">
        <v>1967.191</v>
      </c>
      <c r="AI41" s="7">
        <v>2174.991</v>
      </c>
      <c r="AJ41" s="7">
        <v>2022.1369999999999</v>
      </c>
      <c r="AL41" s="6">
        <f t="shared" si="2"/>
        <v>2013.3198750000001</v>
      </c>
      <c r="AM41" s="6">
        <f t="shared" si="3"/>
        <v>55.06769116844076</v>
      </c>
    </row>
    <row r="42" spans="1:39" x14ac:dyDescent="0.2">
      <c r="A42" s="7">
        <v>40</v>
      </c>
      <c r="B42" s="7">
        <v>2130.7550000000001</v>
      </c>
      <c r="C42" s="7">
        <v>2110.1640000000002</v>
      </c>
      <c r="D42" s="7">
        <v>1498.617</v>
      </c>
      <c r="E42" s="7">
        <v>1655.223</v>
      </c>
      <c r="F42" s="7">
        <v>1796.662</v>
      </c>
      <c r="G42" s="7">
        <v>1972.298</v>
      </c>
      <c r="H42" s="7">
        <v>1847.9480000000001</v>
      </c>
      <c r="I42" s="7">
        <v>2143.8690000000001</v>
      </c>
      <c r="J42" s="7">
        <v>1844.143</v>
      </c>
      <c r="K42" s="7">
        <v>1489.086</v>
      </c>
      <c r="L42" s="7">
        <v>1827.9369999999999</v>
      </c>
      <c r="M42" s="7">
        <v>1711.354</v>
      </c>
      <c r="N42" s="7">
        <v>2075.7950000000001</v>
      </c>
      <c r="O42" s="7">
        <v>1783.2840000000001</v>
      </c>
      <c r="P42" s="7">
        <v>1855.1079999999999</v>
      </c>
      <c r="R42" s="5">
        <f t="shared" si="0"/>
        <v>1849.4828666666667</v>
      </c>
      <c r="S42" s="5">
        <f t="shared" si="1"/>
        <v>54.227953972262178</v>
      </c>
      <c r="U42" s="7">
        <v>40</v>
      </c>
      <c r="V42" s="7">
        <v>2038.107</v>
      </c>
      <c r="W42" s="7">
        <v>1917.5039999999999</v>
      </c>
      <c r="X42" s="7">
        <v>1960.127</v>
      </c>
      <c r="Y42" s="7">
        <v>1692.89</v>
      </c>
      <c r="Z42" s="7">
        <v>1859.4970000000001</v>
      </c>
      <c r="AA42" s="7">
        <v>2143.9870000000001</v>
      </c>
      <c r="AB42" s="7">
        <v>1717.0989999999999</v>
      </c>
      <c r="AC42" s="7">
        <v>2042.9469999999999</v>
      </c>
      <c r="AD42" s="7">
        <v>2104.09</v>
      </c>
      <c r="AE42" s="7">
        <v>1920.9169999999999</v>
      </c>
      <c r="AF42" s="7">
        <v>1729.54</v>
      </c>
      <c r="AG42" s="7">
        <v>1695.296</v>
      </c>
      <c r="AH42" s="7">
        <v>1862.9110000000001</v>
      </c>
      <c r="AI42" s="7">
        <v>2057.3330000000001</v>
      </c>
      <c r="AJ42" s="7">
        <v>1929.0840000000001</v>
      </c>
      <c r="AL42" s="6">
        <f t="shared" si="2"/>
        <v>1917.76475</v>
      </c>
      <c r="AM42" s="6">
        <f t="shared" si="3"/>
        <v>53.106175343682288</v>
      </c>
    </row>
    <row r="43" spans="1:39" x14ac:dyDescent="0.2">
      <c r="A43" s="7">
        <v>41.25</v>
      </c>
      <c r="B43" s="7">
        <v>2054.1010000000001</v>
      </c>
      <c r="C43" s="7">
        <v>2055.4079999999999</v>
      </c>
      <c r="D43" s="7">
        <v>1461.242</v>
      </c>
      <c r="E43" s="7">
        <v>1611.498</v>
      </c>
      <c r="F43" s="7">
        <v>1748.1</v>
      </c>
      <c r="G43" s="7">
        <v>1918.9849999999999</v>
      </c>
      <c r="H43" s="7">
        <v>1804.482</v>
      </c>
      <c r="I43" s="7">
        <v>2074.913</v>
      </c>
      <c r="J43" s="7">
        <v>1799.248</v>
      </c>
      <c r="K43" s="7">
        <v>1450.222</v>
      </c>
      <c r="L43" s="7">
        <v>1787.5</v>
      </c>
      <c r="M43" s="7">
        <v>1664.825</v>
      </c>
      <c r="N43" s="7">
        <v>2017.01</v>
      </c>
      <c r="O43" s="7">
        <v>1723.8510000000001</v>
      </c>
      <c r="P43" s="7">
        <v>1792.7629999999999</v>
      </c>
      <c r="R43" s="5">
        <f t="shared" si="0"/>
        <v>1797.6098666666667</v>
      </c>
      <c r="S43" s="5">
        <f t="shared" si="1"/>
        <v>51.923537014203156</v>
      </c>
      <c r="U43" s="7">
        <v>41.25</v>
      </c>
      <c r="V43" s="7">
        <v>1980.8340000000001</v>
      </c>
      <c r="W43" s="7">
        <v>1862.9870000000001</v>
      </c>
      <c r="X43" s="7">
        <v>1910.585</v>
      </c>
      <c r="Y43" s="7">
        <v>1648.8119999999999</v>
      </c>
      <c r="Z43" s="7">
        <v>1797.57</v>
      </c>
      <c r="AA43" s="7">
        <v>2094.8240000000001</v>
      </c>
      <c r="AB43" s="7">
        <v>1674.653</v>
      </c>
      <c r="AC43" s="7">
        <v>1981.884</v>
      </c>
      <c r="AD43" s="7">
        <v>2027.441</v>
      </c>
      <c r="AE43" s="7">
        <v>1865.3209999999999</v>
      </c>
      <c r="AF43" s="7">
        <v>1682.1210000000001</v>
      </c>
      <c r="AG43" s="7">
        <v>1642.153</v>
      </c>
      <c r="AH43" s="7">
        <v>1799.5740000000001</v>
      </c>
      <c r="AI43" s="7">
        <v>2002.2619999999999</v>
      </c>
      <c r="AJ43" s="7">
        <v>1876.078</v>
      </c>
      <c r="AL43" s="6">
        <f t="shared" si="2"/>
        <v>1859.6042500000001</v>
      </c>
      <c r="AM43" s="6">
        <f t="shared" si="3"/>
        <v>51.089171393802779</v>
      </c>
    </row>
    <row r="44" spans="1:39" x14ac:dyDescent="0.2">
      <c r="A44" s="7">
        <v>42.5</v>
      </c>
      <c r="B44" s="7">
        <v>2035.2739999999999</v>
      </c>
      <c r="C44" s="7">
        <v>2033.9970000000001</v>
      </c>
      <c r="D44" s="7">
        <v>1439.3119999999999</v>
      </c>
      <c r="E44" s="7">
        <v>1598.6210000000001</v>
      </c>
      <c r="F44" s="7">
        <v>1713.0329999999999</v>
      </c>
      <c r="G44" s="7">
        <v>1898.9690000000001</v>
      </c>
      <c r="H44" s="7">
        <v>1777.01</v>
      </c>
      <c r="I44" s="7">
        <v>2032.1980000000001</v>
      </c>
      <c r="J44" s="7">
        <v>1786.4090000000001</v>
      </c>
      <c r="K44" s="7">
        <v>1449.3109999999999</v>
      </c>
      <c r="L44" s="7">
        <v>1763.028</v>
      </c>
      <c r="M44" s="7">
        <v>1648.3810000000001</v>
      </c>
      <c r="N44" s="7">
        <v>1990.307</v>
      </c>
      <c r="O44" s="7">
        <v>1702.0250000000001</v>
      </c>
      <c r="P44" s="7">
        <v>1754.598</v>
      </c>
      <c r="R44" s="5">
        <f t="shared" si="0"/>
        <v>1774.8315333333333</v>
      </c>
      <c r="S44" s="5">
        <f t="shared" si="1"/>
        <v>50.636826432084519</v>
      </c>
      <c r="U44" s="7">
        <v>42.5</v>
      </c>
      <c r="V44" s="7">
        <v>1954.864</v>
      </c>
      <c r="W44" s="7">
        <v>1829.9570000000001</v>
      </c>
      <c r="X44" s="7">
        <v>1879.403</v>
      </c>
      <c r="Y44" s="7">
        <v>1629.5640000000001</v>
      </c>
      <c r="Z44" s="7">
        <v>1793.393</v>
      </c>
      <c r="AA44" s="7">
        <v>2082.1190000000001</v>
      </c>
      <c r="AB44" s="7">
        <v>1660.5719999999999</v>
      </c>
      <c r="AC44" s="7">
        <v>1950.452</v>
      </c>
      <c r="AD44" s="7">
        <v>1989.49</v>
      </c>
      <c r="AE44" s="7">
        <v>1835.943</v>
      </c>
      <c r="AF44" s="7">
        <v>1658.6389999999999</v>
      </c>
      <c r="AG44" s="7">
        <v>1611.548</v>
      </c>
      <c r="AH44" s="7">
        <v>1760.6479999999999</v>
      </c>
      <c r="AI44" s="7">
        <v>1968.991</v>
      </c>
      <c r="AJ44" s="7">
        <v>1840.932</v>
      </c>
      <c r="AL44" s="6">
        <f t="shared" si="2"/>
        <v>1827.080375</v>
      </c>
      <c r="AM44" s="6">
        <f t="shared" si="3"/>
        <v>50.222086277900786</v>
      </c>
    </row>
    <row r="45" spans="1:39" x14ac:dyDescent="0.2">
      <c r="A45" s="7">
        <v>43.75</v>
      </c>
      <c r="B45" s="7">
        <v>2037.546</v>
      </c>
      <c r="C45" s="7">
        <v>2026.819</v>
      </c>
      <c r="D45" s="7">
        <v>1424.1569999999999</v>
      </c>
      <c r="E45" s="7">
        <v>1599.9079999999999</v>
      </c>
      <c r="F45" s="7">
        <v>1706.885</v>
      </c>
      <c r="G45" s="7">
        <v>1877.943</v>
      </c>
      <c r="H45" s="7">
        <v>1763.3589999999999</v>
      </c>
      <c r="I45" s="7">
        <v>2021.665</v>
      </c>
      <c r="J45" s="7">
        <v>1777.635</v>
      </c>
      <c r="K45" s="7">
        <v>1448.1780000000001</v>
      </c>
      <c r="L45" s="7">
        <v>1746.6479999999999</v>
      </c>
      <c r="M45" s="7">
        <v>1635.8869999999999</v>
      </c>
      <c r="N45" s="7">
        <v>1974.2809999999999</v>
      </c>
      <c r="O45" s="7">
        <v>1698.614</v>
      </c>
      <c r="P45" s="7">
        <v>1747.92</v>
      </c>
      <c r="R45" s="5">
        <f t="shared" si="0"/>
        <v>1765.8296666666668</v>
      </c>
      <c r="S45" s="5">
        <f t="shared" si="1"/>
        <v>50.441042638072318</v>
      </c>
      <c r="U45" s="7">
        <v>43.75</v>
      </c>
      <c r="V45" s="7">
        <v>1934.059</v>
      </c>
      <c r="W45" s="7">
        <v>1815.9970000000001</v>
      </c>
      <c r="X45" s="7">
        <v>1870.847</v>
      </c>
      <c r="Y45" s="7">
        <v>1618.6220000000001</v>
      </c>
      <c r="Z45" s="7">
        <v>1790.317</v>
      </c>
      <c r="AA45" s="7">
        <v>2079.2049999999999</v>
      </c>
      <c r="AB45" s="7">
        <v>1658.9880000000001</v>
      </c>
      <c r="AC45" s="7">
        <v>1948.74</v>
      </c>
      <c r="AD45" s="7">
        <v>1970.546</v>
      </c>
      <c r="AE45" s="7">
        <v>1823.2329999999999</v>
      </c>
      <c r="AF45" s="7">
        <v>1649.921</v>
      </c>
      <c r="AG45" s="7">
        <v>1596.7650000000001</v>
      </c>
      <c r="AH45" s="7">
        <v>1746.4680000000001</v>
      </c>
      <c r="AI45" s="7">
        <v>1960.117</v>
      </c>
      <c r="AJ45" s="7">
        <v>1823.6579999999999</v>
      </c>
      <c r="AL45" s="6">
        <f t="shared" si="2"/>
        <v>1814.931</v>
      </c>
      <c r="AM45" s="6">
        <f t="shared" si="3"/>
        <v>50.507570341343019</v>
      </c>
    </row>
    <row r="46" spans="1:39" x14ac:dyDescent="0.2">
      <c r="A46" s="7">
        <v>45</v>
      </c>
      <c r="B46" s="7">
        <v>2052.817</v>
      </c>
      <c r="C46" s="7">
        <v>2033.7570000000001</v>
      </c>
      <c r="D46" s="7">
        <v>1425.114</v>
      </c>
      <c r="E46" s="7">
        <v>1601.277</v>
      </c>
      <c r="F46" s="7">
        <v>1706.5719999999999</v>
      </c>
      <c r="G46" s="7">
        <v>1872.952</v>
      </c>
      <c r="H46" s="7">
        <v>1767.1220000000001</v>
      </c>
      <c r="I46" s="7">
        <v>2043.8969999999999</v>
      </c>
      <c r="J46" s="7">
        <v>1792.182</v>
      </c>
      <c r="K46" s="7">
        <v>1457.7059999999999</v>
      </c>
      <c r="L46" s="7">
        <v>1753.029</v>
      </c>
      <c r="M46" s="7">
        <v>1648.498</v>
      </c>
      <c r="N46" s="7">
        <v>1973.9780000000001</v>
      </c>
      <c r="O46" s="7">
        <v>1708.7070000000001</v>
      </c>
      <c r="P46" s="7">
        <v>1764.11</v>
      </c>
      <c r="R46" s="5">
        <f t="shared" si="0"/>
        <v>1773.4478666666662</v>
      </c>
      <c r="S46" s="5">
        <f t="shared" si="1"/>
        <v>50.939163309156513</v>
      </c>
      <c r="U46" s="7">
        <v>45</v>
      </c>
      <c r="V46" s="7">
        <v>1925.6790000000001</v>
      </c>
      <c r="W46" s="7">
        <v>1819.6569999999999</v>
      </c>
      <c r="X46" s="7">
        <v>1871.789</v>
      </c>
      <c r="Y46" s="7">
        <v>1617.0029999999999</v>
      </c>
      <c r="Z46" s="7">
        <v>1792.0730000000001</v>
      </c>
      <c r="AA46" s="7">
        <v>2080.2289999999998</v>
      </c>
      <c r="AB46" s="7">
        <v>1666.566</v>
      </c>
      <c r="AC46" s="7">
        <v>1955.249</v>
      </c>
      <c r="AD46" s="7">
        <v>1981.789</v>
      </c>
      <c r="AE46" s="7">
        <v>1825.5360000000001</v>
      </c>
      <c r="AF46" s="7">
        <v>1652.972</v>
      </c>
      <c r="AG46" s="7">
        <v>1600.7739999999999</v>
      </c>
      <c r="AH46" s="7">
        <v>1751.066</v>
      </c>
      <c r="AI46" s="7">
        <v>1977.4749999999999</v>
      </c>
      <c r="AJ46" s="7">
        <v>1836.675</v>
      </c>
      <c r="AL46" s="6">
        <f t="shared" si="2"/>
        <v>1822.692</v>
      </c>
      <c r="AM46" s="6">
        <f t="shared" si="3"/>
        <v>51.794126178967986</v>
      </c>
    </row>
    <row r="47" spans="1:39" x14ac:dyDescent="0.2">
      <c r="A47" s="7">
        <v>46.25</v>
      </c>
      <c r="B47" s="7">
        <v>2139.5949999999998</v>
      </c>
      <c r="C47" s="7">
        <v>2086.34</v>
      </c>
      <c r="D47" s="7">
        <v>1467.45</v>
      </c>
      <c r="E47" s="7">
        <v>1655.2349999999999</v>
      </c>
      <c r="F47" s="7">
        <v>1714.5060000000001</v>
      </c>
      <c r="G47" s="7">
        <v>1908.1969999999999</v>
      </c>
      <c r="H47" s="7">
        <v>1802.5429999999999</v>
      </c>
      <c r="I47" s="7">
        <v>2102.201</v>
      </c>
      <c r="J47" s="7">
        <v>1870.0730000000001</v>
      </c>
      <c r="K47" s="7">
        <v>1530.556</v>
      </c>
      <c r="L47" s="7">
        <v>1792.0440000000001</v>
      </c>
      <c r="M47" s="7">
        <v>1722.729</v>
      </c>
      <c r="N47" s="7">
        <v>2014.0260000000001</v>
      </c>
      <c r="O47" s="7">
        <v>1745.97</v>
      </c>
      <c r="P47" s="7">
        <v>1807.2170000000001</v>
      </c>
      <c r="R47" s="5">
        <f t="shared" si="0"/>
        <v>1823.9121333333337</v>
      </c>
      <c r="S47" s="5">
        <f t="shared" si="1"/>
        <v>51.77586752365665</v>
      </c>
      <c r="U47" s="7">
        <v>46.25</v>
      </c>
      <c r="V47" s="7">
        <v>1976.25</v>
      </c>
      <c r="W47" s="7">
        <v>1863.5730000000001</v>
      </c>
      <c r="X47" s="7">
        <v>1901.404</v>
      </c>
      <c r="Y47" s="7">
        <v>1644.5809999999999</v>
      </c>
      <c r="Z47" s="7">
        <v>1831.0409999999999</v>
      </c>
      <c r="AA47" s="7">
        <v>2148.0349999999999</v>
      </c>
      <c r="AB47" s="7">
        <v>1700.953</v>
      </c>
      <c r="AC47" s="7">
        <v>2015.9659999999999</v>
      </c>
      <c r="AD47" s="7">
        <v>2041.758</v>
      </c>
      <c r="AE47" s="7">
        <v>1855.011</v>
      </c>
      <c r="AF47" s="7">
        <v>1691.6659999999999</v>
      </c>
      <c r="AG47" s="7">
        <v>1624.0650000000001</v>
      </c>
      <c r="AH47" s="7">
        <v>1772.787</v>
      </c>
      <c r="AI47" s="7">
        <v>2016.4770000000001</v>
      </c>
      <c r="AJ47" s="7">
        <v>1885.1669999999999</v>
      </c>
      <c r="AL47" s="6">
        <f t="shared" si="2"/>
        <v>1862.8621250000001</v>
      </c>
      <c r="AM47" s="6">
        <f t="shared" si="3"/>
        <v>55.749265903699019</v>
      </c>
    </row>
    <row r="48" spans="1:39" x14ac:dyDescent="0.2">
      <c r="A48" s="7">
        <v>47.5</v>
      </c>
      <c r="B48" s="7">
        <v>2267.4009999999998</v>
      </c>
      <c r="C48" s="7">
        <v>2194.7629999999999</v>
      </c>
      <c r="D48" s="7">
        <v>1544.8209999999999</v>
      </c>
      <c r="E48" s="7">
        <v>1752.3340000000001</v>
      </c>
      <c r="F48" s="7">
        <v>1773.172</v>
      </c>
      <c r="G48" s="7">
        <v>2000.575</v>
      </c>
      <c r="H48" s="7">
        <v>1878.664</v>
      </c>
      <c r="I48" s="7">
        <v>2207.3020000000001</v>
      </c>
      <c r="J48" s="7">
        <v>1982.636</v>
      </c>
      <c r="K48" s="7">
        <v>1629.6410000000001</v>
      </c>
      <c r="L48" s="7">
        <v>1870.4970000000001</v>
      </c>
      <c r="M48" s="7">
        <v>1824.4449999999999</v>
      </c>
      <c r="N48" s="7">
        <v>2116.1750000000002</v>
      </c>
      <c r="O48" s="7">
        <v>1825.124</v>
      </c>
      <c r="P48" s="7">
        <v>1884.62</v>
      </c>
      <c r="R48" s="5">
        <f t="shared" si="0"/>
        <v>1916.8113333333333</v>
      </c>
      <c r="S48" s="5">
        <f t="shared" si="1"/>
        <v>54.587346595959481</v>
      </c>
      <c r="U48" s="7">
        <v>47.5</v>
      </c>
      <c r="V48" s="7">
        <v>2089.346</v>
      </c>
      <c r="W48" s="7">
        <v>1963.039</v>
      </c>
      <c r="X48" s="7">
        <v>1987.5640000000001</v>
      </c>
      <c r="Y48" s="7">
        <v>1718.3789999999999</v>
      </c>
      <c r="Z48" s="7">
        <v>1928.547</v>
      </c>
      <c r="AA48" s="7">
        <v>2285.4340000000002</v>
      </c>
      <c r="AB48" s="7">
        <v>1777.9939999999999</v>
      </c>
      <c r="AC48" s="7">
        <v>2110.2440000000001</v>
      </c>
      <c r="AD48" s="7">
        <v>2137.2240000000002</v>
      </c>
      <c r="AE48" s="7">
        <v>1923.877</v>
      </c>
      <c r="AF48" s="7">
        <v>1799.7080000000001</v>
      </c>
      <c r="AG48" s="7">
        <v>1695.5250000000001</v>
      </c>
      <c r="AH48" s="7">
        <v>1841.7729999999999</v>
      </c>
      <c r="AI48" s="7">
        <v>2092.261</v>
      </c>
      <c r="AJ48" s="7">
        <v>1972.231</v>
      </c>
      <c r="AL48" s="6">
        <f t="shared" si="2"/>
        <v>1946.6053750000001</v>
      </c>
      <c r="AM48" s="6">
        <f t="shared" si="3"/>
        <v>56.869508040945782</v>
      </c>
    </row>
    <row r="49" spans="1:39" x14ac:dyDescent="0.2">
      <c r="A49" s="7">
        <v>48.75</v>
      </c>
      <c r="B49" s="7">
        <v>2381.1280000000002</v>
      </c>
      <c r="C49" s="7">
        <v>2297.482</v>
      </c>
      <c r="D49" s="7">
        <v>1624.1010000000001</v>
      </c>
      <c r="E49" s="7">
        <v>1845.6279999999999</v>
      </c>
      <c r="F49" s="7">
        <v>1865.0029999999999</v>
      </c>
      <c r="G49" s="7">
        <v>2114.442</v>
      </c>
      <c r="H49" s="7">
        <v>1975.088</v>
      </c>
      <c r="I49" s="7">
        <v>2316.5920000000001</v>
      </c>
      <c r="J49" s="7">
        <v>2072.2840000000001</v>
      </c>
      <c r="K49" s="7">
        <v>1701.1510000000001</v>
      </c>
      <c r="L49" s="7">
        <v>1966.0319999999999</v>
      </c>
      <c r="M49" s="7">
        <v>1905.5029999999999</v>
      </c>
      <c r="N49" s="7">
        <v>2241.6350000000002</v>
      </c>
      <c r="O49" s="7">
        <v>1915.1289999999999</v>
      </c>
      <c r="P49" s="7">
        <v>1982.729</v>
      </c>
      <c r="R49" s="5">
        <f t="shared" si="0"/>
        <v>2013.5951333333335</v>
      </c>
      <c r="S49" s="5">
        <f t="shared" si="1"/>
        <v>57.685220147003093</v>
      </c>
      <c r="U49" s="7">
        <v>48.75</v>
      </c>
      <c r="V49" s="7">
        <v>2185.5210000000002</v>
      </c>
      <c r="W49" s="7">
        <v>2059.6840000000002</v>
      </c>
      <c r="X49" s="7">
        <v>2098.8870000000002</v>
      </c>
      <c r="Y49" s="7">
        <v>1805.865</v>
      </c>
      <c r="Z49" s="7">
        <v>2027.329</v>
      </c>
      <c r="AA49" s="7">
        <v>2398.502</v>
      </c>
      <c r="AB49" s="7">
        <v>1863.0830000000001</v>
      </c>
      <c r="AC49" s="7">
        <v>2197.5830000000001</v>
      </c>
      <c r="AD49" s="7">
        <v>2243.2330000000002</v>
      </c>
      <c r="AE49" s="7">
        <v>2016.711</v>
      </c>
      <c r="AF49" s="7">
        <v>1893.164</v>
      </c>
      <c r="AG49" s="7">
        <v>1782.8</v>
      </c>
      <c r="AH49" s="7">
        <v>1936.1179999999999</v>
      </c>
      <c r="AI49" s="7">
        <v>2192.4560000000001</v>
      </c>
      <c r="AJ49" s="7">
        <v>2056.7109999999998</v>
      </c>
      <c r="AL49" s="6">
        <f t="shared" si="2"/>
        <v>2039.847</v>
      </c>
      <c r="AM49" s="6">
        <f t="shared" si="3"/>
        <v>58.049310120177772</v>
      </c>
    </row>
    <row r="50" spans="1:39" x14ac:dyDescent="0.2">
      <c r="A50" s="7">
        <v>50</v>
      </c>
      <c r="B50" s="7">
        <v>2444.569</v>
      </c>
      <c r="C50" s="7">
        <v>2384.549</v>
      </c>
      <c r="D50" s="7">
        <v>1698.9929999999999</v>
      </c>
      <c r="E50" s="7">
        <v>1933.1130000000001</v>
      </c>
      <c r="F50" s="7">
        <v>1944.3520000000001</v>
      </c>
      <c r="G50" s="7">
        <v>2215.8159999999998</v>
      </c>
      <c r="H50" s="7">
        <v>2066.7579999999998</v>
      </c>
      <c r="I50" s="7">
        <v>2413.9029999999998</v>
      </c>
      <c r="J50" s="7">
        <v>2160.0700000000002</v>
      </c>
      <c r="K50" s="7">
        <v>1748.0409999999999</v>
      </c>
      <c r="L50" s="7">
        <v>2053.88</v>
      </c>
      <c r="M50" s="7">
        <v>1966.4190000000001</v>
      </c>
      <c r="N50" s="7">
        <v>2343.7869999999998</v>
      </c>
      <c r="O50" s="7">
        <v>1985.056</v>
      </c>
      <c r="P50" s="7">
        <v>2062.3270000000002</v>
      </c>
      <c r="R50" s="5">
        <f t="shared" si="0"/>
        <v>2094.7755333333339</v>
      </c>
      <c r="S50" s="5">
        <f t="shared" si="1"/>
        <v>59.631492075824774</v>
      </c>
      <c r="U50" s="7">
        <v>50</v>
      </c>
      <c r="V50" s="7">
        <v>2257.221</v>
      </c>
      <c r="W50" s="7">
        <v>2148.52</v>
      </c>
      <c r="X50" s="7">
        <v>2168.6880000000001</v>
      </c>
      <c r="Y50" s="7">
        <v>1877.057</v>
      </c>
      <c r="Z50" s="7">
        <v>2096.1460000000002</v>
      </c>
      <c r="AA50" s="7">
        <v>2466.4299999999998</v>
      </c>
      <c r="AB50" s="7">
        <v>1931.6590000000001</v>
      </c>
      <c r="AC50" s="7">
        <v>2278.4670000000001</v>
      </c>
      <c r="AD50" s="7">
        <v>2332.828</v>
      </c>
      <c r="AE50" s="7">
        <v>2109.5700000000002</v>
      </c>
      <c r="AF50" s="7">
        <v>1949.84</v>
      </c>
      <c r="AG50" s="7">
        <v>1854.269</v>
      </c>
      <c r="AH50" s="7">
        <v>2009.3979999999999</v>
      </c>
      <c r="AI50" s="7">
        <v>2289.587</v>
      </c>
      <c r="AJ50" s="7">
        <v>2127.895</v>
      </c>
      <c r="AL50" s="6">
        <f t="shared" si="2"/>
        <v>2118.9817499999999</v>
      </c>
      <c r="AM50" s="6">
        <f t="shared" si="3"/>
        <v>61.401825221169709</v>
      </c>
    </row>
    <row r="51" spans="1:39" x14ac:dyDescent="0.2">
      <c r="A51" s="7">
        <v>51.25</v>
      </c>
      <c r="B51" s="7">
        <v>2501.6089999999999</v>
      </c>
      <c r="C51" s="7">
        <v>2458.8339999999998</v>
      </c>
      <c r="D51" s="7">
        <v>1751.202</v>
      </c>
      <c r="E51" s="7">
        <v>1994.9870000000001</v>
      </c>
      <c r="F51" s="7">
        <v>2024.318</v>
      </c>
      <c r="G51" s="7">
        <v>2286.6529999999998</v>
      </c>
      <c r="H51" s="7">
        <v>2143.4140000000002</v>
      </c>
      <c r="I51" s="7">
        <v>2478.0259999999998</v>
      </c>
      <c r="J51" s="7">
        <v>2226.34</v>
      </c>
      <c r="K51" s="7">
        <v>1792.4880000000001</v>
      </c>
      <c r="L51" s="7">
        <v>2128.11</v>
      </c>
      <c r="M51" s="7">
        <v>2023.6089999999999</v>
      </c>
      <c r="N51" s="7">
        <v>2430.261</v>
      </c>
      <c r="O51" s="7">
        <v>2040.4680000000001</v>
      </c>
      <c r="P51" s="7">
        <v>2142.192</v>
      </c>
      <c r="R51" s="5">
        <f t="shared" si="0"/>
        <v>2161.5007333333333</v>
      </c>
      <c r="S51" s="5">
        <f t="shared" si="1"/>
        <v>61.05842536693973</v>
      </c>
      <c r="U51" s="7">
        <v>51.25</v>
      </c>
      <c r="V51" s="7">
        <v>2315.4369999999999</v>
      </c>
      <c r="W51" s="7">
        <v>2203.2779999999998</v>
      </c>
      <c r="X51" s="7">
        <v>2226.1320000000001</v>
      </c>
      <c r="Y51" s="7">
        <v>1939.7349999999999</v>
      </c>
      <c r="Z51" s="7">
        <v>2144.596</v>
      </c>
      <c r="AA51" s="7">
        <v>2503.866</v>
      </c>
      <c r="AB51" s="7">
        <v>1986.6949999999999</v>
      </c>
      <c r="AC51" s="7">
        <v>2342.4490000000001</v>
      </c>
      <c r="AD51" s="7">
        <v>2403.7629999999999</v>
      </c>
      <c r="AE51" s="7">
        <v>2169.8969999999999</v>
      </c>
      <c r="AF51" s="7">
        <v>1990.7639999999999</v>
      </c>
      <c r="AG51" s="7">
        <v>1917.799</v>
      </c>
      <c r="AH51" s="7">
        <v>2065.2620000000002</v>
      </c>
      <c r="AI51" s="7">
        <v>2357.5030000000002</v>
      </c>
      <c r="AJ51" s="7">
        <v>2195.7910000000002</v>
      </c>
      <c r="AL51" s="6">
        <f t="shared" si="2"/>
        <v>2180.4034999999999</v>
      </c>
      <c r="AM51" s="6">
        <f t="shared" si="3"/>
        <v>63.533095047272134</v>
      </c>
    </row>
    <row r="52" spans="1:39" x14ac:dyDescent="0.2">
      <c r="A52" s="7">
        <v>52.5</v>
      </c>
      <c r="B52" s="7">
        <v>2571.3719999999998</v>
      </c>
      <c r="C52" s="7">
        <v>2483.683</v>
      </c>
      <c r="D52" s="7">
        <v>1770.9390000000001</v>
      </c>
      <c r="E52" s="7">
        <v>2005.028</v>
      </c>
      <c r="F52" s="7">
        <v>2077.4859999999999</v>
      </c>
      <c r="G52" s="7">
        <v>2303.9119999999998</v>
      </c>
      <c r="H52" s="7">
        <v>2174.9839999999999</v>
      </c>
      <c r="I52" s="7">
        <v>2492.2220000000002</v>
      </c>
      <c r="J52" s="7">
        <v>2247.3939999999998</v>
      </c>
      <c r="K52" s="7">
        <v>1824.452</v>
      </c>
      <c r="L52" s="7">
        <v>2149.7809999999999</v>
      </c>
      <c r="M52" s="7">
        <v>2055.549</v>
      </c>
      <c r="N52" s="7">
        <v>2469.2559999999999</v>
      </c>
      <c r="O52" s="7">
        <v>2058.8470000000002</v>
      </c>
      <c r="P52" s="7">
        <v>2168.0239999999999</v>
      </c>
      <c r="R52" s="5">
        <f t="shared" si="0"/>
        <v>2190.1952666666671</v>
      </c>
      <c r="S52" s="5">
        <f t="shared" si="1"/>
        <v>62.144282093210705</v>
      </c>
      <c r="U52" s="7">
        <v>52.5</v>
      </c>
      <c r="V52" s="7">
        <v>2320.0450000000001</v>
      </c>
      <c r="W52" s="7">
        <v>2213.4079999999999</v>
      </c>
      <c r="X52" s="7">
        <v>2263.279</v>
      </c>
      <c r="Y52" s="7">
        <v>1976.098</v>
      </c>
      <c r="Z52" s="7">
        <v>2157.768</v>
      </c>
      <c r="AA52" s="7">
        <v>2530.4769999999999</v>
      </c>
      <c r="AB52" s="7">
        <v>2007.0640000000001</v>
      </c>
      <c r="AC52" s="7">
        <v>2372.1219999999998</v>
      </c>
      <c r="AD52" s="7">
        <v>2432.6149999999998</v>
      </c>
      <c r="AE52" s="7">
        <v>2193.8069999999998</v>
      </c>
      <c r="AF52" s="7">
        <v>2005.6669999999999</v>
      </c>
      <c r="AG52" s="7">
        <v>1958.127</v>
      </c>
      <c r="AH52" s="7">
        <v>2083.5059999999999</v>
      </c>
      <c r="AI52" s="7">
        <v>2372.9270000000001</v>
      </c>
      <c r="AJ52" s="7">
        <v>2222.63</v>
      </c>
      <c r="AL52" s="6">
        <f t="shared" si="2"/>
        <v>2205.1751249999998</v>
      </c>
      <c r="AM52" s="6">
        <f t="shared" si="3"/>
        <v>63.219345803050082</v>
      </c>
    </row>
    <row r="53" spans="1:39" x14ac:dyDescent="0.2">
      <c r="A53" s="7">
        <v>53.75</v>
      </c>
      <c r="B53" s="7">
        <v>2589.6390000000001</v>
      </c>
      <c r="C53" s="7">
        <v>2456.5729999999999</v>
      </c>
      <c r="D53" s="7">
        <v>1767.117</v>
      </c>
      <c r="E53" s="7">
        <v>2011.2049999999999</v>
      </c>
      <c r="F53" s="7">
        <v>2059.8409999999999</v>
      </c>
      <c r="G53" s="7">
        <v>2262.194</v>
      </c>
      <c r="H53" s="7">
        <v>2145.6959999999999</v>
      </c>
      <c r="I53" s="7">
        <v>2463.6439999999998</v>
      </c>
      <c r="J53" s="7">
        <v>2228.9299999999998</v>
      </c>
      <c r="K53" s="7">
        <v>1812.886</v>
      </c>
      <c r="L53" s="7">
        <v>2110.6840000000002</v>
      </c>
      <c r="M53" s="7">
        <v>2055.5079999999998</v>
      </c>
      <c r="N53" s="7">
        <v>2439.087</v>
      </c>
      <c r="O53" s="7">
        <v>2039.7149999999999</v>
      </c>
      <c r="P53" s="7">
        <v>2130.1750000000002</v>
      </c>
      <c r="R53" s="5">
        <f t="shared" si="0"/>
        <v>2171.5262666666667</v>
      </c>
      <c r="S53" s="5">
        <f t="shared" si="1"/>
        <v>61.402916144451446</v>
      </c>
      <c r="U53" s="7">
        <v>53.75</v>
      </c>
      <c r="V53" s="7">
        <v>2303.6260000000002</v>
      </c>
      <c r="W53" s="7">
        <v>2198.6309999999999</v>
      </c>
      <c r="X53" s="7">
        <v>2249.86</v>
      </c>
      <c r="Y53" s="7">
        <v>1966.865</v>
      </c>
      <c r="Z53" s="7">
        <v>2148.33</v>
      </c>
      <c r="AA53" s="7">
        <v>2519.6460000000002</v>
      </c>
      <c r="AB53" s="7">
        <v>1982.3340000000001</v>
      </c>
      <c r="AC53" s="7">
        <v>2357.7469999999998</v>
      </c>
      <c r="AD53" s="7">
        <v>2433.3200000000002</v>
      </c>
      <c r="AE53" s="7">
        <v>2174.2800000000002</v>
      </c>
      <c r="AF53" s="7">
        <v>1988.14</v>
      </c>
      <c r="AG53" s="7">
        <v>1946.5630000000001</v>
      </c>
      <c r="AH53" s="7">
        <v>2064.0529999999999</v>
      </c>
      <c r="AI53" s="7">
        <v>2344.2779999999998</v>
      </c>
      <c r="AJ53" s="7">
        <v>2191.0070000000001</v>
      </c>
      <c r="AL53" s="6">
        <f t="shared" si="2"/>
        <v>2187.4234999999999</v>
      </c>
      <c r="AM53" s="6">
        <f t="shared" si="3"/>
        <v>63.697399125810897</v>
      </c>
    </row>
    <row r="54" spans="1:39" x14ac:dyDescent="0.2">
      <c r="A54" s="7">
        <v>55</v>
      </c>
      <c r="B54" s="7">
        <v>2522.39</v>
      </c>
      <c r="C54" s="7">
        <v>2364.654</v>
      </c>
      <c r="D54" s="7">
        <v>1720.0840000000001</v>
      </c>
      <c r="E54" s="7">
        <v>1960.941</v>
      </c>
      <c r="F54" s="7">
        <v>1967.2619999999999</v>
      </c>
      <c r="G54" s="7">
        <v>2161.35</v>
      </c>
      <c r="H54" s="7">
        <v>2053.2080000000001</v>
      </c>
      <c r="I54" s="7">
        <v>2382.5659999999998</v>
      </c>
      <c r="J54" s="7">
        <v>2177.0070000000001</v>
      </c>
      <c r="K54" s="7">
        <v>1755.354</v>
      </c>
      <c r="L54" s="7">
        <v>2000.4690000000001</v>
      </c>
      <c r="M54" s="7">
        <v>2001.087</v>
      </c>
      <c r="N54" s="7">
        <v>2327.627</v>
      </c>
      <c r="O54" s="7">
        <v>1967.6659999999999</v>
      </c>
      <c r="P54" s="7">
        <v>2050.7539999999999</v>
      </c>
      <c r="R54" s="5">
        <f t="shared" si="0"/>
        <v>2094.161266666667</v>
      </c>
      <c r="S54" s="5">
        <f t="shared" si="1"/>
        <v>59.007108091149114</v>
      </c>
      <c r="U54" s="7">
        <v>55</v>
      </c>
      <c r="V54" s="7">
        <v>2242.0010000000002</v>
      </c>
      <c r="W54" s="7">
        <v>2135.748</v>
      </c>
      <c r="X54" s="7">
        <v>2164.9960000000001</v>
      </c>
      <c r="Y54" s="7">
        <v>1901.4670000000001</v>
      </c>
      <c r="Z54" s="7">
        <v>2091.0430000000001</v>
      </c>
      <c r="AA54" s="7">
        <v>2435.3710000000001</v>
      </c>
      <c r="AB54" s="7">
        <v>1900.6030000000001</v>
      </c>
      <c r="AC54" s="7">
        <v>2270.0500000000002</v>
      </c>
      <c r="AD54" s="7">
        <v>2378.2739999999999</v>
      </c>
      <c r="AE54" s="7">
        <v>2100.636</v>
      </c>
      <c r="AF54" s="7">
        <v>1931.2950000000001</v>
      </c>
      <c r="AG54" s="7">
        <v>1875.97</v>
      </c>
      <c r="AH54" s="7">
        <v>1997.17</v>
      </c>
      <c r="AI54" s="7">
        <v>2276.181</v>
      </c>
      <c r="AJ54" s="7">
        <v>2106.7350000000001</v>
      </c>
      <c r="AL54" s="6">
        <f t="shared" si="2"/>
        <v>2117.0388750000002</v>
      </c>
      <c r="AM54" s="6">
        <f t="shared" si="3"/>
        <v>63.293699160692086</v>
      </c>
    </row>
    <row r="55" spans="1:39" x14ac:dyDescent="0.2">
      <c r="A55" s="7">
        <v>56.25</v>
      </c>
      <c r="B55" s="7">
        <v>2404.0390000000002</v>
      </c>
      <c r="C55" s="7">
        <v>2208.924</v>
      </c>
      <c r="D55" s="7">
        <v>1612.3689999999999</v>
      </c>
      <c r="E55" s="7">
        <v>1848.663</v>
      </c>
      <c r="F55" s="7">
        <v>1800.223</v>
      </c>
      <c r="G55" s="7">
        <v>2002.8530000000001</v>
      </c>
      <c r="H55" s="7">
        <v>1899.3330000000001</v>
      </c>
      <c r="I55" s="7">
        <v>2260.8710000000001</v>
      </c>
      <c r="J55" s="7">
        <v>2069.6089999999999</v>
      </c>
      <c r="K55" s="7">
        <v>1654.6610000000001</v>
      </c>
      <c r="L55" s="7">
        <v>1814.595</v>
      </c>
      <c r="M55" s="7">
        <v>1883.809</v>
      </c>
      <c r="N55" s="7">
        <v>2164.6880000000001</v>
      </c>
      <c r="O55" s="7">
        <v>1817.2339999999999</v>
      </c>
      <c r="P55" s="7">
        <v>1916.433</v>
      </c>
      <c r="R55" s="5">
        <f t="shared" si="0"/>
        <v>1957.2202666666669</v>
      </c>
      <c r="S55" s="5">
        <f t="shared" si="1"/>
        <v>58.154193724668708</v>
      </c>
      <c r="U55" s="7">
        <v>56.25</v>
      </c>
      <c r="V55" s="7">
        <v>2101.8200000000002</v>
      </c>
      <c r="W55" s="7">
        <v>2009.0440000000001</v>
      </c>
      <c r="X55" s="7">
        <v>2022.8530000000001</v>
      </c>
      <c r="Y55" s="7">
        <v>1771.326</v>
      </c>
      <c r="Z55" s="7">
        <v>1968.0809999999999</v>
      </c>
      <c r="AA55" s="7">
        <v>2279.962</v>
      </c>
      <c r="AB55" s="7">
        <v>1769.2059999999999</v>
      </c>
      <c r="AC55" s="7">
        <v>2112.1640000000002</v>
      </c>
      <c r="AD55" s="7">
        <v>2225.9810000000002</v>
      </c>
      <c r="AE55" s="7">
        <v>1971.7139999999999</v>
      </c>
      <c r="AF55" s="7">
        <v>1806.98</v>
      </c>
      <c r="AG55" s="7">
        <v>1755.0450000000001</v>
      </c>
      <c r="AH55" s="7">
        <v>1863.3240000000001</v>
      </c>
      <c r="AI55" s="7">
        <v>2135.797</v>
      </c>
      <c r="AJ55" s="7">
        <v>1976.9159999999999</v>
      </c>
      <c r="AL55" s="6">
        <f t="shared" si="2"/>
        <v>1980.990125</v>
      </c>
      <c r="AM55" s="6">
        <f t="shared" si="3"/>
        <v>59.231833854487626</v>
      </c>
    </row>
    <row r="56" spans="1:39" x14ac:dyDescent="0.2">
      <c r="A56" s="7">
        <v>57.5</v>
      </c>
      <c r="B56" s="7">
        <v>2305.056</v>
      </c>
      <c r="C56" s="7">
        <v>2055.297</v>
      </c>
      <c r="D56" s="7">
        <v>1486.0229999999999</v>
      </c>
      <c r="E56" s="7">
        <v>1723.59</v>
      </c>
      <c r="F56" s="7">
        <v>1624.165</v>
      </c>
      <c r="G56" s="7">
        <v>1820.1279999999999</v>
      </c>
      <c r="H56" s="7">
        <v>1719.221</v>
      </c>
      <c r="I56" s="7">
        <v>2084.8429999999998</v>
      </c>
      <c r="J56" s="7">
        <v>1943.8879999999999</v>
      </c>
      <c r="K56" s="7">
        <v>1546.4649999999999</v>
      </c>
      <c r="L56" s="7">
        <v>1619.3209999999999</v>
      </c>
      <c r="M56" s="7">
        <v>1756.6469999999999</v>
      </c>
      <c r="N56" s="7">
        <v>1978.672</v>
      </c>
      <c r="O56" s="7">
        <v>1643.7149999999999</v>
      </c>
      <c r="P56" s="7">
        <v>1746.414</v>
      </c>
      <c r="R56" s="5">
        <f t="shared" si="0"/>
        <v>1803.5629999999999</v>
      </c>
      <c r="S56" s="5">
        <f t="shared" si="1"/>
        <v>58.643389070924648</v>
      </c>
      <c r="U56" s="7">
        <v>57.5</v>
      </c>
      <c r="V56" s="7">
        <v>1937.0840000000001</v>
      </c>
      <c r="W56" s="7">
        <v>1849.222</v>
      </c>
      <c r="X56" s="7">
        <v>1852.5229999999999</v>
      </c>
      <c r="Y56" s="7">
        <v>1612.2629999999999</v>
      </c>
      <c r="Z56" s="7">
        <v>1834.7190000000001</v>
      </c>
      <c r="AA56" s="7">
        <v>2117.3820000000001</v>
      </c>
      <c r="AB56" s="7">
        <v>1602.2650000000001</v>
      </c>
      <c r="AC56" s="7">
        <v>1941.787</v>
      </c>
      <c r="AD56" s="7">
        <v>2026.693</v>
      </c>
      <c r="AE56" s="7">
        <v>1788.2570000000001</v>
      </c>
      <c r="AF56" s="7">
        <v>1657.1469999999999</v>
      </c>
      <c r="AG56" s="7">
        <v>1602.798</v>
      </c>
      <c r="AH56" s="7">
        <v>1695.3</v>
      </c>
      <c r="AI56" s="7">
        <v>1961.5630000000001</v>
      </c>
      <c r="AJ56" s="7">
        <v>1822.5260000000001</v>
      </c>
      <c r="AL56" s="6">
        <f t="shared" si="2"/>
        <v>1812.008875</v>
      </c>
      <c r="AM56" s="6">
        <f t="shared" si="3"/>
        <v>54.665408410567991</v>
      </c>
    </row>
    <row r="57" spans="1:39" x14ac:dyDescent="0.2">
      <c r="A57" s="7">
        <v>58.75</v>
      </c>
      <c r="B57" s="7">
        <v>2227.4639999999999</v>
      </c>
      <c r="C57" s="7">
        <v>1923.9010000000001</v>
      </c>
      <c r="D57" s="7">
        <v>1396.954</v>
      </c>
      <c r="E57" s="7">
        <v>1623.348</v>
      </c>
      <c r="F57" s="7">
        <v>1479.0440000000001</v>
      </c>
      <c r="G57" s="7">
        <v>1691.866</v>
      </c>
      <c r="H57" s="7">
        <v>1561.18</v>
      </c>
      <c r="I57" s="7">
        <v>1929.1010000000001</v>
      </c>
      <c r="J57" s="7">
        <v>1843.133</v>
      </c>
      <c r="K57" s="7">
        <v>1453.787</v>
      </c>
      <c r="L57" s="7">
        <v>1471.1890000000001</v>
      </c>
      <c r="M57" s="7">
        <v>1681.307</v>
      </c>
      <c r="N57" s="7">
        <v>1814.6610000000001</v>
      </c>
      <c r="O57" s="7">
        <v>1490.1369999999999</v>
      </c>
      <c r="P57" s="7">
        <v>1595.2460000000001</v>
      </c>
      <c r="R57" s="5">
        <f t="shared" si="0"/>
        <v>1678.8211999999996</v>
      </c>
      <c r="S57" s="5">
        <f t="shared" si="1"/>
        <v>59.440046325304678</v>
      </c>
      <c r="U57" s="7">
        <v>58.75</v>
      </c>
      <c r="V57" s="7">
        <v>1816.9880000000001</v>
      </c>
      <c r="W57" s="7">
        <v>1733.9739999999999</v>
      </c>
      <c r="X57" s="7">
        <v>1690.002</v>
      </c>
      <c r="Y57" s="7">
        <v>1470.095</v>
      </c>
      <c r="Z57" s="7">
        <v>1718.2270000000001</v>
      </c>
      <c r="AA57" s="7">
        <v>1993.9860000000001</v>
      </c>
      <c r="AB57" s="7">
        <v>1465.1030000000001</v>
      </c>
      <c r="AC57" s="7">
        <v>1817.3579999999999</v>
      </c>
      <c r="AD57" s="7">
        <v>1894.828</v>
      </c>
      <c r="AE57" s="7">
        <v>1633.115</v>
      </c>
      <c r="AF57" s="7">
        <v>1535.654</v>
      </c>
      <c r="AG57" s="7">
        <v>1469.3810000000001</v>
      </c>
      <c r="AH57" s="7">
        <v>1554.127</v>
      </c>
      <c r="AI57" s="7">
        <v>1794.7629999999999</v>
      </c>
      <c r="AJ57" s="7">
        <v>1673.787</v>
      </c>
      <c r="AL57" s="6">
        <f t="shared" si="2"/>
        <v>1671.6266249999999</v>
      </c>
      <c r="AM57" s="6">
        <f t="shared" si="3"/>
        <v>53.603184248078776</v>
      </c>
    </row>
    <row r="58" spans="1:39" x14ac:dyDescent="0.2">
      <c r="A58" s="7">
        <v>60</v>
      </c>
      <c r="B58" s="7">
        <v>2149.6469999999999</v>
      </c>
      <c r="C58" s="7">
        <v>1851.3530000000001</v>
      </c>
      <c r="D58" s="7">
        <v>1332.155</v>
      </c>
      <c r="E58" s="7">
        <v>1555.325</v>
      </c>
      <c r="F58" s="7">
        <v>1386.819</v>
      </c>
      <c r="G58" s="7">
        <v>1610.172</v>
      </c>
      <c r="H58" s="7">
        <v>1482.1579999999999</v>
      </c>
      <c r="I58" s="7">
        <v>1846.761</v>
      </c>
      <c r="J58" s="7">
        <v>1781.7550000000001</v>
      </c>
      <c r="K58" s="7">
        <v>1391.4760000000001</v>
      </c>
      <c r="L58" s="7">
        <v>1393.7370000000001</v>
      </c>
      <c r="M58" s="7">
        <v>1610.1980000000001</v>
      </c>
      <c r="N58" s="7">
        <v>1712.2919999999999</v>
      </c>
      <c r="O58" s="7">
        <v>1403.1010000000001</v>
      </c>
      <c r="P58" s="7">
        <v>1512.039</v>
      </c>
      <c r="R58" s="5">
        <f t="shared" si="0"/>
        <v>1601.2658666666669</v>
      </c>
      <c r="S58" s="5">
        <f t="shared" si="1"/>
        <v>59.265812235327012</v>
      </c>
      <c r="U58" s="7">
        <v>60</v>
      </c>
      <c r="V58" s="7">
        <v>1728.2929999999999</v>
      </c>
      <c r="W58" s="7">
        <v>1651.9680000000001</v>
      </c>
      <c r="X58" s="7">
        <v>1597.192</v>
      </c>
      <c r="Y58" s="7">
        <v>1395.13</v>
      </c>
      <c r="Z58" s="7">
        <v>1639.951</v>
      </c>
      <c r="AA58" s="7">
        <v>1911.944</v>
      </c>
      <c r="AB58" s="7">
        <v>1404.0609999999999</v>
      </c>
      <c r="AC58" s="7">
        <v>1731.03</v>
      </c>
      <c r="AD58" s="7">
        <v>1806.6320000000001</v>
      </c>
      <c r="AE58" s="7">
        <v>1551.039</v>
      </c>
      <c r="AF58" s="7">
        <v>1467.989</v>
      </c>
      <c r="AG58" s="7">
        <v>1383.7180000000001</v>
      </c>
      <c r="AH58" s="7">
        <v>1471.7729999999999</v>
      </c>
      <c r="AI58" s="7">
        <v>1707.663</v>
      </c>
      <c r="AJ58" s="7">
        <v>1579.8779999999999</v>
      </c>
      <c r="AL58" s="6">
        <f t="shared" si="2"/>
        <v>1587.4652500000002</v>
      </c>
      <c r="AM58" s="6">
        <f t="shared" si="3"/>
        <v>52.38065547568587</v>
      </c>
    </row>
    <row r="59" spans="1:39" x14ac:dyDescent="0.2">
      <c r="A59" s="7">
        <v>61.25</v>
      </c>
      <c r="B59" s="7">
        <v>2087.625</v>
      </c>
      <c r="C59" s="7">
        <v>1787.5219999999999</v>
      </c>
      <c r="D59" s="7">
        <v>1287.6980000000001</v>
      </c>
      <c r="E59" s="7">
        <v>1502.8710000000001</v>
      </c>
      <c r="F59" s="7">
        <v>1341.721</v>
      </c>
      <c r="G59" s="7">
        <v>1549.2560000000001</v>
      </c>
      <c r="H59" s="7">
        <v>1436.6479999999999</v>
      </c>
      <c r="I59" s="7">
        <v>1790.796</v>
      </c>
      <c r="J59" s="7">
        <v>1736.425</v>
      </c>
      <c r="K59" s="7">
        <v>1359.7760000000001</v>
      </c>
      <c r="L59" s="7">
        <v>1351.7249999999999</v>
      </c>
      <c r="M59" s="7">
        <v>1554.1410000000001</v>
      </c>
      <c r="N59" s="7">
        <v>1658.992</v>
      </c>
      <c r="O59" s="7">
        <v>1353.056</v>
      </c>
      <c r="P59" s="7">
        <v>1462.269</v>
      </c>
      <c r="R59" s="5">
        <f t="shared" si="0"/>
        <v>1550.7013999999997</v>
      </c>
      <c r="S59" s="5">
        <f t="shared" si="1"/>
        <v>57.706895943850405</v>
      </c>
      <c r="U59" s="7">
        <v>61.25</v>
      </c>
      <c r="V59" s="7">
        <v>1665.317</v>
      </c>
      <c r="W59" s="7">
        <v>1591.826</v>
      </c>
      <c r="X59" s="7">
        <v>1537.9169999999999</v>
      </c>
      <c r="Y59" s="7">
        <v>1346.8579999999999</v>
      </c>
      <c r="Z59" s="7">
        <v>1581.7860000000001</v>
      </c>
      <c r="AA59" s="7">
        <v>1847.008</v>
      </c>
      <c r="AB59" s="7">
        <v>1369.5170000000001</v>
      </c>
      <c r="AC59" s="7">
        <v>1672</v>
      </c>
      <c r="AD59" s="7">
        <v>1752.0989999999999</v>
      </c>
      <c r="AE59" s="7">
        <v>1525.625</v>
      </c>
      <c r="AF59" s="7">
        <v>1426.8489999999999</v>
      </c>
      <c r="AG59" s="7">
        <v>1332.4939999999999</v>
      </c>
      <c r="AH59" s="7">
        <v>1418.4849999999999</v>
      </c>
      <c r="AI59" s="7">
        <v>1648.895</v>
      </c>
      <c r="AJ59" s="7">
        <v>1528.4739999999999</v>
      </c>
      <c r="AL59" s="6">
        <f t="shared" si="2"/>
        <v>1538.115125</v>
      </c>
      <c r="AM59" s="6">
        <f t="shared" si="3"/>
        <v>50.921325549264687</v>
      </c>
    </row>
    <row r="60" spans="1:39" x14ac:dyDescent="0.2">
      <c r="A60" s="7">
        <v>62.5</v>
      </c>
      <c r="B60" s="7">
        <v>2017.9190000000001</v>
      </c>
      <c r="C60" s="7">
        <v>1741.89</v>
      </c>
      <c r="D60" s="7">
        <v>1256.8320000000001</v>
      </c>
      <c r="E60" s="7">
        <v>1467.7550000000001</v>
      </c>
      <c r="F60" s="7">
        <v>1317.3910000000001</v>
      </c>
      <c r="G60" s="7">
        <v>1512.7249999999999</v>
      </c>
      <c r="H60" s="7">
        <v>1400.403</v>
      </c>
      <c r="I60" s="7">
        <v>1748.577</v>
      </c>
      <c r="J60" s="7">
        <v>1695.4849999999999</v>
      </c>
      <c r="K60" s="7">
        <v>1327.3040000000001</v>
      </c>
      <c r="L60" s="7">
        <v>1334.6769999999999</v>
      </c>
      <c r="M60" s="7">
        <v>1510.404</v>
      </c>
      <c r="N60" s="7">
        <v>1615.424</v>
      </c>
      <c r="O60" s="7">
        <v>1324.9829999999999</v>
      </c>
      <c r="P60" s="7">
        <v>1432.615</v>
      </c>
      <c r="R60" s="5">
        <f t="shared" si="0"/>
        <v>1513.6256000000001</v>
      </c>
      <c r="S60" s="5">
        <f t="shared" si="1"/>
        <v>54.91669464265172</v>
      </c>
      <c r="U60" s="7">
        <v>62.5</v>
      </c>
      <c r="V60" s="7">
        <v>1621.7180000000001</v>
      </c>
      <c r="W60" s="7">
        <v>1566.1220000000001</v>
      </c>
      <c r="X60" s="7">
        <v>1509.809</v>
      </c>
      <c r="Y60" s="7">
        <v>1301.241</v>
      </c>
      <c r="Z60" s="7">
        <v>1549.845</v>
      </c>
      <c r="AA60" s="7">
        <v>1807.018</v>
      </c>
      <c r="AB60" s="7">
        <v>1324.336</v>
      </c>
      <c r="AC60" s="7">
        <v>1627.1130000000001</v>
      </c>
      <c r="AD60" s="7">
        <v>1706.6030000000001</v>
      </c>
      <c r="AE60" s="7">
        <v>1488.5129999999999</v>
      </c>
      <c r="AF60" s="7">
        <v>1382.5170000000001</v>
      </c>
      <c r="AG60" s="7">
        <v>1304.874</v>
      </c>
      <c r="AH60" s="7">
        <v>1382.6880000000001</v>
      </c>
      <c r="AI60" s="7">
        <v>1611.393</v>
      </c>
      <c r="AJ60" s="7">
        <v>1488.8510000000001</v>
      </c>
      <c r="AL60" s="6">
        <f t="shared" si="2"/>
        <v>1499.0690000000002</v>
      </c>
      <c r="AM60" s="6">
        <f t="shared" si="3"/>
        <v>49.486424656883713</v>
      </c>
    </row>
    <row r="61" spans="1:39" x14ac:dyDescent="0.2">
      <c r="A61" s="7">
        <v>63.75</v>
      </c>
      <c r="B61" s="7">
        <v>1938.0730000000001</v>
      </c>
      <c r="C61" s="7">
        <v>1701.7</v>
      </c>
      <c r="D61" s="7">
        <v>1229.4390000000001</v>
      </c>
      <c r="E61" s="7">
        <v>1440.7429999999999</v>
      </c>
      <c r="F61" s="7">
        <v>1302.3209999999999</v>
      </c>
      <c r="G61" s="7">
        <v>1496.029</v>
      </c>
      <c r="H61" s="7">
        <v>1385.327</v>
      </c>
      <c r="I61" s="7">
        <v>1715.5029999999999</v>
      </c>
      <c r="J61" s="7">
        <v>1657.3520000000001</v>
      </c>
      <c r="K61" s="7">
        <v>1287.4269999999999</v>
      </c>
      <c r="L61" s="7">
        <v>1327.8520000000001</v>
      </c>
      <c r="M61" s="7">
        <v>1463.4829999999999</v>
      </c>
      <c r="N61" s="7">
        <v>1596.78</v>
      </c>
      <c r="O61" s="7">
        <v>1325.6479999999999</v>
      </c>
      <c r="P61" s="7">
        <v>1420.7380000000001</v>
      </c>
      <c r="R61" s="5">
        <f t="shared" si="0"/>
        <v>1485.8943333333334</v>
      </c>
      <c r="S61" s="5">
        <f t="shared" si="1"/>
        <v>51.268107082898325</v>
      </c>
      <c r="U61" s="7">
        <v>63.75</v>
      </c>
      <c r="V61" s="7">
        <v>1585.7629999999999</v>
      </c>
      <c r="W61" s="7">
        <v>1532.48</v>
      </c>
      <c r="X61" s="7">
        <v>1488.0889999999999</v>
      </c>
      <c r="Y61" s="7">
        <v>1285.098</v>
      </c>
      <c r="Z61" s="7">
        <v>1522.366</v>
      </c>
      <c r="AA61" s="7">
        <v>1759.3489999999999</v>
      </c>
      <c r="AB61" s="7">
        <v>1291.171</v>
      </c>
      <c r="AC61" s="7">
        <v>1591.0239999999999</v>
      </c>
      <c r="AD61" s="7">
        <v>1661.422</v>
      </c>
      <c r="AE61" s="7">
        <v>1461.2819999999999</v>
      </c>
      <c r="AF61" s="7">
        <v>1356.337</v>
      </c>
      <c r="AG61" s="7">
        <v>1290.6600000000001</v>
      </c>
      <c r="AH61" s="7">
        <v>1366.2860000000001</v>
      </c>
      <c r="AI61" s="7">
        <v>1593.0619999999999</v>
      </c>
      <c r="AJ61" s="7">
        <v>1466.472</v>
      </c>
      <c r="AL61" s="6">
        <f t="shared" si="2"/>
        <v>1473.318125</v>
      </c>
      <c r="AM61" s="6">
        <f t="shared" si="3"/>
        <v>46.727271814540046</v>
      </c>
    </row>
    <row r="62" spans="1:39" x14ac:dyDescent="0.2">
      <c r="A62" s="7">
        <v>65</v>
      </c>
      <c r="B62" s="7">
        <v>1871.653</v>
      </c>
      <c r="C62" s="7">
        <v>1664.164</v>
      </c>
      <c r="D62" s="7">
        <v>1195.7170000000001</v>
      </c>
      <c r="E62" s="7">
        <v>1409.009</v>
      </c>
      <c r="F62" s="7">
        <v>1295.8030000000001</v>
      </c>
      <c r="G62" s="7">
        <v>1491.6379999999999</v>
      </c>
      <c r="H62" s="7">
        <v>1376.4359999999999</v>
      </c>
      <c r="I62" s="7">
        <v>1682.3920000000001</v>
      </c>
      <c r="J62" s="7">
        <v>1609.68</v>
      </c>
      <c r="K62" s="7">
        <v>1254.885</v>
      </c>
      <c r="L62" s="7">
        <v>1335.3510000000001</v>
      </c>
      <c r="M62" s="7">
        <v>1425.7260000000001</v>
      </c>
      <c r="N62" s="7">
        <v>1586.2380000000001</v>
      </c>
      <c r="O62" s="7">
        <v>1310.883</v>
      </c>
      <c r="P62" s="7">
        <v>1415.501</v>
      </c>
      <c r="R62" s="5">
        <f t="shared" si="0"/>
        <v>1461.6717333333336</v>
      </c>
      <c r="S62" s="5">
        <f t="shared" si="1"/>
        <v>48.269480545061576</v>
      </c>
      <c r="U62" s="7">
        <v>65</v>
      </c>
      <c r="V62" s="7">
        <v>1553.6389999999999</v>
      </c>
      <c r="W62" s="7">
        <v>1501.123</v>
      </c>
      <c r="X62" s="7">
        <v>1477.7139999999999</v>
      </c>
      <c r="Y62" s="7">
        <v>1278.8889999999999</v>
      </c>
      <c r="Z62" s="7">
        <v>1489.2729999999999</v>
      </c>
      <c r="AA62" s="7">
        <v>1699.962</v>
      </c>
      <c r="AB62" s="7">
        <v>1289.1500000000001</v>
      </c>
      <c r="AC62" s="7">
        <v>1564.598</v>
      </c>
      <c r="AD62" s="7">
        <v>1638.415</v>
      </c>
      <c r="AE62" s="7">
        <v>1440.748</v>
      </c>
      <c r="AF62" s="7">
        <v>1336.5609999999999</v>
      </c>
      <c r="AG62" s="7">
        <v>1272.796</v>
      </c>
      <c r="AH62" s="7">
        <v>1356.3510000000001</v>
      </c>
      <c r="AI62" s="7">
        <v>1570.3130000000001</v>
      </c>
      <c r="AJ62" s="7">
        <v>1451.847</v>
      </c>
      <c r="AL62" s="6">
        <f t="shared" si="2"/>
        <v>1453.9536250000001</v>
      </c>
      <c r="AM62" s="6">
        <f t="shared" si="3"/>
        <v>45.534894987226743</v>
      </c>
    </row>
    <row r="63" spans="1:39" x14ac:dyDescent="0.2">
      <c r="A63" s="7">
        <v>66.25</v>
      </c>
      <c r="B63" s="7">
        <v>1803.972</v>
      </c>
      <c r="C63" s="7">
        <v>1626.6189999999999</v>
      </c>
      <c r="D63" s="7">
        <v>1177.0160000000001</v>
      </c>
      <c r="E63" s="7">
        <v>1372.1469999999999</v>
      </c>
      <c r="F63" s="7">
        <v>1286.74</v>
      </c>
      <c r="G63" s="7">
        <v>1489.827</v>
      </c>
      <c r="H63" s="7">
        <v>1360.7919999999999</v>
      </c>
      <c r="I63" s="7">
        <v>1643.394</v>
      </c>
      <c r="J63" s="7">
        <v>1556.616</v>
      </c>
      <c r="K63" s="7">
        <v>1204.769</v>
      </c>
      <c r="L63" s="7">
        <v>1332.752</v>
      </c>
      <c r="M63" s="7">
        <v>1384.2139999999999</v>
      </c>
      <c r="N63" s="7">
        <v>1571.2950000000001</v>
      </c>
      <c r="O63" s="7">
        <v>1297.8800000000001</v>
      </c>
      <c r="P63" s="7">
        <v>1389.202</v>
      </c>
      <c r="R63" s="5">
        <f t="shared" si="0"/>
        <v>1433.1490000000001</v>
      </c>
      <c r="S63" s="5">
        <f t="shared" si="1"/>
        <v>45.645698549234986</v>
      </c>
      <c r="U63" s="7">
        <v>66.25</v>
      </c>
      <c r="V63" s="7">
        <v>1536.7860000000001</v>
      </c>
      <c r="W63" s="7">
        <v>1472.9760000000001</v>
      </c>
      <c r="X63" s="7">
        <v>1467.3130000000001</v>
      </c>
      <c r="Y63" s="7">
        <v>1277.3630000000001</v>
      </c>
      <c r="Z63" s="7">
        <v>1463.9849999999999</v>
      </c>
      <c r="AA63" s="7">
        <v>1661.914</v>
      </c>
      <c r="AB63" s="7">
        <v>1280.8119999999999</v>
      </c>
      <c r="AC63" s="7">
        <v>1532.5619999999999</v>
      </c>
      <c r="AD63" s="7">
        <v>1607.327</v>
      </c>
      <c r="AE63" s="7">
        <v>1403.9780000000001</v>
      </c>
      <c r="AF63" s="7">
        <v>1312.319</v>
      </c>
      <c r="AG63" s="7">
        <v>1263.152</v>
      </c>
      <c r="AH63" s="7">
        <v>1336.7670000000001</v>
      </c>
      <c r="AI63" s="7">
        <v>1537.0150000000001</v>
      </c>
      <c r="AJ63" s="7">
        <v>1434.421</v>
      </c>
      <c r="AL63" s="6">
        <f t="shared" si="2"/>
        <v>1428.4426249999999</v>
      </c>
      <c r="AM63" s="6">
        <f t="shared" si="3"/>
        <v>43.192424629680417</v>
      </c>
    </row>
    <row r="64" spans="1:39" x14ac:dyDescent="0.2">
      <c r="A64" s="7">
        <v>67.5</v>
      </c>
      <c r="B64" s="7">
        <v>1713.9929999999999</v>
      </c>
      <c r="C64" s="7">
        <v>1609.319</v>
      </c>
      <c r="D64" s="7">
        <v>1160.568</v>
      </c>
      <c r="E64" s="7">
        <v>1336.701</v>
      </c>
      <c r="F64" s="7">
        <v>1281.5619999999999</v>
      </c>
      <c r="G64" s="7">
        <v>1476.808</v>
      </c>
      <c r="H64" s="7">
        <v>1353.463</v>
      </c>
      <c r="I64" s="7">
        <v>1622.31</v>
      </c>
      <c r="J64" s="7">
        <v>1510.4739999999999</v>
      </c>
      <c r="K64" s="7">
        <v>1144.9649999999999</v>
      </c>
      <c r="L64" s="7">
        <v>1335.259</v>
      </c>
      <c r="M64" s="7">
        <v>1355.396</v>
      </c>
      <c r="N64" s="7">
        <v>1562.607</v>
      </c>
      <c r="O64" s="7">
        <v>1279.164</v>
      </c>
      <c r="P64" s="7">
        <v>1382.008</v>
      </c>
      <c r="R64" s="5">
        <f t="shared" si="0"/>
        <v>1408.3064666666667</v>
      </c>
      <c r="S64" s="5">
        <f t="shared" si="1"/>
        <v>43.589773122981399</v>
      </c>
      <c r="U64" s="7">
        <v>67.5</v>
      </c>
      <c r="V64" s="7">
        <v>1511.3489999999999</v>
      </c>
      <c r="W64" s="7">
        <v>1445.2329999999999</v>
      </c>
      <c r="X64" s="7">
        <v>1450.3910000000001</v>
      </c>
      <c r="Y64" s="7">
        <v>1276.309</v>
      </c>
      <c r="Z64" s="7">
        <v>1433.85</v>
      </c>
      <c r="AA64" s="7">
        <v>1636.7059999999999</v>
      </c>
      <c r="AB64" s="7">
        <v>1268.316</v>
      </c>
      <c r="AC64" s="7">
        <v>1507.7809999999999</v>
      </c>
      <c r="AD64" s="7">
        <v>1583.954</v>
      </c>
      <c r="AE64" s="7">
        <v>1394.242</v>
      </c>
      <c r="AF64" s="7">
        <v>1295.204</v>
      </c>
      <c r="AG64" s="7">
        <v>1258.653</v>
      </c>
      <c r="AH64" s="7">
        <v>1319.924</v>
      </c>
      <c r="AI64" s="7">
        <v>1517.1859999999999</v>
      </c>
      <c r="AJ64" s="7">
        <v>1413.788</v>
      </c>
      <c r="AL64" s="6">
        <f t="shared" si="2"/>
        <v>1411.3415</v>
      </c>
      <c r="AM64" s="6">
        <f t="shared" si="3"/>
        <v>41.351270710307581</v>
      </c>
    </row>
    <row r="65" spans="1:39" x14ac:dyDescent="0.2">
      <c r="A65" s="7">
        <v>68.75</v>
      </c>
      <c r="B65" s="7">
        <v>1616.6959999999999</v>
      </c>
      <c r="C65" s="7">
        <v>1594.856</v>
      </c>
      <c r="D65" s="7">
        <v>1139.162</v>
      </c>
      <c r="E65" s="7">
        <v>1306.2809999999999</v>
      </c>
      <c r="F65" s="7">
        <v>1290.6669999999999</v>
      </c>
      <c r="G65" s="7">
        <v>1477.6220000000001</v>
      </c>
      <c r="H65" s="7">
        <v>1364.057</v>
      </c>
      <c r="I65" s="7">
        <v>1606.7840000000001</v>
      </c>
      <c r="J65" s="7">
        <v>1451.597</v>
      </c>
      <c r="K65" s="7">
        <v>1090.2360000000001</v>
      </c>
      <c r="L65" s="7">
        <v>1350.9079999999999</v>
      </c>
      <c r="M65" s="7">
        <v>1314.806</v>
      </c>
      <c r="N65" s="7">
        <v>1564.059</v>
      </c>
      <c r="O65" s="7">
        <v>1293.143</v>
      </c>
      <c r="P65" s="7">
        <v>1395.12</v>
      </c>
      <c r="R65" s="5">
        <f t="shared" si="0"/>
        <v>1390.3996</v>
      </c>
      <c r="S65" s="5">
        <f t="shared" si="1"/>
        <v>41.920289062503194</v>
      </c>
      <c r="U65" s="7">
        <v>68.75</v>
      </c>
      <c r="V65" s="7">
        <v>1478.7339999999999</v>
      </c>
      <c r="W65" s="7">
        <v>1419.3150000000001</v>
      </c>
      <c r="X65" s="7">
        <v>1452.546</v>
      </c>
      <c r="Y65" s="7">
        <v>1285.8420000000001</v>
      </c>
      <c r="Z65" s="7">
        <v>1404.3420000000001</v>
      </c>
      <c r="AA65" s="7">
        <v>1629.134</v>
      </c>
      <c r="AB65" s="7">
        <v>1276.4390000000001</v>
      </c>
      <c r="AC65" s="7">
        <v>1497.0419999999999</v>
      </c>
      <c r="AD65" s="7">
        <v>1568.25</v>
      </c>
      <c r="AE65" s="7">
        <v>1409.056</v>
      </c>
      <c r="AF65" s="7">
        <v>1287.414</v>
      </c>
      <c r="AG65" s="7">
        <v>1257.5229999999999</v>
      </c>
      <c r="AH65" s="7">
        <v>1318.9649999999999</v>
      </c>
      <c r="AI65" s="7">
        <v>1515.8810000000001</v>
      </c>
      <c r="AJ65" s="7">
        <v>1410.356</v>
      </c>
      <c r="AL65" s="6">
        <f t="shared" si="2"/>
        <v>1408.0608749999999</v>
      </c>
      <c r="AM65" s="6">
        <f t="shared" si="3"/>
        <v>40.170402395134829</v>
      </c>
    </row>
    <row r="66" spans="1:39" x14ac:dyDescent="0.2">
      <c r="A66" s="7">
        <v>70</v>
      </c>
      <c r="B66" s="7">
        <v>1540.886</v>
      </c>
      <c r="C66" s="7">
        <v>1578.799</v>
      </c>
      <c r="D66" s="7">
        <v>1128.4739999999999</v>
      </c>
      <c r="E66" s="7">
        <v>1272</v>
      </c>
      <c r="F66" s="7">
        <v>1297.508</v>
      </c>
      <c r="G66" s="7">
        <v>1478.7360000000001</v>
      </c>
      <c r="H66" s="7">
        <v>1373.922</v>
      </c>
      <c r="I66" s="7">
        <v>1595.67</v>
      </c>
      <c r="J66" s="7">
        <v>1396.635</v>
      </c>
      <c r="K66" s="7">
        <v>1041.2280000000001</v>
      </c>
      <c r="L66" s="7">
        <v>1371.5260000000001</v>
      </c>
      <c r="M66" s="7">
        <v>1279.4749999999999</v>
      </c>
      <c r="N66" s="7">
        <v>1563.6110000000001</v>
      </c>
      <c r="O66" s="7">
        <v>1304.83</v>
      </c>
      <c r="P66" s="7">
        <v>1397.8710000000001</v>
      </c>
      <c r="R66" s="5">
        <f t="shared" si="0"/>
        <v>1374.7447333333334</v>
      </c>
      <c r="S66" s="5">
        <f t="shared" si="1"/>
        <v>41.857342973765562</v>
      </c>
      <c r="U66" s="7">
        <v>70</v>
      </c>
      <c r="V66" s="7">
        <v>1447.9939999999999</v>
      </c>
      <c r="W66" s="7">
        <v>1390.607</v>
      </c>
      <c r="X66" s="7">
        <v>1451.55</v>
      </c>
      <c r="Y66" s="7">
        <v>1295.9649999999999</v>
      </c>
      <c r="Z66" s="7">
        <v>1377.7180000000001</v>
      </c>
      <c r="AA66" s="7">
        <v>1597.47</v>
      </c>
      <c r="AB66" s="7">
        <v>1266.7080000000001</v>
      </c>
      <c r="AC66" s="7">
        <v>1494.8119999999999</v>
      </c>
      <c r="AD66" s="7">
        <v>1536.03</v>
      </c>
      <c r="AE66" s="7">
        <v>1390.3810000000001</v>
      </c>
      <c r="AF66" s="7">
        <v>1274.3879999999999</v>
      </c>
      <c r="AG66" s="7">
        <v>1254.5709999999999</v>
      </c>
      <c r="AH66" s="7">
        <v>1313.546</v>
      </c>
      <c r="AI66" s="7">
        <v>1498.1659999999999</v>
      </c>
      <c r="AJ66" s="7">
        <v>1390.3720000000001</v>
      </c>
      <c r="AL66" s="6">
        <f t="shared" si="2"/>
        <v>1394.0332499999997</v>
      </c>
      <c r="AM66" s="6">
        <f t="shared" si="3"/>
        <v>38.133391161229774</v>
      </c>
    </row>
    <row r="67" spans="1:39" x14ac:dyDescent="0.2">
      <c r="A67" s="7">
        <v>71.25</v>
      </c>
      <c r="B67" s="7">
        <v>1506.489</v>
      </c>
      <c r="C67" s="7">
        <v>1555.402</v>
      </c>
      <c r="D67" s="7">
        <v>1112.2729999999999</v>
      </c>
      <c r="E67" s="7">
        <v>1254.4839999999999</v>
      </c>
      <c r="F67" s="7">
        <v>1287.375</v>
      </c>
      <c r="G67" s="7">
        <v>1466.354</v>
      </c>
      <c r="H67" s="7">
        <v>1366.4860000000001</v>
      </c>
      <c r="I67" s="7">
        <v>1571.5719999999999</v>
      </c>
      <c r="J67" s="7">
        <v>1348.721</v>
      </c>
      <c r="K67" s="7">
        <v>989.03</v>
      </c>
      <c r="L67" s="7">
        <v>1363.989</v>
      </c>
      <c r="M67" s="7">
        <v>1266.953</v>
      </c>
      <c r="N67" s="7">
        <v>1559.1890000000001</v>
      </c>
      <c r="O67" s="7">
        <v>1297.1320000000001</v>
      </c>
      <c r="P67" s="7">
        <v>1387.1120000000001</v>
      </c>
      <c r="R67" s="5">
        <f t="shared" si="0"/>
        <v>1355.5040666666669</v>
      </c>
      <c r="S67" s="5">
        <f t="shared" si="1"/>
        <v>42.762562639974746</v>
      </c>
      <c r="U67" s="7">
        <v>71.25</v>
      </c>
      <c r="V67" s="7">
        <v>1434.634</v>
      </c>
      <c r="W67" s="7">
        <v>1372.4829999999999</v>
      </c>
      <c r="X67" s="7">
        <v>1436.39</v>
      </c>
      <c r="Y67" s="7">
        <v>1292.7370000000001</v>
      </c>
      <c r="Z67" s="7">
        <v>1352.0319999999999</v>
      </c>
      <c r="AA67" s="7">
        <v>1573.7190000000001</v>
      </c>
      <c r="AB67" s="7">
        <v>1279.9390000000001</v>
      </c>
      <c r="AC67" s="7">
        <v>1480.0360000000001</v>
      </c>
      <c r="AD67" s="7">
        <v>1515.588</v>
      </c>
      <c r="AE67" s="7">
        <v>1362.758</v>
      </c>
      <c r="AF67" s="7">
        <v>1252.355</v>
      </c>
      <c r="AG67" s="7">
        <v>1239.0609999999999</v>
      </c>
      <c r="AH67" s="7">
        <v>1302.8800000000001</v>
      </c>
      <c r="AI67" s="7">
        <v>1471.2819999999999</v>
      </c>
      <c r="AJ67" s="7">
        <v>1368.239</v>
      </c>
      <c r="AL67" s="6">
        <f t="shared" si="2"/>
        <v>1374.0248749999998</v>
      </c>
      <c r="AM67" s="6">
        <f t="shared" si="3"/>
        <v>37.554304357840778</v>
      </c>
    </row>
    <row r="68" spans="1:39" x14ac:dyDescent="0.2">
      <c r="A68" s="7">
        <v>72.5</v>
      </c>
      <c r="B68" s="7">
        <v>1486.5519999999999</v>
      </c>
      <c r="C68" s="7">
        <v>1536.068</v>
      </c>
      <c r="D68" s="7">
        <v>1103.501</v>
      </c>
      <c r="E68" s="7">
        <v>1238.6310000000001</v>
      </c>
      <c r="F68" s="7">
        <v>1274.809</v>
      </c>
      <c r="G68" s="7">
        <v>1453.634</v>
      </c>
      <c r="H68" s="7">
        <v>1359.5830000000001</v>
      </c>
      <c r="I68" s="7">
        <v>1549.7629999999999</v>
      </c>
      <c r="J68" s="7">
        <v>1337.1579999999999</v>
      </c>
      <c r="K68" s="7">
        <v>1018.665</v>
      </c>
      <c r="L68" s="7">
        <v>1353.0350000000001</v>
      </c>
      <c r="M68" s="7">
        <v>1250.6869999999999</v>
      </c>
      <c r="N68" s="7">
        <v>1554.4490000000001</v>
      </c>
      <c r="O68" s="7">
        <v>1286.501</v>
      </c>
      <c r="P68" s="7">
        <v>1376.2249999999999</v>
      </c>
      <c r="R68" s="5">
        <f t="shared" si="0"/>
        <v>1345.2840666666666</v>
      </c>
      <c r="S68" s="5">
        <f t="shared" si="1"/>
        <v>40.756483106076509</v>
      </c>
      <c r="U68" s="7">
        <v>72.5</v>
      </c>
      <c r="V68" s="7">
        <v>1423.529</v>
      </c>
      <c r="W68" s="7">
        <v>1351.482</v>
      </c>
      <c r="X68" s="7">
        <v>1433.271</v>
      </c>
      <c r="Y68" s="7">
        <v>1274.21</v>
      </c>
      <c r="Z68" s="7">
        <v>1344.723</v>
      </c>
      <c r="AA68" s="7">
        <v>1530.51</v>
      </c>
      <c r="AB68" s="7">
        <v>1272.153</v>
      </c>
      <c r="AC68" s="7">
        <v>1452.9179999999999</v>
      </c>
      <c r="AD68" s="7">
        <v>1496.204</v>
      </c>
      <c r="AE68" s="7">
        <v>1338.33</v>
      </c>
      <c r="AF68" s="7">
        <v>1234.0619999999999</v>
      </c>
      <c r="AG68" s="7">
        <v>1224.854</v>
      </c>
      <c r="AH68" s="7">
        <v>1291.261</v>
      </c>
      <c r="AI68" s="7">
        <v>1456.5060000000001</v>
      </c>
      <c r="AJ68" s="7">
        <v>1343.712</v>
      </c>
      <c r="AL68" s="6">
        <f t="shared" si="2"/>
        <v>1354.7308749999997</v>
      </c>
      <c r="AM68" s="6">
        <f t="shared" si="3"/>
        <v>36.805798765488369</v>
      </c>
    </row>
    <row r="69" spans="1:39" x14ac:dyDescent="0.2">
      <c r="A69" s="7">
        <v>73.75</v>
      </c>
      <c r="B69" s="7">
        <v>1498.6949999999999</v>
      </c>
      <c r="C69" s="7">
        <v>1544.394</v>
      </c>
      <c r="D69" s="7">
        <v>1109.8710000000001</v>
      </c>
      <c r="E69" s="7">
        <v>1245.2280000000001</v>
      </c>
      <c r="F69" s="7">
        <v>1269.287</v>
      </c>
      <c r="G69" s="7">
        <v>1446.511</v>
      </c>
      <c r="H69" s="7">
        <v>1356.4179999999999</v>
      </c>
      <c r="I69" s="7">
        <v>1552.42</v>
      </c>
      <c r="J69" s="7">
        <v>1348.124</v>
      </c>
      <c r="K69" s="7">
        <v>1015.099</v>
      </c>
      <c r="L69" s="7">
        <v>1351.1690000000001</v>
      </c>
      <c r="M69" s="7">
        <v>1253.4449999999999</v>
      </c>
      <c r="N69" s="7">
        <v>1555.0440000000001</v>
      </c>
      <c r="O69" s="7">
        <v>1270.7380000000001</v>
      </c>
      <c r="P69" s="7">
        <v>1364.9580000000001</v>
      </c>
      <c r="R69" s="5">
        <f t="shared" ref="R69:R96" si="4">AVERAGE(B69:P69)</f>
        <v>1345.4267333333335</v>
      </c>
      <c r="S69" s="5">
        <f t="shared" ref="S69:S96" si="5">STDEV(B69:P69)/SQRT(COUNT(B69:P69))</f>
        <v>41.121440826557325</v>
      </c>
      <c r="U69" s="7">
        <v>73.75</v>
      </c>
      <c r="V69" s="7">
        <v>1424.346</v>
      </c>
      <c r="W69" s="7">
        <v>1349.116</v>
      </c>
      <c r="X69" s="7">
        <v>1432.7819999999999</v>
      </c>
      <c r="Y69" s="7">
        <v>1268.806</v>
      </c>
      <c r="Z69" s="7">
        <v>1350.6369999999999</v>
      </c>
      <c r="AA69" s="7">
        <v>1522.8330000000001</v>
      </c>
      <c r="AB69" s="7">
        <v>1264.0519999999999</v>
      </c>
      <c r="AC69" s="7">
        <v>1447.87</v>
      </c>
      <c r="AD69" s="7">
        <v>1493.14</v>
      </c>
      <c r="AE69" s="7">
        <v>1346.3710000000001</v>
      </c>
      <c r="AF69" s="7">
        <v>1239.2139999999999</v>
      </c>
      <c r="AG69" s="7">
        <v>1222.0820000000001</v>
      </c>
      <c r="AH69" s="7">
        <v>1283.0350000000001</v>
      </c>
      <c r="AI69" s="7">
        <v>1452.9159999999999</v>
      </c>
      <c r="AJ69" s="7">
        <v>1335.15</v>
      </c>
      <c r="AL69" s="6">
        <f t="shared" ref="AL69:AL96" si="6">AVERAGE(AC69:AJ69)</f>
        <v>1352.47225</v>
      </c>
      <c r="AM69" s="6">
        <f t="shared" ref="AM69:AM96" si="7">STDEV(AC69:AJ69)/SQRT(COUNT(AC69:AJ69))</f>
        <v>36.342851350884658</v>
      </c>
    </row>
    <row r="70" spans="1:39" x14ac:dyDescent="0.2">
      <c r="A70" s="7">
        <v>75</v>
      </c>
      <c r="B70" s="7">
        <v>1563.92</v>
      </c>
      <c r="C70" s="7">
        <v>1596.982</v>
      </c>
      <c r="D70" s="7">
        <v>1144.4490000000001</v>
      </c>
      <c r="E70" s="7">
        <v>1289.393</v>
      </c>
      <c r="F70" s="7">
        <v>1292.1030000000001</v>
      </c>
      <c r="G70" s="7">
        <v>1491.0530000000001</v>
      </c>
      <c r="H70" s="7">
        <v>1396.9839999999999</v>
      </c>
      <c r="I70" s="7">
        <v>1598.529</v>
      </c>
      <c r="J70" s="7">
        <v>1399.9870000000001</v>
      </c>
      <c r="K70" s="7">
        <v>1077.248</v>
      </c>
      <c r="L70" s="7">
        <v>1384.788</v>
      </c>
      <c r="M70" s="7">
        <v>1312.6880000000001</v>
      </c>
      <c r="N70" s="7">
        <v>1595.95</v>
      </c>
      <c r="O70" s="7">
        <v>1309.8579999999999</v>
      </c>
      <c r="P70" s="7">
        <v>1397.1120000000001</v>
      </c>
      <c r="R70" s="5">
        <f t="shared" si="4"/>
        <v>1390.0696000000003</v>
      </c>
      <c r="S70" s="5">
        <f t="shared" si="5"/>
        <v>41.38333819279201</v>
      </c>
      <c r="U70" s="7">
        <v>75</v>
      </c>
      <c r="V70" s="7">
        <v>1479.011</v>
      </c>
      <c r="W70" s="7">
        <v>1416.5830000000001</v>
      </c>
      <c r="X70" s="7">
        <v>1469.75</v>
      </c>
      <c r="Y70" s="7">
        <v>1301.4739999999999</v>
      </c>
      <c r="Z70" s="7">
        <v>1410.758</v>
      </c>
      <c r="AA70" s="7">
        <v>1585.4649999999999</v>
      </c>
      <c r="AB70" s="7">
        <v>1310.4359999999999</v>
      </c>
      <c r="AC70" s="7">
        <v>1494.191</v>
      </c>
      <c r="AD70" s="7">
        <v>1564.0060000000001</v>
      </c>
      <c r="AE70" s="7">
        <v>1395.6869999999999</v>
      </c>
      <c r="AF70" s="7">
        <v>1282.367</v>
      </c>
      <c r="AG70" s="7">
        <v>1258.8330000000001</v>
      </c>
      <c r="AH70" s="7">
        <v>1320.492</v>
      </c>
      <c r="AI70" s="7">
        <v>1493.02</v>
      </c>
      <c r="AJ70" s="7">
        <v>1377.5540000000001</v>
      </c>
      <c r="AL70" s="6">
        <f t="shared" si="6"/>
        <v>1398.2687500000002</v>
      </c>
      <c r="AM70" s="6">
        <f t="shared" si="7"/>
        <v>38.961575996537007</v>
      </c>
    </row>
    <row r="71" spans="1:39" x14ac:dyDescent="0.2">
      <c r="A71" s="7">
        <v>76.25</v>
      </c>
      <c r="B71" s="7">
        <v>1676.087</v>
      </c>
      <c r="C71" s="7">
        <v>1712.6569999999999</v>
      </c>
      <c r="D71" s="7">
        <v>1267.097</v>
      </c>
      <c r="E71" s="7">
        <v>1435.2619999999999</v>
      </c>
      <c r="F71" s="7">
        <v>1388.5930000000001</v>
      </c>
      <c r="G71" s="7">
        <v>1610.4369999999999</v>
      </c>
      <c r="H71" s="7">
        <v>1510.8040000000001</v>
      </c>
      <c r="I71" s="7">
        <v>1707.7090000000001</v>
      </c>
      <c r="J71" s="7">
        <v>1538.069</v>
      </c>
      <c r="K71" s="7">
        <v>1210.2829999999999</v>
      </c>
      <c r="L71" s="7">
        <v>1492.425</v>
      </c>
      <c r="M71" s="7">
        <v>1451.9110000000001</v>
      </c>
      <c r="N71" s="7">
        <v>1733.8779999999999</v>
      </c>
      <c r="O71" s="7">
        <v>1430.2909999999999</v>
      </c>
      <c r="P71" s="7">
        <v>1524.356</v>
      </c>
      <c r="R71" s="5">
        <f t="shared" si="4"/>
        <v>1512.6572666666666</v>
      </c>
      <c r="S71" s="5">
        <f t="shared" si="5"/>
        <v>40.710099173530892</v>
      </c>
      <c r="U71" s="7">
        <v>76.25</v>
      </c>
      <c r="V71" s="7">
        <v>1613.135</v>
      </c>
      <c r="W71" s="7">
        <v>1551.308</v>
      </c>
      <c r="X71" s="7">
        <v>1588.4760000000001</v>
      </c>
      <c r="Y71" s="7">
        <v>1405.69</v>
      </c>
      <c r="Z71" s="7">
        <v>1534.8040000000001</v>
      </c>
      <c r="AA71" s="7">
        <v>1759.7280000000001</v>
      </c>
      <c r="AB71" s="7">
        <v>1416.82</v>
      </c>
      <c r="AC71" s="7">
        <v>1636.2260000000001</v>
      </c>
      <c r="AD71" s="7">
        <v>1705.86</v>
      </c>
      <c r="AE71" s="7">
        <v>1533.4369999999999</v>
      </c>
      <c r="AF71" s="7">
        <v>1403.482</v>
      </c>
      <c r="AG71" s="7">
        <v>1379.702</v>
      </c>
      <c r="AH71" s="7">
        <v>1429.895</v>
      </c>
      <c r="AI71" s="7">
        <v>1633.895</v>
      </c>
      <c r="AJ71" s="7">
        <v>1522.5039999999999</v>
      </c>
      <c r="AL71" s="6">
        <f t="shared" si="6"/>
        <v>1530.625125</v>
      </c>
      <c r="AM71" s="6">
        <f t="shared" si="7"/>
        <v>42.612677227740861</v>
      </c>
    </row>
    <row r="72" spans="1:39" x14ac:dyDescent="0.2">
      <c r="A72" s="7">
        <v>77.5</v>
      </c>
      <c r="B72" s="7">
        <v>1724.961</v>
      </c>
      <c r="C72" s="7">
        <v>1773.57</v>
      </c>
      <c r="D72" s="7">
        <v>1342.961</v>
      </c>
      <c r="E72" s="7">
        <v>1523.183</v>
      </c>
      <c r="F72" s="7">
        <v>1454.0840000000001</v>
      </c>
      <c r="G72" s="7">
        <v>1666.1990000000001</v>
      </c>
      <c r="H72" s="7">
        <v>1570.3679999999999</v>
      </c>
      <c r="I72" s="7">
        <v>1775.3130000000001</v>
      </c>
      <c r="J72" s="7">
        <v>1612.7660000000001</v>
      </c>
      <c r="K72" s="7">
        <v>1273.8989999999999</v>
      </c>
      <c r="L72" s="7">
        <v>1547.854</v>
      </c>
      <c r="M72" s="7">
        <v>1528.67</v>
      </c>
      <c r="N72" s="7">
        <v>1810.2660000000001</v>
      </c>
      <c r="O72" s="7">
        <v>1495.6310000000001</v>
      </c>
      <c r="P72" s="7">
        <v>1609.1020000000001</v>
      </c>
      <c r="R72" s="5">
        <f t="shared" si="4"/>
        <v>1580.5884666666668</v>
      </c>
      <c r="S72" s="5">
        <f t="shared" si="5"/>
        <v>40.169024051336201</v>
      </c>
      <c r="U72" s="7">
        <v>77.5</v>
      </c>
      <c r="V72" s="7">
        <v>1673.6110000000001</v>
      </c>
      <c r="W72" s="7">
        <v>1610.4780000000001</v>
      </c>
      <c r="X72" s="7">
        <v>1651.0250000000001</v>
      </c>
      <c r="Y72" s="7">
        <v>1470.1559999999999</v>
      </c>
      <c r="Z72" s="7">
        <v>1594.203</v>
      </c>
      <c r="AA72" s="7">
        <v>1848.8720000000001</v>
      </c>
      <c r="AB72" s="7">
        <v>1470.62</v>
      </c>
      <c r="AC72" s="7">
        <v>1704.6210000000001</v>
      </c>
      <c r="AD72" s="7">
        <v>1775.046</v>
      </c>
      <c r="AE72" s="7">
        <v>1605.558</v>
      </c>
      <c r="AF72" s="7">
        <v>1461.597</v>
      </c>
      <c r="AG72" s="7">
        <v>1448.626</v>
      </c>
      <c r="AH72" s="7">
        <v>1494.154</v>
      </c>
      <c r="AI72" s="7">
        <v>1705.3</v>
      </c>
      <c r="AJ72" s="7">
        <v>1592.127</v>
      </c>
      <c r="AL72" s="6">
        <f t="shared" si="6"/>
        <v>1598.3786250000001</v>
      </c>
      <c r="AM72" s="6">
        <f t="shared" si="7"/>
        <v>43.510968320781537</v>
      </c>
    </row>
    <row r="73" spans="1:39" x14ac:dyDescent="0.2">
      <c r="A73" s="7">
        <v>78.75</v>
      </c>
      <c r="B73" s="7">
        <v>1678.3</v>
      </c>
      <c r="C73" s="7">
        <v>1723.079</v>
      </c>
      <c r="D73" s="7">
        <v>1285.2670000000001</v>
      </c>
      <c r="E73" s="7">
        <v>1457.2249999999999</v>
      </c>
      <c r="F73" s="7">
        <v>1418.683</v>
      </c>
      <c r="G73" s="7">
        <v>1614.3910000000001</v>
      </c>
      <c r="H73" s="7">
        <v>1525.4349999999999</v>
      </c>
      <c r="I73" s="7">
        <v>1727.211</v>
      </c>
      <c r="J73" s="7">
        <v>1550.547</v>
      </c>
      <c r="K73" s="7">
        <v>1225.7929999999999</v>
      </c>
      <c r="L73" s="7">
        <v>1504.569</v>
      </c>
      <c r="M73" s="7">
        <v>1467.2639999999999</v>
      </c>
      <c r="N73" s="7">
        <v>1751.402</v>
      </c>
      <c r="O73" s="7">
        <v>1449.2070000000001</v>
      </c>
      <c r="P73" s="7">
        <v>1551.721</v>
      </c>
      <c r="R73" s="5">
        <f t="shared" si="4"/>
        <v>1528.672933333333</v>
      </c>
      <c r="S73" s="5">
        <f t="shared" si="5"/>
        <v>40.025439796574453</v>
      </c>
      <c r="U73" s="7">
        <v>78.75</v>
      </c>
      <c r="V73" s="7">
        <v>1618.779</v>
      </c>
      <c r="W73" s="7">
        <v>1555.489</v>
      </c>
      <c r="X73" s="7">
        <v>1610.2449999999999</v>
      </c>
      <c r="Y73" s="7">
        <v>1426.5050000000001</v>
      </c>
      <c r="Z73" s="7">
        <v>1530.0909999999999</v>
      </c>
      <c r="AA73" s="7">
        <v>1789.46</v>
      </c>
      <c r="AB73" s="7">
        <v>1424.2049999999999</v>
      </c>
      <c r="AC73" s="7">
        <v>1642.5340000000001</v>
      </c>
      <c r="AD73" s="7">
        <v>1708.037</v>
      </c>
      <c r="AE73" s="7">
        <v>1554.116</v>
      </c>
      <c r="AF73" s="7">
        <v>1407.4059999999999</v>
      </c>
      <c r="AG73" s="7">
        <v>1395.296</v>
      </c>
      <c r="AH73" s="7">
        <v>1445.03</v>
      </c>
      <c r="AI73" s="7">
        <v>1650.431</v>
      </c>
      <c r="AJ73" s="7">
        <v>1528.2</v>
      </c>
      <c r="AL73" s="6">
        <f t="shared" si="6"/>
        <v>1541.3812500000001</v>
      </c>
      <c r="AM73" s="6">
        <f t="shared" si="7"/>
        <v>42.005020167981122</v>
      </c>
    </row>
    <row r="74" spans="1:39" x14ac:dyDescent="0.2">
      <c r="A74" s="7">
        <v>80</v>
      </c>
      <c r="B74" s="7">
        <v>1620.7190000000001</v>
      </c>
      <c r="C74" s="7">
        <v>1647.5809999999999</v>
      </c>
      <c r="D74" s="7">
        <v>1192.4480000000001</v>
      </c>
      <c r="E74" s="7">
        <v>1354.569</v>
      </c>
      <c r="F74" s="7">
        <v>1368.57</v>
      </c>
      <c r="G74" s="7">
        <v>1548.838</v>
      </c>
      <c r="H74" s="7">
        <v>1462.374</v>
      </c>
      <c r="I74" s="7">
        <v>1660.5830000000001</v>
      </c>
      <c r="J74" s="7">
        <v>1472.8309999999999</v>
      </c>
      <c r="K74" s="7">
        <v>1204.5150000000001</v>
      </c>
      <c r="L74" s="7">
        <v>1453.7470000000001</v>
      </c>
      <c r="M74" s="7">
        <v>1368.7850000000001</v>
      </c>
      <c r="N74" s="7">
        <v>1685.5409999999999</v>
      </c>
      <c r="O74" s="7">
        <v>1391.5730000000001</v>
      </c>
      <c r="P74" s="7">
        <v>1478.3889999999999</v>
      </c>
      <c r="R74" s="5">
        <f t="shared" si="4"/>
        <v>1460.7375333333334</v>
      </c>
      <c r="S74" s="5">
        <f t="shared" si="5"/>
        <v>39.634358406127561</v>
      </c>
      <c r="U74" s="7">
        <v>80</v>
      </c>
      <c r="V74" s="7">
        <v>1549.66</v>
      </c>
      <c r="W74" s="7">
        <v>1479.162</v>
      </c>
      <c r="X74" s="7">
        <v>1553.7159999999999</v>
      </c>
      <c r="Y74" s="7">
        <v>1375.749</v>
      </c>
      <c r="Z74" s="7">
        <v>1450.1469999999999</v>
      </c>
      <c r="AA74" s="7">
        <v>1688.298</v>
      </c>
      <c r="AB74" s="7">
        <v>1377.692</v>
      </c>
      <c r="AC74" s="7">
        <v>1568.796</v>
      </c>
      <c r="AD74" s="7">
        <v>1628.874</v>
      </c>
      <c r="AE74" s="7">
        <v>1488.627</v>
      </c>
      <c r="AF74" s="7">
        <v>1352.373</v>
      </c>
      <c r="AG74" s="7">
        <v>1342.7750000000001</v>
      </c>
      <c r="AH74" s="7">
        <v>1392.162</v>
      </c>
      <c r="AI74" s="7">
        <v>1575.2059999999999</v>
      </c>
      <c r="AJ74" s="7">
        <v>1457.93</v>
      </c>
      <c r="AL74" s="6">
        <f t="shared" si="6"/>
        <v>1475.842875</v>
      </c>
      <c r="AM74" s="6">
        <f t="shared" si="7"/>
        <v>38.352337991890344</v>
      </c>
    </row>
    <row r="75" spans="1:39" x14ac:dyDescent="0.2">
      <c r="A75" s="7">
        <v>81.25</v>
      </c>
      <c r="B75" s="7">
        <v>1642.588</v>
      </c>
      <c r="C75" s="7">
        <v>1655.153</v>
      </c>
      <c r="D75" s="7">
        <v>1190.125</v>
      </c>
      <c r="E75" s="7">
        <v>1345.73</v>
      </c>
      <c r="F75" s="7">
        <v>1363.7470000000001</v>
      </c>
      <c r="G75" s="7">
        <v>1569.3969999999999</v>
      </c>
      <c r="H75" s="7">
        <v>1488.413</v>
      </c>
      <c r="I75" s="7">
        <v>1678.2650000000001</v>
      </c>
      <c r="J75" s="7">
        <v>1466.8610000000001</v>
      </c>
      <c r="K75" s="7">
        <v>1279.9169999999999</v>
      </c>
      <c r="L75" s="7">
        <v>1472.7159999999999</v>
      </c>
      <c r="M75" s="7">
        <v>1354.019</v>
      </c>
      <c r="N75" s="7">
        <v>1715.4860000000001</v>
      </c>
      <c r="O75" s="7">
        <v>1399.4259999999999</v>
      </c>
      <c r="P75" s="7">
        <v>1492.8720000000001</v>
      </c>
      <c r="R75" s="5">
        <f t="shared" si="4"/>
        <v>1474.3143333333333</v>
      </c>
      <c r="S75" s="5">
        <f t="shared" si="5"/>
        <v>40.107740215534804</v>
      </c>
      <c r="U75" s="7">
        <v>81.25</v>
      </c>
      <c r="V75" s="7">
        <v>1577.2619999999999</v>
      </c>
      <c r="W75" s="7">
        <v>1498.8710000000001</v>
      </c>
      <c r="X75" s="7">
        <v>1581.653</v>
      </c>
      <c r="Y75" s="7">
        <v>1399.395</v>
      </c>
      <c r="Z75" s="7">
        <v>1462.972</v>
      </c>
      <c r="AA75" s="7">
        <v>1727.557</v>
      </c>
      <c r="AB75" s="7">
        <v>1403.943</v>
      </c>
      <c r="AC75" s="7">
        <v>1582.509</v>
      </c>
      <c r="AD75" s="7">
        <v>1685.2919999999999</v>
      </c>
      <c r="AE75" s="7">
        <v>1517.8330000000001</v>
      </c>
      <c r="AF75" s="7">
        <v>1383.546</v>
      </c>
      <c r="AG75" s="7">
        <v>1379.2819999999999</v>
      </c>
      <c r="AH75" s="7">
        <v>1404.8440000000001</v>
      </c>
      <c r="AI75" s="7">
        <v>1600.537</v>
      </c>
      <c r="AJ75" s="7">
        <v>1483.682</v>
      </c>
      <c r="AL75" s="6">
        <f t="shared" si="6"/>
        <v>1504.6906250000002</v>
      </c>
      <c r="AM75" s="6">
        <f t="shared" si="7"/>
        <v>39.831309472367103</v>
      </c>
    </row>
    <row r="76" spans="1:39" x14ac:dyDescent="0.2">
      <c r="A76" s="7">
        <v>82.5</v>
      </c>
      <c r="B76" s="7">
        <v>1940.768</v>
      </c>
      <c r="C76" s="7">
        <v>1822.634</v>
      </c>
      <c r="D76" s="7">
        <v>1402.933</v>
      </c>
      <c r="E76" s="7">
        <v>1600.954</v>
      </c>
      <c r="F76" s="7">
        <v>1539.8050000000001</v>
      </c>
      <c r="G76" s="7">
        <v>1782.357</v>
      </c>
      <c r="H76" s="7">
        <v>1798.7190000000001</v>
      </c>
      <c r="I76" s="7">
        <v>2000.4659999999999</v>
      </c>
      <c r="J76" s="7">
        <v>1769.894</v>
      </c>
      <c r="K76" s="7">
        <v>1743.5530000000001</v>
      </c>
      <c r="L76" s="7">
        <v>1682.0250000000001</v>
      </c>
      <c r="M76" s="7">
        <v>1626.6690000000001</v>
      </c>
      <c r="N76" s="7">
        <v>2088.8319999999999</v>
      </c>
      <c r="O76" s="7">
        <v>1662.972</v>
      </c>
      <c r="P76" s="7">
        <v>1786.8040000000001</v>
      </c>
      <c r="R76" s="5">
        <f t="shared" si="4"/>
        <v>1749.9590000000001</v>
      </c>
      <c r="S76" s="5">
        <f t="shared" si="5"/>
        <v>45.704953853415681</v>
      </c>
      <c r="U76" s="7">
        <v>82.5</v>
      </c>
      <c r="V76" s="7">
        <v>1935.9849999999999</v>
      </c>
      <c r="W76" s="7">
        <v>1875.0429999999999</v>
      </c>
      <c r="X76" s="7">
        <v>1909.3040000000001</v>
      </c>
      <c r="Y76" s="7">
        <v>1670.8030000000001</v>
      </c>
      <c r="Z76" s="7">
        <v>1761.1859999999999</v>
      </c>
      <c r="AA76" s="7">
        <v>2097.7750000000001</v>
      </c>
      <c r="AB76" s="7">
        <v>1705.0409999999999</v>
      </c>
      <c r="AC76" s="7">
        <v>1914.489</v>
      </c>
      <c r="AD76" s="7">
        <v>2115.7139999999999</v>
      </c>
      <c r="AE76" s="7">
        <v>1898.3150000000001</v>
      </c>
      <c r="AF76" s="7">
        <v>1744.2829999999999</v>
      </c>
      <c r="AG76" s="7">
        <v>1655.02</v>
      </c>
      <c r="AH76" s="7">
        <v>1708.2570000000001</v>
      </c>
      <c r="AI76" s="7">
        <v>1977.3320000000001</v>
      </c>
      <c r="AJ76" s="7">
        <v>1842.0540000000001</v>
      </c>
      <c r="AL76" s="6">
        <f t="shared" si="6"/>
        <v>1856.933</v>
      </c>
      <c r="AM76" s="6">
        <f t="shared" si="7"/>
        <v>53.830671671853189</v>
      </c>
    </row>
    <row r="77" spans="1:39" x14ac:dyDescent="0.2">
      <c r="A77" s="7">
        <v>83.75</v>
      </c>
      <c r="B77" s="7">
        <v>2728.9189999999999</v>
      </c>
      <c r="C77" s="7">
        <v>2319.8159999999998</v>
      </c>
      <c r="D77" s="7">
        <v>2104.9299999999998</v>
      </c>
      <c r="E77" s="7">
        <v>2416.2660000000001</v>
      </c>
      <c r="F77" s="7">
        <v>2112.654</v>
      </c>
      <c r="G77" s="7">
        <v>2386.5830000000001</v>
      </c>
      <c r="H77" s="7">
        <v>2525.7249999999999</v>
      </c>
      <c r="I77" s="7">
        <v>2751.21</v>
      </c>
      <c r="J77" s="7">
        <v>2622.5</v>
      </c>
      <c r="K77" s="7">
        <v>2505.1219999999998</v>
      </c>
      <c r="L77" s="7">
        <v>2281.2370000000001</v>
      </c>
      <c r="M77" s="7">
        <v>2459.9540000000002</v>
      </c>
      <c r="N77" s="7">
        <v>3045.357</v>
      </c>
      <c r="O77" s="7">
        <v>2382.4119999999998</v>
      </c>
      <c r="P77" s="7">
        <v>2622.85</v>
      </c>
      <c r="R77" s="5">
        <f t="shared" si="4"/>
        <v>2484.3689999999997</v>
      </c>
      <c r="S77" s="5">
        <f t="shared" si="5"/>
        <v>64.060695246587741</v>
      </c>
      <c r="U77" s="7">
        <v>83.75</v>
      </c>
      <c r="V77" s="7">
        <v>2801.3690000000001</v>
      </c>
      <c r="W77" s="7">
        <v>2827.4989999999998</v>
      </c>
      <c r="X77" s="7">
        <v>2681.9160000000002</v>
      </c>
      <c r="Y77" s="7">
        <v>2386.8789999999999</v>
      </c>
      <c r="Z77" s="7">
        <v>2699.0039999999999</v>
      </c>
      <c r="AA77" s="7">
        <v>3028.3960000000002</v>
      </c>
      <c r="AB77" s="7">
        <v>2386.8829999999998</v>
      </c>
      <c r="AC77" s="7">
        <v>2939.902</v>
      </c>
      <c r="AD77" s="7">
        <v>3122.4369999999999</v>
      </c>
      <c r="AE77" s="7">
        <v>2825.029</v>
      </c>
      <c r="AF77" s="7">
        <v>2640.7510000000002</v>
      </c>
      <c r="AG77" s="7">
        <v>2402.806</v>
      </c>
      <c r="AH77" s="7">
        <v>2549.779</v>
      </c>
      <c r="AI77" s="7">
        <v>2930.6970000000001</v>
      </c>
      <c r="AJ77" s="7">
        <v>2774.837</v>
      </c>
      <c r="AL77" s="6">
        <f t="shared" si="6"/>
        <v>2773.2797500000001</v>
      </c>
      <c r="AM77" s="6">
        <f t="shared" si="7"/>
        <v>82.581303464860341</v>
      </c>
    </row>
    <row r="78" spans="1:39" x14ac:dyDescent="0.2">
      <c r="A78" s="7">
        <v>85</v>
      </c>
      <c r="B78" s="7">
        <v>3648.65</v>
      </c>
      <c r="C78" s="7">
        <v>2958.4050000000002</v>
      </c>
      <c r="D78" s="7">
        <v>2996.2510000000002</v>
      </c>
      <c r="E78" s="7">
        <v>3529.5720000000001</v>
      </c>
      <c r="F78" s="7">
        <v>2916.9319999999998</v>
      </c>
      <c r="G78" s="7">
        <v>3136.4760000000001</v>
      </c>
      <c r="H78" s="7">
        <v>3366.43</v>
      </c>
      <c r="I78" s="7">
        <v>3610.9209999999998</v>
      </c>
      <c r="J78" s="7">
        <v>3807.2869999999998</v>
      </c>
      <c r="K78" s="7">
        <v>3256.7860000000001</v>
      </c>
      <c r="L78" s="7">
        <v>3019.7620000000002</v>
      </c>
      <c r="M78" s="7">
        <v>3558.4630000000002</v>
      </c>
      <c r="N78" s="7">
        <v>4196.6350000000002</v>
      </c>
      <c r="O78" s="7">
        <v>3297.2840000000001</v>
      </c>
      <c r="P78" s="7">
        <v>3666.328</v>
      </c>
      <c r="R78" s="5">
        <f t="shared" si="4"/>
        <v>3397.7454666666672</v>
      </c>
      <c r="S78" s="5">
        <f t="shared" si="5"/>
        <v>94.040669973046235</v>
      </c>
      <c r="U78" s="7">
        <v>85</v>
      </c>
      <c r="V78" s="7">
        <v>3870.27</v>
      </c>
      <c r="W78" s="7">
        <v>3901.2069999999999</v>
      </c>
      <c r="X78" s="7">
        <v>3603.8739999999998</v>
      </c>
      <c r="Y78" s="7">
        <v>3252.259</v>
      </c>
      <c r="Z78" s="7">
        <v>3821.6529999999998</v>
      </c>
      <c r="AA78" s="7">
        <v>4212.3530000000001</v>
      </c>
      <c r="AB78" s="7">
        <v>3177.8620000000001</v>
      </c>
      <c r="AC78" s="7">
        <v>4136.8919999999998</v>
      </c>
      <c r="AD78" s="7">
        <v>4271.9359999999997</v>
      </c>
      <c r="AE78" s="7">
        <v>4041.1889999999999</v>
      </c>
      <c r="AF78" s="7">
        <v>3667.7049999999999</v>
      </c>
      <c r="AG78" s="7">
        <v>3359.8139999999999</v>
      </c>
      <c r="AH78" s="7">
        <v>3524.36</v>
      </c>
      <c r="AI78" s="7">
        <v>4129.5370000000003</v>
      </c>
      <c r="AJ78" s="7">
        <v>3907.16</v>
      </c>
      <c r="AL78" s="6">
        <f t="shared" si="6"/>
        <v>3879.8241250000001</v>
      </c>
      <c r="AM78" s="6">
        <f t="shared" si="7"/>
        <v>115.7844213872484</v>
      </c>
    </row>
    <row r="79" spans="1:39" x14ac:dyDescent="0.2">
      <c r="A79" s="7">
        <v>86.25</v>
      </c>
      <c r="B79" s="7">
        <v>4097.2510000000002</v>
      </c>
      <c r="C79" s="7">
        <v>3327.8760000000002</v>
      </c>
      <c r="D79" s="7">
        <v>3612.8110000000001</v>
      </c>
      <c r="E79" s="7">
        <v>4241.8599999999997</v>
      </c>
      <c r="F79" s="7">
        <v>3415.4029999999998</v>
      </c>
      <c r="G79" s="7">
        <v>3465.8789999999999</v>
      </c>
      <c r="H79" s="7">
        <v>3821.2020000000002</v>
      </c>
      <c r="I79" s="7">
        <v>4056.98</v>
      </c>
      <c r="J79" s="7">
        <v>4474.5460000000003</v>
      </c>
      <c r="K79" s="7">
        <v>3586.8910000000001</v>
      </c>
      <c r="L79" s="7">
        <v>3390.223</v>
      </c>
      <c r="M79" s="7">
        <v>4318.1980000000003</v>
      </c>
      <c r="N79" s="7">
        <v>4813.924</v>
      </c>
      <c r="O79" s="7">
        <v>3857.0419999999999</v>
      </c>
      <c r="P79" s="7">
        <v>4323.3469999999998</v>
      </c>
      <c r="R79" s="5">
        <f t="shared" si="4"/>
        <v>3920.2288666666664</v>
      </c>
      <c r="S79" s="5">
        <f t="shared" si="5"/>
        <v>117.36829098695692</v>
      </c>
      <c r="U79" s="7">
        <v>86.25</v>
      </c>
      <c r="V79" s="7">
        <v>4433.3370000000004</v>
      </c>
      <c r="W79" s="7">
        <v>4440.4170000000004</v>
      </c>
      <c r="X79" s="7">
        <v>4066.2539999999999</v>
      </c>
      <c r="Y79" s="7">
        <v>3753.8359999999998</v>
      </c>
      <c r="Z79" s="7">
        <v>4457.1570000000002</v>
      </c>
      <c r="AA79" s="7">
        <v>4864.6760000000004</v>
      </c>
      <c r="AB79" s="7">
        <v>3616.6509999999998</v>
      </c>
      <c r="AC79" s="7">
        <v>4759.4859999999999</v>
      </c>
      <c r="AD79" s="7">
        <v>4930.625</v>
      </c>
      <c r="AE79" s="7">
        <v>4676.8680000000004</v>
      </c>
      <c r="AF79" s="7">
        <v>4232.143</v>
      </c>
      <c r="AG79" s="7">
        <v>3917.183</v>
      </c>
      <c r="AH79" s="7">
        <v>4123.8490000000002</v>
      </c>
      <c r="AI79" s="7">
        <v>4787.692</v>
      </c>
      <c r="AJ79" s="7">
        <v>4538.0510000000004</v>
      </c>
      <c r="AL79" s="6">
        <f t="shared" si="6"/>
        <v>4495.7371250000006</v>
      </c>
      <c r="AM79" s="6">
        <f t="shared" si="7"/>
        <v>128.24606340539233</v>
      </c>
    </row>
    <row r="80" spans="1:39" x14ac:dyDescent="0.2">
      <c r="A80" s="7">
        <v>87.5</v>
      </c>
      <c r="B80" s="7">
        <v>3814.9259999999999</v>
      </c>
      <c r="C80" s="7">
        <v>3098.61</v>
      </c>
      <c r="D80" s="7">
        <v>3562.5819999999999</v>
      </c>
      <c r="E80" s="7">
        <v>4077.2910000000002</v>
      </c>
      <c r="F80" s="7">
        <v>3254.6109999999999</v>
      </c>
      <c r="G80" s="7">
        <v>3170.4789999999998</v>
      </c>
      <c r="H80" s="7">
        <v>3641.623</v>
      </c>
      <c r="I80" s="7">
        <v>3781.098</v>
      </c>
      <c r="J80" s="7">
        <v>4284.8609999999999</v>
      </c>
      <c r="K80" s="7">
        <v>3364.9879999999998</v>
      </c>
      <c r="L80" s="7">
        <v>3160.5740000000001</v>
      </c>
      <c r="M80" s="7">
        <v>4258.951</v>
      </c>
      <c r="N80" s="7">
        <v>4547.7219999999998</v>
      </c>
      <c r="O80" s="7">
        <v>3735.578</v>
      </c>
      <c r="P80" s="7">
        <v>4170.5140000000001</v>
      </c>
      <c r="R80" s="5">
        <f t="shared" si="4"/>
        <v>3728.2938666666673</v>
      </c>
      <c r="S80" s="5">
        <f t="shared" si="5"/>
        <v>119.75837692178823</v>
      </c>
      <c r="U80" s="7">
        <v>87.5</v>
      </c>
      <c r="V80" s="7">
        <v>4137.7929999999997</v>
      </c>
      <c r="W80" s="7">
        <v>4165.7129999999997</v>
      </c>
      <c r="X80" s="7">
        <v>3786.7440000000001</v>
      </c>
      <c r="Y80" s="7">
        <v>3553.8240000000001</v>
      </c>
      <c r="Z80" s="7">
        <v>4225.7669999999998</v>
      </c>
      <c r="AA80" s="7">
        <v>4617.7269999999999</v>
      </c>
      <c r="AB80" s="7">
        <v>3434.511</v>
      </c>
      <c r="AC80" s="7">
        <v>4479.5140000000001</v>
      </c>
      <c r="AD80" s="7">
        <v>4654.7969999999996</v>
      </c>
      <c r="AE80" s="7">
        <v>4423.2129999999997</v>
      </c>
      <c r="AF80" s="7">
        <v>4018.951</v>
      </c>
      <c r="AG80" s="7">
        <v>3719.9090000000001</v>
      </c>
      <c r="AH80" s="7">
        <v>3908.2719999999999</v>
      </c>
      <c r="AI80" s="7">
        <v>4455.3789999999999</v>
      </c>
      <c r="AJ80" s="7">
        <v>4274.5209999999997</v>
      </c>
      <c r="AL80" s="6">
        <f t="shared" si="6"/>
        <v>4241.8194999999996</v>
      </c>
      <c r="AM80" s="6">
        <f t="shared" si="7"/>
        <v>114.94910472217069</v>
      </c>
    </row>
    <row r="81" spans="1:39" x14ac:dyDescent="0.2">
      <c r="A81" s="7">
        <v>88.75</v>
      </c>
      <c r="B81" s="7">
        <v>3086.26</v>
      </c>
      <c r="C81" s="7">
        <v>2558.9059999999999</v>
      </c>
      <c r="D81" s="7">
        <v>2928.59</v>
      </c>
      <c r="E81" s="7">
        <v>3286.5619999999999</v>
      </c>
      <c r="F81" s="7">
        <v>2605.1869999999999</v>
      </c>
      <c r="G81" s="7">
        <v>2529.3119999999999</v>
      </c>
      <c r="H81" s="7">
        <v>2970.587</v>
      </c>
      <c r="I81" s="7">
        <v>3054.335</v>
      </c>
      <c r="J81" s="7">
        <v>3447.3829999999998</v>
      </c>
      <c r="K81" s="7">
        <v>2790.76</v>
      </c>
      <c r="L81" s="7">
        <v>2527.3850000000002</v>
      </c>
      <c r="M81" s="7">
        <v>3481.1439999999998</v>
      </c>
      <c r="N81" s="7">
        <v>3672.4949999999999</v>
      </c>
      <c r="O81" s="7">
        <v>3066.7939999999999</v>
      </c>
      <c r="P81" s="7">
        <v>3393.6759999999999</v>
      </c>
      <c r="R81" s="5">
        <f t="shared" si="4"/>
        <v>3026.6250666666674</v>
      </c>
      <c r="S81" s="5">
        <f t="shared" si="5"/>
        <v>96.86317164774897</v>
      </c>
      <c r="U81" s="7">
        <v>88.75</v>
      </c>
      <c r="V81" s="7">
        <v>3309.6320000000001</v>
      </c>
      <c r="W81" s="7">
        <v>3333.422</v>
      </c>
      <c r="X81" s="7">
        <v>3056.5149999999999</v>
      </c>
      <c r="Y81" s="7">
        <v>2875.607</v>
      </c>
      <c r="Z81" s="7">
        <v>3355.5120000000002</v>
      </c>
      <c r="AA81" s="7">
        <v>3756.1880000000001</v>
      </c>
      <c r="AB81" s="7">
        <v>2766.4540000000002</v>
      </c>
      <c r="AC81" s="7">
        <v>3583.3780000000002</v>
      </c>
      <c r="AD81" s="7">
        <v>3747.009</v>
      </c>
      <c r="AE81" s="7">
        <v>3544.9270000000001</v>
      </c>
      <c r="AF81" s="7">
        <v>3222.2979999999998</v>
      </c>
      <c r="AG81" s="7">
        <v>3025.9670000000001</v>
      </c>
      <c r="AH81" s="7">
        <v>3134.9569999999999</v>
      </c>
      <c r="AI81" s="7">
        <v>3596.6729999999998</v>
      </c>
      <c r="AJ81" s="7">
        <v>3421.3539999999998</v>
      </c>
      <c r="AL81" s="6">
        <f t="shared" si="6"/>
        <v>3409.5703749999998</v>
      </c>
      <c r="AM81" s="6">
        <f t="shared" si="7"/>
        <v>90.156270645937227</v>
      </c>
    </row>
    <row r="82" spans="1:39" x14ac:dyDescent="0.2">
      <c r="A82" s="7">
        <v>90</v>
      </c>
      <c r="B82" s="7">
        <v>2608.3440000000001</v>
      </c>
      <c r="C82" s="7">
        <v>2148.6129999999998</v>
      </c>
      <c r="D82" s="7">
        <v>2457.1819999999998</v>
      </c>
      <c r="E82" s="7">
        <v>2866.9879999999998</v>
      </c>
      <c r="F82" s="7">
        <v>2090.1849999999999</v>
      </c>
      <c r="G82" s="7">
        <v>2095.3069999999998</v>
      </c>
      <c r="H82" s="7">
        <v>2396.9940000000001</v>
      </c>
      <c r="I82" s="7">
        <v>2478.348</v>
      </c>
      <c r="J82" s="7">
        <v>2931.9319999999998</v>
      </c>
      <c r="K82" s="7">
        <v>2487.0419999999999</v>
      </c>
      <c r="L82" s="7">
        <v>2041.8230000000001</v>
      </c>
      <c r="M82" s="7">
        <v>2876.326</v>
      </c>
      <c r="N82" s="7">
        <v>2982.2049999999999</v>
      </c>
      <c r="O82" s="7">
        <v>2443.6509999999998</v>
      </c>
      <c r="P82" s="7">
        <v>2751.7930000000001</v>
      </c>
      <c r="R82" s="5">
        <f t="shared" si="4"/>
        <v>2510.4488666666662</v>
      </c>
      <c r="S82" s="5">
        <f t="shared" si="5"/>
        <v>83.102578936423825</v>
      </c>
      <c r="U82" s="7">
        <v>90</v>
      </c>
      <c r="V82" s="7">
        <v>2813.6950000000002</v>
      </c>
      <c r="W82" s="7">
        <v>2883.6149999999998</v>
      </c>
      <c r="X82" s="7">
        <v>2491.7809999999999</v>
      </c>
      <c r="Y82" s="7">
        <v>2316.375</v>
      </c>
      <c r="Z82" s="7">
        <v>2835.259</v>
      </c>
      <c r="AA82" s="7">
        <v>3018.433</v>
      </c>
      <c r="AB82" s="7">
        <v>2210.1039999999998</v>
      </c>
      <c r="AC82" s="7">
        <v>2923.7579999999998</v>
      </c>
      <c r="AD82" s="7">
        <v>3116.1860000000001</v>
      </c>
      <c r="AE82" s="7">
        <v>2902.123</v>
      </c>
      <c r="AF82" s="7">
        <v>2653.154</v>
      </c>
      <c r="AG82" s="7">
        <v>2439.1770000000001</v>
      </c>
      <c r="AH82" s="7">
        <v>2544.9560000000001</v>
      </c>
      <c r="AI82" s="7">
        <v>2998.3679999999999</v>
      </c>
      <c r="AJ82" s="7">
        <v>2865.1419999999998</v>
      </c>
      <c r="AL82" s="6">
        <f t="shared" si="6"/>
        <v>2805.3579999999997</v>
      </c>
      <c r="AM82" s="6">
        <f t="shared" si="7"/>
        <v>83.011062251838268</v>
      </c>
    </row>
    <row r="83" spans="1:39" x14ac:dyDescent="0.2">
      <c r="A83" s="7">
        <v>91.25</v>
      </c>
      <c r="B83" s="7">
        <v>2617.375</v>
      </c>
      <c r="C83" s="7">
        <v>2045.1369999999999</v>
      </c>
      <c r="D83" s="7">
        <v>2757.9850000000001</v>
      </c>
      <c r="E83" s="7">
        <v>3298.91</v>
      </c>
      <c r="F83" s="7">
        <v>2052.8380000000002</v>
      </c>
      <c r="G83" s="7">
        <v>2035.4929999999999</v>
      </c>
      <c r="H83" s="7">
        <v>2355.7080000000001</v>
      </c>
      <c r="I83" s="7">
        <v>2366.4270000000001</v>
      </c>
      <c r="J83" s="7">
        <v>3220.0070000000001</v>
      </c>
      <c r="K83" s="7">
        <v>2707.991</v>
      </c>
      <c r="L83" s="7">
        <v>1973.08</v>
      </c>
      <c r="M83" s="7">
        <v>3158.453</v>
      </c>
      <c r="N83" s="7">
        <v>3022.3440000000001</v>
      </c>
      <c r="O83" s="7">
        <v>2422.1529999999998</v>
      </c>
      <c r="P83" s="7">
        <v>2878.3919999999998</v>
      </c>
      <c r="R83" s="5">
        <f t="shared" si="4"/>
        <v>2594.1528666666663</v>
      </c>
      <c r="S83" s="5">
        <f t="shared" si="5"/>
        <v>118.35903971411052</v>
      </c>
      <c r="U83" s="7">
        <v>91.25</v>
      </c>
      <c r="V83" s="7">
        <v>3032.3519999999999</v>
      </c>
      <c r="W83" s="7">
        <v>3173.4639999999999</v>
      </c>
      <c r="X83" s="7">
        <v>2504.556</v>
      </c>
      <c r="Y83" s="7">
        <v>2315.337</v>
      </c>
      <c r="Z83" s="7">
        <v>3120.7260000000001</v>
      </c>
      <c r="AA83" s="7">
        <v>3038.6680000000001</v>
      </c>
      <c r="AB83" s="7">
        <v>2132.1039999999998</v>
      </c>
      <c r="AC83" s="7">
        <v>3110.1689999999999</v>
      </c>
      <c r="AD83" s="7">
        <v>3299.94</v>
      </c>
      <c r="AE83" s="7">
        <v>3159.9549999999999</v>
      </c>
      <c r="AF83" s="7">
        <v>2921.8760000000002</v>
      </c>
      <c r="AG83" s="7">
        <v>2469.2440000000001</v>
      </c>
      <c r="AH83" s="7">
        <v>2663.3119999999999</v>
      </c>
      <c r="AI83" s="7">
        <v>3250.1170000000002</v>
      </c>
      <c r="AJ83" s="7">
        <v>3188.7220000000002</v>
      </c>
      <c r="AL83" s="6">
        <f t="shared" si="6"/>
        <v>3007.9168749999999</v>
      </c>
      <c r="AM83" s="6">
        <f t="shared" si="7"/>
        <v>105.77300544569783</v>
      </c>
    </row>
    <row r="84" spans="1:39" x14ac:dyDescent="0.2">
      <c r="A84" s="7">
        <v>92.5</v>
      </c>
      <c r="B84" s="7">
        <v>2764.2689999999998</v>
      </c>
      <c r="C84" s="7">
        <v>2108.9839999999999</v>
      </c>
      <c r="D84" s="7">
        <v>3198.194</v>
      </c>
      <c r="E84" s="7">
        <v>3809.8980000000001</v>
      </c>
      <c r="F84" s="7">
        <v>2223.1759999999999</v>
      </c>
      <c r="G84" s="7">
        <v>2128.4189999999999</v>
      </c>
      <c r="H84" s="7">
        <v>2513.1889999999999</v>
      </c>
      <c r="I84" s="7">
        <v>2474.402</v>
      </c>
      <c r="J84" s="7">
        <v>3638.0259999999998</v>
      </c>
      <c r="K84" s="7">
        <v>2975.6469999999999</v>
      </c>
      <c r="L84" s="7">
        <v>2094.3220000000001</v>
      </c>
      <c r="M84" s="7">
        <v>3756.0929999999998</v>
      </c>
      <c r="N84" s="7">
        <v>3334.0010000000002</v>
      </c>
      <c r="O84" s="7">
        <v>2655.3850000000002</v>
      </c>
      <c r="P84" s="7">
        <v>3213.27</v>
      </c>
      <c r="R84" s="5">
        <f t="shared" si="4"/>
        <v>2859.1516666666662</v>
      </c>
      <c r="S84" s="5">
        <f t="shared" si="5"/>
        <v>157.34202048587662</v>
      </c>
      <c r="U84" s="7">
        <v>92.5</v>
      </c>
      <c r="V84" s="7">
        <v>3361.9459999999999</v>
      </c>
      <c r="W84" s="7">
        <v>3571.99</v>
      </c>
      <c r="X84" s="7">
        <v>2713.2350000000001</v>
      </c>
      <c r="Y84" s="7">
        <v>2536.36</v>
      </c>
      <c r="Z84" s="7">
        <v>3579.7710000000002</v>
      </c>
      <c r="AA84" s="7">
        <v>3385.4</v>
      </c>
      <c r="AB84" s="7">
        <v>2282.3150000000001</v>
      </c>
      <c r="AC84" s="7">
        <v>3562.069</v>
      </c>
      <c r="AD84" s="7">
        <v>3664.5740000000001</v>
      </c>
      <c r="AE84" s="7">
        <v>3592.6219999999998</v>
      </c>
      <c r="AF84" s="7">
        <v>3341.8069999999998</v>
      </c>
      <c r="AG84" s="7">
        <v>2782.1219999999998</v>
      </c>
      <c r="AH84" s="7">
        <v>2967.7310000000002</v>
      </c>
      <c r="AI84" s="7">
        <v>3645.7910000000002</v>
      </c>
      <c r="AJ84" s="7">
        <v>3669.7330000000002</v>
      </c>
      <c r="AL84" s="6">
        <f t="shared" si="6"/>
        <v>3403.3061250000001</v>
      </c>
      <c r="AM84" s="6">
        <f t="shared" si="7"/>
        <v>122.36266331256523</v>
      </c>
    </row>
    <row r="85" spans="1:39" x14ac:dyDescent="0.2">
      <c r="A85" s="7">
        <v>93.75</v>
      </c>
      <c r="B85" s="7">
        <v>2831.415</v>
      </c>
      <c r="C85" s="7">
        <v>2343.768</v>
      </c>
      <c r="D85" s="7">
        <v>3353.2849999999999</v>
      </c>
      <c r="E85" s="7">
        <v>3936.42</v>
      </c>
      <c r="F85" s="7">
        <v>2394.6509999999998</v>
      </c>
      <c r="G85" s="7">
        <v>2337.482</v>
      </c>
      <c r="H85" s="7">
        <v>2687.6439999999998</v>
      </c>
      <c r="I85" s="7">
        <v>2694.067</v>
      </c>
      <c r="J85" s="7">
        <v>3723.739</v>
      </c>
      <c r="K85" s="7">
        <v>2990.0250000000001</v>
      </c>
      <c r="L85" s="7">
        <v>2304.9499999999998</v>
      </c>
      <c r="M85" s="7">
        <v>3999.9569999999999</v>
      </c>
      <c r="N85" s="7">
        <v>3528.5520000000001</v>
      </c>
      <c r="O85" s="7">
        <v>2821.232</v>
      </c>
      <c r="P85" s="7">
        <v>3390.25</v>
      </c>
      <c r="R85" s="5">
        <f t="shared" si="4"/>
        <v>3022.4958000000001</v>
      </c>
      <c r="S85" s="5">
        <f t="shared" si="5"/>
        <v>153.06749737230524</v>
      </c>
      <c r="U85" s="7">
        <v>93.75</v>
      </c>
      <c r="V85" s="7">
        <v>3452.3440000000001</v>
      </c>
      <c r="W85" s="7">
        <v>3723.5970000000002</v>
      </c>
      <c r="X85" s="7">
        <v>2907.527</v>
      </c>
      <c r="Y85" s="7">
        <v>2696.4879999999998</v>
      </c>
      <c r="Z85" s="7">
        <v>3758.5770000000002</v>
      </c>
      <c r="AA85" s="7">
        <v>3530.6779999999999</v>
      </c>
      <c r="AB85" s="7">
        <v>2474.0949999999998</v>
      </c>
      <c r="AC85" s="7">
        <v>3739.444</v>
      </c>
      <c r="AD85" s="7">
        <v>3835.5509999999999</v>
      </c>
      <c r="AE85" s="7">
        <v>3790.1239999999998</v>
      </c>
      <c r="AF85" s="7">
        <v>3530.087</v>
      </c>
      <c r="AG85" s="7">
        <v>2976.0549999999998</v>
      </c>
      <c r="AH85" s="7">
        <v>3111.0030000000002</v>
      </c>
      <c r="AI85" s="7">
        <v>3769.7179999999998</v>
      </c>
      <c r="AJ85" s="7">
        <v>3862.0010000000002</v>
      </c>
      <c r="AL85" s="6">
        <f t="shared" si="6"/>
        <v>3576.747875</v>
      </c>
      <c r="AM85" s="6">
        <f t="shared" si="7"/>
        <v>122.29302687930058</v>
      </c>
    </row>
    <row r="86" spans="1:39" x14ac:dyDescent="0.2">
      <c r="A86" s="7">
        <v>95</v>
      </c>
      <c r="B86" s="7">
        <v>2963.8429999999998</v>
      </c>
      <c r="C86" s="7">
        <v>2805.5219999999999</v>
      </c>
      <c r="D86" s="7">
        <v>3098.8719999999998</v>
      </c>
      <c r="E86" s="7">
        <v>3587.9589999999998</v>
      </c>
      <c r="F86" s="7">
        <v>2602.232</v>
      </c>
      <c r="G86" s="7">
        <v>2695.056</v>
      </c>
      <c r="H86" s="7">
        <v>2899.6689999999999</v>
      </c>
      <c r="I86" s="7">
        <v>3002.14</v>
      </c>
      <c r="J86" s="7">
        <v>3447.0889999999999</v>
      </c>
      <c r="K86" s="7">
        <v>2801.6889999999999</v>
      </c>
      <c r="L86" s="7">
        <v>2586.2759999999998</v>
      </c>
      <c r="M86" s="7">
        <v>3708.3629999999998</v>
      </c>
      <c r="N86" s="7">
        <v>3583.85</v>
      </c>
      <c r="O86" s="7">
        <v>2892.9059999999999</v>
      </c>
      <c r="P86" s="7">
        <v>3390.9720000000002</v>
      </c>
      <c r="R86" s="5">
        <f t="shared" si="4"/>
        <v>3071.0958666666661</v>
      </c>
      <c r="S86" s="5">
        <f t="shared" si="5"/>
        <v>97.52735455513394</v>
      </c>
      <c r="U86" s="7">
        <v>95</v>
      </c>
      <c r="V86" s="7">
        <v>3337.05</v>
      </c>
      <c r="W86" s="7">
        <v>3548.527</v>
      </c>
      <c r="X86" s="7">
        <v>3074.7860000000001</v>
      </c>
      <c r="Y86" s="7">
        <v>2829.3209999999999</v>
      </c>
      <c r="Z86" s="7">
        <v>3518.433</v>
      </c>
      <c r="AA86" s="7">
        <v>3524.7080000000001</v>
      </c>
      <c r="AB86" s="7">
        <v>2692.8780000000002</v>
      </c>
      <c r="AC86" s="7">
        <v>3628.7350000000001</v>
      </c>
      <c r="AD86" s="7">
        <v>3743.5010000000002</v>
      </c>
      <c r="AE86" s="7">
        <v>3686.8029999999999</v>
      </c>
      <c r="AF86" s="7">
        <v>3355.0360000000001</v>
      </c>
      <c r="AG86" s="7">
        <v>2961.201</v>
      </c>
      <c r="AH86" s="7">
        <v>3116.27</v>
      </c>
      <c r="AI86" s="7">
        <v>3600.3139999999999</v>
      </c>
      <c r="AJ86" s="7">
        <v>3640.5630000000001</v>
      </c>
      <c r="AL86" s="6">
        <f t="shared" si="6"/>
        <v>3466.5528750000003</v>
      </c>
      <c r="AM86" s="6">
        <f t="shared" si="7"/>
        <v>102.66098932468344</v>
      </c>
    </row>
    <row r="87" spans="1:39" x14ac:dyDescent="0.2">
      <c r="A87" s="7">
        <v>96.25</v>
      </c>
      <c r="B87" s="7">
        <v>3301.8989999999999</v>
      </c>
      <c r="C87" s="7">
        <v>3345.9580000000001</v>
      </c>
      <c r="D87" s="7">
        <v>2797.22</v>
      </c>
      <c r="E87" s="7">
        <v>3218.0259999999998</v>
      </c>
      <c r="F87" s="7">
        <v>2803.0210000000002</v>
      </c>
      <c r="G87" s="7">
        <v>3117.355</v>
      </c>
      <c r="H87" s="7">
        <v>3103.1260000000002</v>
      </c>
      <c r="I87" s="7">
        <v>3403.4589999999998</v>
      </c>
      <c r="J87" s="7">
        <v>3231.9929999999999</v>
      </c>
      <c r="K87" s="7">
        <v>2689.5540000000001</v>
      </c>
      <c r="L87" s="7">
        <v>2876.3180000000002</v>
      </c>
      <c r="M87" s="7">
        <v>3220.5929999999998</v>
      </c>
      <c r="N87" s="7">
        <v>3639.5369999999998</v>
      </c>
      <c r="O87" s="7">
        <v>2978.2890000000002</v>
      </c>
      <c r="P87" s="7">
        <v>3339.0540000000001</v>
      </c>
      <c r="R87" s="5">
        <f t="shared" si="4"/>
        <v>3137.6934666666657</v>
      </c>
      <c r="S87" s="5">
        <f t="shared" si="5"/>
        <v>68.301580654084034</v>
      </c>
      <c r="U87" s="7">
        <v>96.25</v>
      </c>
      <c r="V87" s="7">
        <v>3290.99</v>
      </c>
      <c r="W87" s="7">
        <v>3374.0129999999999</v>
      </c>
      <c r="X87" s="7">
        <v>3258.72</v>
      </c>
      <c r="Y87" s="7">
        <v>2963.9659999999999</v>
      </c>
      <c r="Z87" s="7">
        <v>3240.2930000000001</v>
      </c>
      <c r="AA87" s="7">
        <v>3666.1570000000002</v>
      </c>
      <c r="AB87" s="7">
        <v>2852.241</v>
      </c>
      <c r="AC87" s="7">
        <v>3520.1709999999998</v>
      </c>
      <c r="AD87" s="7">
        <v>3612.6880000000001</v>
      </c>
      <c r="AE87" s="7">
        <v>3437.7269999999999</v>
      </c>
      <c r="AF87" s="7">
        <v>3063.683</v>
      </c>
      <c r="AG87" s="7">
        <v>2917.279</v>
      </c>
      <c r="AH87" s="7">
        <v>3073.0360000000001</v>
      </c>
      <c r="AI87" s="7">
        <v>3491.9549999999999</v>
      </c>
      <c r="AJ87" s="7">
        <v>3382.36</v>
      </c>
      <c r="AL87" s="6">
        <f t="shared" si="6"/>
        <v>3312.3623749999997</v>
      </c>
      <c r="AM87" s="6">
        <f t="shared" si="7"/>
        <v>90.776294089201471</v>
      </c>
    </row>
    <row r="88" spans="1:39" x14ac:dyDescent="0.2">
      <c r="A88" s="7">
        <v>97.5</v>
      </c>
      <c r="B88" s="7">
        <v>3677.8449999999998</v>
      </c>
      <c r="C88" s="7">
        <v>3777.518</v>
      </c>
      <c r="D88" s="7">
        <v>2768.902</v>
      </c>
      <c r="E88" s="7">
        <v>3212.848</v>
      </c>
      <c r="F88" s="7">
        <v>3008.6680000000001</v>
      </c>
      <c r="G88" s="7">
        <v>3464.2139999999999</v>
      </c>
      <c r="H88" s="7">
        <v>3321.12</v>
      </c>
      <c r="I88" s="7">
        <v>3768.3119999999999</v>
      </c>
      <c r="J88" s="7">
        <v>3379.1930000000002</v>
      </c>
      <c r="K88" s="7">
        <v>2816.8870000000002</v>
      </c>
      <c r="L88" s="7">
        <v>3182.2249999999999</v>
      </c>
      <c r="M88" s="7">
        <v>3122.02</v>
      </c>
      <c r="N88" s="7">
        <v>3810.0639999999999</v>
      </c>
      <c r="O88" s="7">
        <v>3164.3209999999999</v>
      </c>
      <c r="P88" s="7">
        <v>3389.77</v>
      </c>
      <c r="R88" s="5">
        <f t="shared" si="4"/>
        <v>3324.2604666666657</v>
      </c>
      <c r="S88" s="5">
        <f t="shared" si="5"/>
        <v>86.053009804802272</v>
      </c>
      <c r="U88" s="7">
        <v>97.5</v>
      </c>
      <c r="V88" s="7">
        <v>3504.337</v>
      </c>
      <c r="W88" s="7">
        <v>3489.819</v>
      </c>
      <c r="X88" s="7">
        <v>3519.9470000000001</v>
      </c>
      <c r="Y88" s="7">
        <v>3142.4169999999999</v>
      </c>
      <c r="Z88" s="7">
        <v>3331.982</v>
      </c>
      <c r="AA88" s="7">
        <v>4001.7</v>
      </c>
      <c r="AB88" s="7">
        <v>3083.2979999999998</v>
      </c>
      <c r="AC88" s="7">
        <v>3596.7649999999999</v>
      </c>
      <c r="AD88" s="7">
        <v>3709.77</v>
      </c>
      <c r="AE88" s="7">
        <v>3426.7049999999999</v>
      </c>
      <c r="AF88" s="7">
        <v>3080.6089999999999</v>
      </c>
      <c r="AG88" s="7">
        <v>3016.1030000000001</v>
      </c>
      <c r="AH88" s="7">
        <v>3158.2919999999999</v>
      </c>
      <c r="AI88" s="7">
        <v>3623.77</v>
      </c>
      <c r="AJ88" s="7">
        <v>3435.0160000000001</v>
      </c>
      <c r="AL88" s="6">
        <f t="shared" si="6"/>
        <v>3380.8787500000003</v>
      </c>
      <c r="AM88" s="6">
        <f t="shared" si="7"/>
        <v>93.691315484823789</v>
      </c>
    </row>
    <row r="89" spans="1:39" x14ac:dyDescent="0.2">
      <c r="A89" s="7">
        <v>98.75</v>
      </c>
      <c r="B89" s="7">
        <v>3985.5549999999998</v>
      </c>
      <c r="C89" s="7">
        <v>4043.857</v>
      </c>
      <c r="D89" s="7">
        <v>2895.8809999999999</v>
      </c>
      <c r="E89" s="7">
        <v>3356.3589999999999</v>
      </c>
      <c r="F89" s="7">
        <v>3210.471</v>
      </c>
      <c r="G89" s="7">
        <v>3678.3519999999999</v>
      </c>
      <c r="H89" s="7">
        <v>3535.107</v>
      </c>
      <c r="I89" s="7">
        <v>4038.8760000000002</v>
      </c>
      <c r="J89" s="7">
        <v>3651.6010000000001</v>
      </c>
      <c r="K89" s="7">
        <v>2979.402</v>
      </c>
      <c r="L89" s="7">
        <v>3403.0810000000001</v>
      </c>
      <c r="M89" s="7">
        <v>3315.549</v>
      </c>
      <c r="N89" s="7">
        <v>4034.0059999999999</v>
      </c>
      <c r="O89" s="7">
        <v>3425.7330000000002</v>
      </c>
      <c r="P89" s="7">
        <v>3606.337</v>
      </c>
      <c r="R89" s="5">
        <f t="shared" si="4"/>
        <v>3544.011133333333</v>
      </c>
      <c r="S89" s="5">
        <f t="shared" si="5"/>
        <v>95.984730429667806</v>
      </c>
      <c r="U89" s="7">
        <v>98.75</v>
      </c>
      <c r="V89" s="7">
        <v>3791.0940000000001</v>
      </c>
      <c r="W89" s="7">
        <v>3719.2730000000001</v>
      </c>
      <c r="X89" s="7">
        <v>3776.6149999999998</v>
      </c>
      <c r="Y89" s="7">
        <v>3335.97</v>
      </c>
      <c r="Z89" s="7">
        <v>3589.25</v>
      </c>
      <c r="AA89" s="7">
        <v>4327.16</v>
      </c>
      <c r="AB89" s="7">
        <v>3337.0990000000002</v>
      </c>
      <c r="AC89" s="7">
        <v>3847.08</v>
      </c>
      <c r="AD89" s="7">
        <v>3970.3440000000001</v>
      </c>
      <c r="AE89" s="7">
        <v>3672.2809999999999</v>
      </c>
      <c r="AF89" s="7">
        <v>3275.9490000000001</v>
      </c>
      <c r="AG89" s="7">
        <v>3225.5010000000002</v>
      </c>
      <c r="AH89" s="7">
        <v>3398.88</v>
      </c>
      <c r="AI89" s="7">
        <v>3894.7959999999998</v>
      </c>
      <c r="AJ89" s="7">
        <v>3653.8180000000002</v>
      </c>
      <c r="AL89" s="6">
        <f t="shared" si="6"/>
        <v>3617.3311249999997</v>
      </c>
      <c r="AM89" s="6">
        <f t="shared" si="7"/>
        <v>101.4654822806465</v>
      </c>
    </row>
    <row r="90" spans="1:39" x14ac:dyDescent="0.2">
      <c r="A90" s="7">
        <v>100</v>
      </c>
      <c r="B90" s="7">
        <v>4114.2790000000005</v>
      </c>
      <c r="C90" s="7">
        <v>4068.3490000000002</v>
      </c>
      <c r="D90" s="7">
        <v>2968.739</v>
      </c>
      <c r="E90" s="7">
        <v>3372.721</v>
      </c>
      <c r="F90" s="7">
        <v>3239.3</v>
      </c>
      <c r="G90" s="7">
        <v>3696.5329999999999</v>
      </c>
      <c r="H90" s="7">
        <v>3592.4580000000001</v>
      </c>
      <c r="I90" s="7">
        <v>4145.4390000000003</v>
      </c>
      <c r="J90" s="7">
        <v>3768.2559999999999</v>
      </c>
      <c r="K90" s="7">
        <v>3047.6959999999999</v>
      </c>
      <c r="L90" s="7">
        <v>3444.701</v>
      </c>
      <c r="M90" s="7">
        <v>3413.6</v>
      </c>
      <c r="N90" s="7">
        <v>4098.8239999999996</v>
      </c>
      <c r="O90" s="7">
        <v>3541.0219999999999</v>
      </c>
      <c r="P90" s="7">
        <v>3695.1950000000002</v>
      </c>
      <c r="R90" s="5">
        <f t="shared" si="4"/>
        <v>3613.8074666666666</v>
      </c>
      <c r="S90" s="5">
        <f t="shared" si="5"/>
        <v>98.117574683684708</v>
      </c>
      <c r="U90" s="7">
        <v>100</v>
      </c>
      <c r="V90" s="7">
        <v>3918.1819999999998</v>
      </c>
      <c r="W90" s="7">
        <v>3821.8229999999999</v>
      </c>
      <c r="X90" s="7">
        <v>3836.913</v>
      </c>
      <c r="Y90" s="7">
        <v>3375.0189999999998</v>
      </c>
      <c r="Z90" s="7">
        <v>3703.3209999999999</v>
      </c>
      <c r="AA90" s="7">
        <v>4452.3559999999998</v>
      </c>
      <c r="AB90" s="7">
        <v>3437.7530000000002</v>
      </c>
      <c r="AC90" s="7">
        <v>4001.7579999999998</v>
      </c>
      <c r="AD90" s="7">
        <v>4080.904</v>
      </c>
      <c r="AE90" s="7">
        <v>3804.973</v>
      </c>
      <c r="AF90" s="7">
        <v>3359.5360000000001</v>
      </c>
      <c r="AG90" s="7">
        <v>3329.645</v>
      </c>
      <c r="AH90" s="7">
        <v>3533.848</v>
      </c>
      <c r="AI90" s="7">
        <v>4000.971</v>
      </c>
      <c r="AJ90" s="7">
        <v>3736.2890000000002</v>
      </c>
      <c r="AL90" s="6">
        <f t="shared" si="6"/>
        <v>3730.9904999999999</v>
      </c>
      <c r="AM90" s="6">
        <f t="shared" si="7"/>
        <v>104.54555334654701</v>
      </c>
    </row>
    <row r="91" spans="1:39" x14ac:dyDescent="0.2">
      <c r="A91" s="7">
        <v>101.25</v>
      </c>
      <c r="B91" s="7">
        <v>4082.77</v>
      </c>
      <c r="C91" s="7">
        <v>3934.0949999999998</v>
      </c>
      <c r="D91" s="7">
        <v>2960.6109999999999</v>
      </c>
      <c r="E91" s="7">
        <v>3342.82</v>
      </c>
      <c r="F91" s="7">
        <v>3128.8449999999998</v>
      </c>
      <c r="G91" s="7">
        <v>3593.8490000000002</v>
      </c>
      <c r="H91" s="7">
        <v>3511.3009999999999</v>
      </c>
      <c r="I91" s="7">
        <v>4072.2170000000001</v>
      </c>
      <c r="J91" s="7">
        <v>3754.864</v>
      </c>
      <c r="K91" s="7">
        <v>3034.0540000000001</v>
      </c>
      <c r="L91" s="7">
        <v>3350.5120000000002</v>
      </c>
      <c r="M91" s="7">
        <v>3396.5479999999998</v>
      </c>
      <c r="N91" s="7">
        <v>4015.8049999999998</v>
      </c>
      <c r="O91" s="7">
        <v>3494.0680000000002</v>
      </c>
      <c r="P91" s="7">
        <v>3633.2829999999999</v>
      </c>
      <c r="R91" s="5">
        <f t="shared" si="4"/>
        <v>3553.7094666666671</v>
      </c>
      <c r="S91" s="5">
        <f t="shared" si="5"/>
        <v>94.453897008407864</v>
      </c>
      <c r="U91" s="7">
        <v>101.25</v>
      </c>
      <c r="V91" s="7">
        <v>3876.9259999999999</v>
      </c>
      <c r="W91" s="7">
        <v>3758.2579999999998</v>
      </c>
      <c r="X91" s="7">
        <v>3732.134</v>
      </c>
      <c r="Y91" s="7">
        <v>3310.904</v>
      </c>
      <c r="Z91" s="7">
        <v>3681.152</v>
      </c>
      <c r="AA91" s="7">
        <v>4396.7790000000005</v>
      </c>
      <c r="AB91" s="7">
        <v>3388.6869999999999</v>
      </c>
      <c r="AC91" s="7">
        <v>3980.1759999999999</v>
      </c>
      <c r="AD91" s="7">
        <v>4048.3040000000001</v>
      </c>
      <c r="AE91" s="7">
        <v>3805.26</v>
      </c>
      <c r="AF91" s="7">
        <v>3323.17</v>
      </c>
      <c r="AG91" s="7">
        <v>3274.8519999999999</v>
      </c>
      <c r="AH91" s="7">
        <v>3479.7640000000001</v>
      </c>
      <c r="AI91" s="7">
        <v>3961.105</v>
      </c>
      <c r="AJ91" s="7">
        <v>3707.8049999999998</v>
      </c>
      <c r="AL91" s="6">
        <f t="shared" si="6"/>
        <v>3697.5544999999997</v>
      </c>
      <c r="AM91" s="6">
        <f t="shared" si="7"/>
        <v>107.76449163238192</v>
      </c>
    </row>
    <row r="92" spans="1:39" x14ac:dyDescent="0.2">
      <c r="A92" s="7">
        <v>102.5</v>
      </c>
      <c r="B92" s="7">
        <v>3859.9789999999998</v>
      </c>
      <c r="C92" s="7">
        <v>3672.96</v>
      </c>
      <c r="D92" s="7">
        <v>2831.9189999999999</v>
      </c>
      <c r="E92" s="7">
        <v>3153.96</v>
      </c>
      <c r="F92" s="7">
        <v>2898.0479999999998</v>
      </c>
      <c r="G92" s="7">
        <v>3331.7139999999999</v>
      </c>
      <c r="H92" s="7">
        <v>3316.8589999999999</v>
      </c>
      <c r="I92" s="7">
        <v>3865.2089999999998</v>
      </c>
      <c r="J92" s="7">
        <v>3596.4609999999998</v>
      </c>
      <c r="K92" s="7">
        <v>2900.1930000000002</v>
      </c>
      <c r="L92" s="7">
        <v>3124.3440000000001</v>
      </c>
      <c r="M92" s="7">
        <v>3286.8960000000002</v>
      </c>
      <c r="N92" s="7">
        <v>3795.9079999999999</v>
      </c>
      <c r="O92" s="7">
        <v>3318.7289999999998</v>
      </c>
      <c r="P92" s="7">
        <v>3442.873</v>
      </c>
      <c r="R92" s="5">
        <f t="shared" si="4"/>
        <v>3359.7367999999997</v>
      </c>
      <c r="S92" s="5">
        <f t="shared" si="5"/>
        <v>89.105133615842462</v>
      </c>
      <c r="U92" s="7">
        <v>102.5</v>
      </c>
      <c r="V92" s="7">
        <v>3688.1089999999999</v>
      </c>
      <c r="W92" s="7">
        <v>3524.0320000000002</v>
      </c>
      <c r="X92" s="7">
        <v>3495.0619999999999</v>
      </c>
      <c r="Y92" s="7">
        <v>3119.8220000000001</v>
      </c>
      <c r="Z92" s="7">
        <v>3514.6109999999999</v>
      </c>
      <c r="AA92" s="7">
        <v>4181.076</v>
      </c>
      <c r="AB92" s="7">
        <v>3241.9549999999999</v>
      </c>
      <c r="AC92" s="7">
        <v>3804.4920000000002</v>
      </c>
      <c r="AD92" s="7">
        <v>3869.1350000000002</v>
      </c>
      <c r="AE92" s="7">
        <v>3624.808</v>
      </c>
      <c r="AF92" s="7">
        <v>3166.7130000000002</v>
      </c>
      <c r="AG92" s="7">
        <v>3118.8470000000002</v>
      </c>
      <c r="AH92" s="7">
        <v>3309.4650000000001</v>
      </c>
      <c r="AI92" s="7">
        <v>3751.3339999999998</v>
      </c>
      <c r="AJ92" s="7">
        <v>3538.0160000000001</v>
      </c>
      <c r="AL92" s="6">
        <f t="shared" si="6"/>
        <v>3522.8512500000002</v>
      </c>
      <c r="AM92" s="6">
        <f t="shared" si="7"/>
        <v>103.30701832363393</v>
      </c>
    </row>
    <row r="93" spans="1:39" x14ac:dyDescent="0.2">
      <c r="A93" s="7">
        <v>103.75</v>
      </c>
      <c r="B93" s="7">
        <v>3461.68</v>
      </c>
      <c r="C93" s="7">
        <v>3281.5219999999999</v>
      </c>
      <c r="D93" s="7">
        <v>2512.9409999999998</v>
      </c>
      <c r="E93" s="7">
        <v>2740.4160000000002</v>
      </c>
      <c r="F93" s="7">
        <v>2531.2429999999999</v>
      </c>
      <c r="G93" s="7">
        <v>2904.45</v>
      </c>
      <c r="H93" s="7">
        <v>2954.308</v>
      </c>
      <c r="I93" s="7">
        <v>3479.1379999999999</v>
      </c>
      <c r="J93" s="7">
        <v>3225.712</v>
      </c>
      <c r="K93" s="7">
        <v>2626.3150000000001</v>
      </c>
      <c r="L93" s="7">
        <v>2743.7190000000001</v>
      </c>
      <c r="M93" s="7">
        <v>2974.5169999999998</v>
      </c>
      <c r="N93" s="7">
        <v>3361.42</v>
      </c>
      <c r="O93" s="7">
        <v>2978.3910000000001</v>
      </c>
      <c r="P93" s="7">
        <v>3044.9920000000002</v>
      </c>
      <c r="R93" s="5">
        <f t="shared" si="4"/>
        <v>2988.050933333333</v>
      </c>
      <c r="S93" s="5">
        <f t="shared" si="5"/>
        <v>82.963760124209372</v>
      </c>
      <c r="U93" s="7">
        <v>103.75</v>
      </c>
      <c r="V93" s="7">
        <v>3299.6419999999998</v>
      </c>
      <c r="W93" s="7">
        <v>3138.462</v>
      </c>
      <c r="X93" s="7">
        <v>3083.4929999999999</v>
      </c>
      <c r="Y93" s="7">
        <v>2728.8580000000002</v>
      </c>
      <c r="Z93" s="7">
        <v>3122.3560000000002</v>
      </c>
      <c r="AA93" s="7">
        <v>3761.7840000000001</v>
      </c>
      <c r="AB93" s="7">
        <v>2943.03</v>
      </c>
      <c r="AC93" s="7">
        <v>3386.5859999999998</v>
      </c>
      <c r="AD93" s="7">
        <v>3463.03</v>
      </c>
      <c r="AE93" s="7">
        <v>3236.9859999999999</v>
      </c>
      <c r="AF93" s="7">
        <v>2827.57</v>
      </c>
      <c r="AG93" s="7">
        <v>2783.4920000000002</v>
      </c>
      <c r="AH93" s="7">
        <v>2962.1559999999999</v>
      </c>
      <c r="AI93" s="7">
        <v>3310.4580000000001</v>
      </c>
      <c r="AJ93" s="7">
        <v>3160.4639999999999</v>
      </c>
      <c r="AL93" s="6">
        <f t="shared" si="6"/>
        <v>3141.3427499999998</v>
      </c>
      <c r="AM93" s="6">
        <f t="shared" si="7"/>
        <v>90.668011865059086</v>
      </c>
    </row>
    <row r="94" spans="1:39" x14ac:dyDescent="0.2">
      <c r="A94" s="7">
        <v>105</v>
      </c>
      <c r="B94" s="7">
        <v>3100.9740000000002</v>
      </c>
      <c r="C94" s="7">
        <v>2937.3510000000001</v>
      </c>
      <c r="D94" s="7">
        <v>2185.6840000000002</v>
      </c>
      <c r="E94" s="7">
        <v>2373.1869999999999</v>
      </c>
      <c r="F94" s="7">
        <v>2188.7860000000001</v>
      </c>
      <c r="G94" s="7">
        <v>2543.5</v>
      </c>
      <c r="H94" s="7">
        <v>2566.335</v>
      </c>
      <c r="I94" s="7">
        <v>3049.2139999999999</v>
      </c>
      <c r="J94" s="7">
        <v>2850.127</v>
      </c>
      <c r="K94" s="7">
        <v>2350.0839999999998</v>
      </c>
      <c r="L94" s="7">
        <v>2385.0729999999999</v>
      </c>
      <c r="M94" s="7">
        <v>2586.2440000000001</v>
      </c>
      <c r="N94" s="7">
        <v>2880.6790000000001</v>
      </c>
      <c r="O94" s="7">
        <v>2611.0129999999999</v>
      </c>
      <c r="P94" s="7">
        <v>2646.59</v>
      </c>
      <c r="R94" s="5">
        <f t="shared" si="4"/>
        <v>2616.9893999999999</v>
      </c>
      <c r="S94" s="5">
        <f t="shared" si="5"/>
        <v>75.946273935799894</v>
      </c>
      <c r="U94" s="7">
        <v>105</v>
      </c>
      <c r="V94" s="7">
        <v>2897.5059999999999</v>
      </c>
      <c r="W94" s="7">
        <v>2791.232</v>
      </c>
      <c r="X94" s="7">
        <v>2700.0459999999998</v>
      </c>
      <c r="Y94" s="7">
        <v>2337.7199999999998</v>
      </c>
      <c r="Z94" s="7">
        <v>2704.3539999999998</v>
      </c>
      <c r="AA94" s="7">
        <v>3320.4389999999999</v>
      </c>
      <c r="AB94" s="7">
        <v>2585.038</v>
      </c>
      <c r="AC94" s="7">
        <v>2941.7449999999999</v>
      </c>
      <c r="AD94" s="7">
        <v>3004.0819999999999</v>
      </c>
      <c r="AE94" s="7">
        <v>2826.9169999999999</v>
      </c>
      <c r="AF94" s="7">
        <v>2464.5709999999999</v>
      </c>
      <c r="AG94" s="7">
        <v>2398.2600000000002</v>
      </c>
      <c r="AH94" s="7">
        <v>2590.2710000000002</v>
      </c>
      <c r="AI94" s="7">
        <v>2861.7779999999998</v>
      </c>
      <c r="AJ94" s="7">
        <v>2763.616</v>
      </c>
      <c r="AL94" s="6">
        <f t="shared" si="6"/>
        <v>2731.4049999999997</v>
      </c>
      <c r="AM94" s="6">
        <f t="shared" si="7"/>
        <v>78.81461660350277</v>
      </c>
    </row>
    <row r="95" spans="1:39" x14ac:dyDescent="0.2">
      <c r="A95" s="7">
        <v>106.25</v>
      </c>
      <c r="B95" s="7">
        <v>2819.1289999999999</v>
      </c>
      <c r="C95" s="7">
        <v>2676.098</v>
      </c>
      <c r="D95" s="7">
        <v>1968.37</v>
      </c>
      <c r="E95" s="7">
        <v>2126.0680000000002</v>
      </c>
      <c r="F95" s="7">
        <v>1947.124</v>
      </c>
      <c r="G95" s="7">
        <v>2285.1840000000002</v>
      </c>
      <c r="H95" s="7">
        <v>2284.5569999999998</v>
      </c>
      <c r="I95" s="7">
        <v>2735.0549999999998</v>
      </c>
      <c r="J95" s="7">
        <v>2584.86</v>
      </c>
      <c r="K95" s="7">
        <v>2123.83</v>
      </c>
      <c r="L95" s="7">
        <v>2121.5149999999999</v>
      </c>
      <c r="M95" s="7">
        <v>2288.9229999999998</v>
      </c>
      <c r="N95" s="7">
        <v>2532.0590000000002</v>
      </c>
      <c r="O95" s="7">
        <v>2348.9839999999999</v>
      </c>
      <c r="P95" s="7">
        <v>2371.6750000000002</v>
      </c>
      <c r="R95" s="5">
        <f t="shared" si="4"/>
        <v>2347.5620666666669</v>
      </c>
      <c r="S95" s="5">
        <f t="shared" si="5"/>
        <v>70.273082786502314</v>
      </c>
      <c r="U95" s="7">
        <v>106.25</v>
      </c>
      <c r="V95" s="7">
        <v>2592.1039999999998</v>
      </c>
      <c r="W95" s="7">
        <v>2513.29</v>
      </c>
      <c r="X95" s="7">
        <v>2416.3270000000002</v>
      </c>
      <c r="Y95" s="7">
        <v>2072.0030000000002</v>
      </c>
      <c r="Z95" s="7">
        <v>2400.0369999999998</v>
      </c>
      <c r="AA95" s="7">
        <v>2988.5369999999998</v>
      </c>
      <c r="AB95" s="7">
        <v>2300.8870000000002</v>
      </c>
      <c r="AC95" s="7">
        <v>2622.04</v>
      </c>
      <c r="AD95" s="7">
        <v>2657.2710000000002</v>
      </c>
      <c r="AE95" s="7">
        <v>2522.518</v>
      </c>
      <c r="AF95" s="7">
        <v>2193.192</v>
      </c>
      <c r="AG95" s="7">
        <v>2118.7860000000001</v>
      </c>
      <c r="AH95" s="7">
        <v>2313.8380000000002</v>
      </c>
      <c r="AI95" s="7">
        <v>2529.8110000000001</v>
      </c>
      <c r="AJ95" s="7">
        <v>2480.835</v>
      </c>
      <c r="AL95" s="6">
        <f t="shared" si="6"/>
        <v>2429.7863750000001</v>
      </c>
      <c r="AM95" s="6">
        <f t="shared" si="7"/>
        <v>70.21178550462713</v>
      </c>
    </row>
    <row r="96" spans="1:39" x14ac:dyDescent="0.2">
      <c r="A96" s="7">
        <v>107.5</v>
      </c>
      <c r="B96" s="7">
        <v>2551.806</v>
      </c>
      <c r="C96" s="7">
        <v>2434.8679999999999</v>
      </c>
      <c r="D96" s="7">
        <v>1794.1690000000001</v>
      </c>
      <c r="E96" s="7">
        <v>1921.4269999999999</v>
      </c>
      <c r="F96" s="7">
        <v>1756.04</v>
      </c>
      <c r="G96" s="7">
        <v>2069.1529999999998</v>
      </c>
      <c r="H96" s="7">
        <v>2051.9850000000001</v>
      </c>
      <c r="I96" s="7">
        <v>2464.06</v>
      </c>
      <c r="J96" s="7">
        <v>2355.5859999999998</v>
      </c>
      <c r="K96" s="7">
        <v>1943.3520000000001</v>
      </c>
      <c r="L96" s="7">
        <v>1905.1010000000001</v>
      </c>
      <c r="M96" s="7">
        <v>2062.3389999999999</v>
      </c>
      <c r="N96" s="7">
        <v>2254.7570000000001</v>
      </c>
      <c r="O96" s="7">
        <v>2122.9259999999999</v>
      </c>
      <c r="P96" s="7">
        <v>2133.7330000000002</v>
      </c>
      <c r="R96" s="5">
        <f t="shared" si="4"/>
        <v>2121.4201333333335</v>
      </c>
      <c r="S96" s="5">
        <f t="shared" si="5"/>
        <v>63.388033395968087</v>
      </c>
      <c r="U96" s="7">
        <v>107.5</v>
      </c>
      <c r="V96" s="7">
        <v>2331.1149999999998</v>
      </c>
      <c r="W96" s="7">
        <v>2269.154</v>
      </c>
      <c r="X96" s="7">
        <v>2164.2150000000001</v>
      </c>
      <c r="Y96" s="7">
        <v>1856.6469999999999</v>
      </c>
      <c r="Z96" s="7">
        <v>2160.105</v>
      </c>
      <c r="AA96" s="7">
        <v>2726.0259999999998</v>
      </c>
      <c r="AB96" s="7">
        <v>2061.5569999999998</v>
      </c>
      <c r="AC96" s="7">
        <v>2354.1</v>
      </c>
      <c r="AD96" s="7">
        <v>2366.1109999999999</v>
      </c>
      <c r="AE96" s="7">
        <v>2268.3029999999999</v>
      </c>
      <c r="AF96" s="7">
        <v>1945.039</v>
      </c>
      <c r="AG96" s="7">
        <v>1891.9559999999999</v>
      </c>
      <c r="AH96" s="7">
        <v>2071.9</v>
      </c>
      <c r="AI96" s="7">
        <v>2251.6390000000001</v>
      </c>
      <c r="AJ96" s="7">
        <v>2237.8380000000002</v>
      </c>
      <c r="AL96" s="6">
        <f t="shared" si="6"/>
        <v>2173.3607499999998</v>
      </c>
      <c r="AM96" s="6">
        <f t="shared" si="7"/>
        <v>64.188882135279357</v>
      </c>
    </row>
  </sheetData>
  <mergeCells count="2">
    <mergeCell ref="A1:P1"/>
    <mergeCell ref="U1:AJ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DIM</vt:lpstr>
      <vt:lpstr>BRIGHT</vt:lpstr>
      <vt:lpstr>BRIGHT!OCT_RAW___\YA08\_dark_profiles_YA08_DARK</vt:lpstr>
      <vt:lpstr>DIM!OCT_RAW___\YA08\_dark_profiles_YA08_DARK_dim</vt:lpstr>
      <vt:lpstr>BRIGHT!OCT_RAW___\YA08\_light_profiles_YA08_LIGHT</vt:lpstr>
      <vt:lpstr>DIM!OCT_RAW___\YA08\_light_profiles_YA08_LIGHT_dim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</dc:creator>
  <cp:lastModifiedBy>Dave</cp:lastModifiedBy>
  <dcterms:created xsi:type="dcterms:W3CDTF">2015-06-05T18:17:20Z</dcterms:created>
  <dcterms:modified xsi:type="dcterms:W3CDTF">2019-11-16T23:59:33Z</dcterms:modified>
</cp:coreProperties>
</file>