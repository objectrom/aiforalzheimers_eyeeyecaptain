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[2019-11NOV-16]\AQ599\"/>
    </mc:Choice>
  </mc:AlternateContent>
  <xr:revisionPtr revIDLastSave="0" documentId="13_ncr:1_{DE373970-0392-44EA-935C-83454A80156B}" xr6:coauthVersionLast="45" xr6:coauthVersionMax="45" xr10:uidLastSave="{00000000-0000-0000-0000-000000000000}"/>
  <bookViews>
    <workbookView xWindow="660" yWindow="675" windowWidth="26115" windowHeight="13320" xr2:uid="{00000000-000D-0000-FFFF-FFFF00000000}"/>
  </bookViews>
  <sheets>
    <sheet name="BRIGHT" sheetId="1" r:id="rId1"/>
  </sheets>
  <definedNames>
    <definedName name="OCT_RAW___\AQ02\_dark_profiles_AQ02_DARK" localSheetId="0">BRIGHT!$A$2:$F$96</definedName>
    <definedName name="OCT_RAW___\AQ02\_fovea_dark_profiles_AQ02_DARK" localSheetId="0">BRIGHT!#REF!</definedName>
    <definedName name="OCT_RAW___\AQ02\_light_profiles_AQ02_LIGHT" localSheetId="0">BRIGHT!$K$2:$P$96</definedName>
    <definedName name="OCT_RAW___\AQ02\_light_profiles_AQ02_LIGHT_1" localSheetId="0">BRIGHT!#REF!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6CC9C0-CC5D-48D8-AE86-9B7EEE842CEB}" name="[[[OCT RAW]]]\AQ02\_dark_profiles_AQ02_DARK" type="6" refreshedVersion="6" background="1" saveData="1">
    <textPr codePage="437" sourceFile="E:\[Documents]\[[[OCT RAW]]]\AQ02\_dark_profiles_AQ02_DARK.txt" space="1" consecutive="1">
      <textFields count="6">
        <textField/>
        <textField/>
        <textField/>
        <textField/>
        <textField/>
        <textField/>
      </textFields>
    </textPr>
  </connection>
  <connection id="2" xr16:uid="{E7F0D6C3-F76E-4CEF-8201-C59DD1CA5661}" name="[[[OCT RAW]]]\AQ02\_light_profiles_AQ02_LIGHT" type="6" refreshedVersion="6" background="1" saveData="1">
    <textPr codePage="437" sourceFile="E:\[Documents]\[[[OCT RAW]]]\AQ02\_light_profiles_AQ02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<sst xmlns="http://schemas.openxmlformats.org/spreadsheetml/2006/main" count="12" uniqueCount="8">
  <si>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</si>
  <si>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</si>
  <si>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</si>
  <si>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</si>
  <si>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</si>
  <si>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</si>
  <si>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AQ559_DARK</t>
  </si>
  <si>
    <t>AQ559_LIGHT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</si>
</sst>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Q02\_dark_profiles_AQ02_DARK" connectionId="1" xr16:uid="{7A264A9D-B987-4DE3-ACB4-8DA01E85A8D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Q02\_light_profiles_AQ02_LIGHT" connectionId="2" xr16:uid="{221CA2DC-7DF7-486B-83A8-77B438FFBA8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E9" sqref="E9"/>
    </sheetView>
  </sheetViews>
  <sheetFormatPr defaultRowHeight="15" x14ac:dyDescent="0.25"/>
  <cols>
    <col min="1" max="1" width="11.5703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710937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3.0489999999999999</v>
      </c>
      <c r="C3">
        <v>0.88700000000000001</v>
      </c>
      <c r="D3">
        <v>0.60299999999999998</v>
      </c>
      <c r="E3">
        <v>-0.64900000000000002</v>
      </c>
      <c r="F3">
        <v>0.73699999999999999</v>
      </c>
      <c r="K3" t="s">
        <v>0</v>
      </c>
      <c r="L3">
        <v>2.008</v>
      </c>
      <c r="M3">
        <v>-2.883</v>
      </c>
      <c r="N3">
        <v>1.3740000000000001</v>
      </c>
      <c r="O3">
        <v>0.53900000000000003</v>
      </c>
      <c r="P3">
        <v>2.3319999999999999</v>
      </c>
    </row>
    <row r="4" spans="1:19" x14ac:dyDescent="0.25">
      <c r="A4" t="s">
        <v>1</v>
      </c>
      <c r="B4">
        <v>286.71800000000002</v>
      </c>
      <c r="C4">
        <v>288.25099999999998</v>
      </c>
      <c r="D4">
        <v>286.24900000000002</v>
      </c>
      <c r="E4">
        <v>285.03100000000001</v>
      </c>
      <c r="F4">
        <v>285.83100000000002</v>
      </c>
      <c r="H4" s="2">
        <f>AVERAGE(B4:F4)</f>
        <v>286.416</v>
      </c>
      <c r="I4" s="2">
        <f>STDEV(B4:F4)/SQRT(COUNT(B4:F4))</f>
        <v>0.53603955077959864</v>
      </c>
      <c r="K4" t="s">
        <v>1</v>
      </c>
      <c r="L4">
        <v>287.54899999999998</v>
      </c>
      <c r="M4">
        <v>285.69299999999998</v>
      </c>
      <c r="N4">
        <v>287.46100000000001</v>
      </c>
      <c r="O4">
        <v>287.23599999999999</v>
      </c>
      <c r="P4">
        <v>289.24599999999998</v>
      </c>
      <c r="R4" s="3">
        <f>AVERAGE(L4:P4)</f>
        <v>287.43700000000001</v>
      </c>
      <c r="S4" s="3">
        <f>STDEV(L4:P4)/SQRT(COUNT(L4:P4))</f>
        <v>0.56424896987056994</v>
      </c>
    </row>
    <row r="5" spans="1:19" x14ac:dyDescent="0.25">
      <c r="A5" t="s">
        <v>2</v>
      </c>
      <c r="B5">
        <v>66.986999999999995</v>
      </c>
      <c r="C5">
        <v>69.113</v>
      </c>
      <c r="D5">
        <v>67.010999999999996</v>
      </c>
      <c r="E5">
        <v>67.055000000000007</v>
      </c>
      <c r="F5">
        <v>67.144000000000005</v>
      </c>
      <c r="H5" s="2">
        <f t="shared" ref="H5:H68" si="0">AVERAGE(B5:F5)</f>
        <v>67.462000000000003</v>
      </c>
      <c r="I5" s="2">
        <f t="shared" ref="I5:I68" si="1">STDEV(B5:F5)/SQRT(COUNT(B5:F5))</f>
        <v>0.41361818141856371</v>
      </c>
      <c r="K5" t="s">
        <v>2</v>
      </c>
      <c r="L5">
        <v>66.715000000000003</v>
      </c>
      <c r="M5">
        <v>68.569999999999993</v>
      </c>
      <c r="N5">
        <v>67.474000000000004</v>
      </c>
      <c r="O5">
        <v>69.009</v>
      </c>
      <c r="P5">
        <v>68.558999999999997</v>
      </c>
      <c r="R5" s="3">
        <f t="shared" ref="R5:R68" si="2">AVERAGE(L5:P5)</f>
        <v>68.065399999999997</v>
      </c>
      <c r="S5" s="3">
        <f t="shared" ref="S5:S68" si="3">STDEV(L5:P5)/SQRT(COUNT(L5:P5))</f>
        <v>0.42201760626779405</v>
      </c>
    </row>
    <row r="6" spans="1:19" x14ac:dyDescent="0.25">
      <c r="A6" t="s">
        <v>3</v>
      </c>
      <c r="B6">
        <v>28.692</v>
      </c>
      <c r="C6">
        <v>28.824999999999999</v>
      </c>
      <c r="D6">
        <v>27.722999999999999</v>
      </c>
      <c r="E6">
        <v>26.055</v>
      </c>
      <c r="F6">
        <v>27.798999999999999</v>
      </c>
      <c r="H6" s="2">
        <f t="shared" si="0"/>
        <v>27.8188</v>
      </c>
      <c r="I6" s="2">
        <f t="shared" si="1"/>
        <v>0.49474623798468642</v>
      </c>
      <c r="K6" t="s">
        <v>3</v>
      </c>
      <c r="L6">
        <v>29.19</v>
      </c>
      <c r="M6">
        <v>26.434000000000001</v>
      </c>
      <c r="N6">
        <v>28.363</v>
      </c>
      <c r="O6">
        <v>28.225000000000001</v>
      </c>
      <c r="P6">
        <v>29.619</v>
      </c>
      <c r="R6" s="3">
        <f t="shared" si="2"/>
        <v>28.366199999999999</v>
      </c>
      <c r="S6" s="3">
        <f t="shared" si="3"/>
        <v>0.5477909637808932</v>
      </c>
    </row>
    <row r="7" spans="1:19" x14ac:dyDescent="0.25">
      <c r="A7">
        <v>-3.75</v>
      </c>
      <c r="B7">
        <v>981.63499999999999</v>
      </c>
      <c r="C7">
        <v>918.99300000000005</v>
      </c>
      <c r="D7">
        <v>880.13900000000001</v>
      </c>
      <c r="E7">
        <v>1103.96</v>
      </c>
      <c r="F7">
        <v>998.298</v>
      </c>
      <c r="H7" s="2">
        <f t="shared" si="0"/>
        <v>976.60500000000013</v>
      </c>
      <c r="I7" s="2">
        <f t="shared" si="1"/>
        <v>38.301445712923162</v>
      </c>
      <c r="K7">
        <v>-3.75</v>
      </c>
      <c r="L7">
        <v>911.37</v>
      </c>
      <c r="M7">
        <v>777.95500000000004</v>
      </c>
      <c r="N7">
        <v>799.92200000000003</v>
      </c>
      <c r="O7">
        <v>804.63499999999999</v>
      </c>
      <c r="P7">
        <v>881.09</v>
      </c>
      <c r="R7" s="3">
        <f t="shared" si="2"/>
        <v>834.99440000000016</v>
      </c>
      <c r="S7" s="3">
        <f t="shared" si="3"/>
        <v>25.848884093128657</v>
      </c>
    </row>
    <row r="8" spans="1:19" x14ac:dyDescent="0.25">
      <c r="A8">
        <v>-2.5</v>
      </c>
      <c r="B8">
        <v>1205.597</v>
      </c>
      <c r="C8">
        <v>1077.252</v>
      </c>
      <c r="D8">
        <v>1119.729</v>
      </c>
      <c r="E8">
        <v>1356.9960000000001</v>
      </c>
      <c r="F8">
        <v>1247.54</v>
      </c>
      <c r="H8" s="2">
        <f t="shared" si="0"/>
        <v>1201.4228000000001</v>
      </c>
      <c r="I8" s="2">
        <f t="shared" si="1"/>
        <v>49.213567829817023</v>
      </c>
      <c r="K8">
        <v>-2.5</v>
      </c>
      <c r="L8">
        <v>1114.903</v>
      </c>
      <c r="M8">
        <v>930.87699999999995</v>
      </c>
      <c r="N8">
        <v>885.61400000000003</v>
      </c>
      <c r="O8">
        <v>942.73099999999999</v>
      </c>
      <c r="P8">
        <v>983.84100000000001</v>
      </c>
      <c r="R8" s="3">
        <f t="shared" si="2"/>
        <v>971.59320000000002</v>
      </c>
      <c r="S8" s="3">
        <f t="shared" si="3"/>
        <v>39.096653146273276</v>
      </c>
    </row>
    <row r="9" spans="1:19" x14ac:dyDescent="0.25">
      <c r="A9">
        <v>-1.25</v>
      </c>
      <c r="B9">
        <v>1745.1769999999999</v>
      </c>
      <c r="C9">
        <v>1675.7180000000001</v>
      </c>
      <c r="D9">
        <v>1593.5530000000001</v>
      </c>
      <c r="E9">
        <v>1908.769</v>
      </c>
      <c r="F9">
        <v>1797.79</v>
      </c>
      <c r="H9" s="2">
        <f t="shared" si="0"/>
        <v>1744.2014000000004</v>
      </c>
      <c r="I9" s="2">
        <f t="shared" si="1"/>
        <v>53.544421424271619</v>
      </c>
      <c r="K9">
        <v>-1.25</v>
      </c>
      <c r="L9">
        <v>1763.289</v>
      </c>
      <c r="M9">
        <v>1308.345</v>
      </c>
      <c r="N9">
        <v>1308.3800000000001</v>
      </c>
      <c r="O9">
        <v>1401.8440000000001</v>
      </c>
      <c r="P9">
        <v>1502.473</v>
      </c>
      <c r="R9" s="3">
        <f t="shared" si="2"/>
        <v>1456.8661999999999</v>
      </c>
      <c r="S9" s="3">
        <f t="shared" si="3"/>
        <v>84.589908824516669</v>
      </c>
    </row>
    <row r="10" spans="1:19" x14ac:dyDescent="0.25">
      <c r="A10">
        <v>0</v>
      </c>
      <c r="B10">
        <v>2502.058</v>
      </c>
      <c r="C10">
        <v>2456.665</v>
      </c>
      <c r="D10">
        <v>2164.326</v>
      </c>
      <c r="E10">
        <v>2677.09</v>
      </c>
      <c r="F10">
        <v>2462.404</v>
      </c>
      <c r="H10" s="2">
        <f t="shared" si="0"/>
        <v>2452.5086000000001</v>
      </c>
      <c r="I10" s="2">
        <f t="shared" si="1"/>
        <v>82.479195501411155</v>
      </c>
      <c r="K10">
        <v>0</v>
      </c>
      <c r="L10">
        <v>2640.319</v>
      </c>
      <c r="M10">
        <v>1842.1990000000001</v>
      </c>
      <c r="N10">
        <v>1925.818</v>
      </c>
      <c r="O10">
        <v>1987.578</v>
      </c>
      <c r="P10">
        <v>2333.3310000000001</v>
      </c>
      <c r="R10" s="3">
        <f t="shared" si="2"/>
        <v>2145.8490000000002</v>
      </c>
      <c r="S10" s="3">
        <f t="shared" si="3"/>
        <v>149.21741757013507</v>
      </c>
    </row>
    <row r="11" spans="1:19" x14ac:dyDescent="0.25">
      <c r="A11">
        <v>1.25</v>
      </c>
      <c r="B11">
        <v>3119.8690000000001</v>
      </c>
      <c r="C11">
        <v>3068.32</v>
      </c>
      <c r="D11">
        <v>2654.42</v>
      </c>
      <c r="E11">
        <v>3272.4229999999998</v>
      </c>
      <c r="F11">
        <v>3019.2559999999999</v>
      </c>
      <c r="H11" s="2">
        <f t="shared" si="0"/>
        <v>3026.8575999999998</v>
      </c>
      <c r="I11" s="2">
        <f t="shared" si="1"/>
        <v>102.33283125107012</v>
      </c>
      <c r="K11">
        <v>1.25</v>
      </c>
      <c r="L11">
        <v>3420.5259999999998</v>
      </c>
      <c r="M11">
        <v>2303.5790000000002</v>
      </c>
      <c r="N11">
        <v>2443.3589999999999</v>
      </c>
      <c r="O11">
        <v>2453.5250000000001</v>
      </c>
      <c r="P11">
        <v>3077.4340000000002</v>
      </c>
      <c r="R11" s="3">
        <f t="shared" si="2"/>
        <v>2739.6845999999996</v>
      </c>
      <c r="S11" s="3">
        <f t="shared" si="3"/>
        <v>216.50680605851764</v>
      </c>
    </row>
    <row r="12" spans="1:19" x14ac:dyDescent="0.25">
      <c r="A12">
        <v>2.5</v>
      </c>
      <c r="B12">
        <v>3490.1219999999998</v>
      </c>
      <c r="C12">
        <v>3466.0070000000001</v>
      </c>
      <c r="D12">
        <v>3019.3130000000001</v>
      </c>
      <c r="E12">
        <v>3745.17</v>
      </c>
      <c r="F12">
        <v>3458.8989999999999</v>
      </c>
      <c r="H12" s="2">
        <f t="shared" si="0"/>
        <v>3435.9021999999995</v>
      </c>
      <c r="I12" s="2">
        <f t="shared" si="1"/>
        <v>116.95470751081375</v>
      </c>
      <c r="K12">
        <v>2.5</v>
      </c>
      <c r="L12">
        <v>3823.3240000000001</v>
      </c>
      <c r="M12">
        <v>2608.2559999999999</v>
      </c>
      <c r="N12">
        <v>2766.18</v>
      </c>
      <c r="O12">
        <v>2789.6909999999998</v>
      </c>
      <c r="P12">
        <v>3421.4780000000001</v>
      </c>
      <c r="R12" s="3">
        <f t="shared" si="2"/>
        <v>3081.7858000000001</v>
      </c>
      <c r="S12" s="3">
        <f t="shared" si="3"/>
        <v>231.77861824042373</v>
      </c>
    </row>
    <row r="13" spans="1:19" x14ac:dyDescent="0.25">
      <c r="A13">
        <v>3.75</v>
      </c>
      <c r="B13">
        <v>3686.9050000000002</v>
      </c>
      <c r="C13">
        <v>3681.7139999999999</v>
      </c>
      <c r="D13">
        <v>3272.3870000000002</v>
      </c>
      <c r="E13">
        <v>4059.3609999999999</v>
      </c>
      <c r="F13">
        <v>3753.2979999999998</v>
      </c>
      <c r="H13" s="2">
        <f t="shared" si="0"/>
        <v>3690.7330000000002</v>
      </c>
      <c r="I13" s="2">
        <f t="shared" si="1"/>
        <v>125.48114465329037</v>
      </c>
      <c r="K13">
        <v>3.75</v>
      </c>
      <c r="L13">
        <v>3787.8910000000001</v>
      </c>
      <c r="M13">
        <v>2821.346</v>
      </c>
      <c r="N13">
        <v>2933.7170000000001</v>
      </c>
      <c r="O13">
        <v>3009.451</v>
      </c>
      <c r="P13">
        <v>3510.74</v>
      </c>
      <c r="R13" s="3">
        <f t="shared" si="2"/>
        <v>3212.6289999999999</v>
      </c>
      <c r="S13" s="3">
        <f t="shared" si="3"/>
        <v>186.00700611563127</v>
      </c>
    </row>
    <row r="14" spans="1:19" x14ac:dyDescent="0.25">
      <c r="A14">
        <v>5</v>
      </c>
      <c r="B14">
        <v>3804.1590000000001</v>
      </c>
      <c r="C14">
        <v>3735.0970000000002</v>
      </c>
      <c r="D14">
        <v>3373.3789999999999</v>
      </c>
      <c r="E14">
        <v>4221.3490000000002</v>
      </c>
      <c r="F14">
        <v>3899.732</v>
      </c>
      <c r="H14" s="2">
        <f t="shared" si="0"/>
        <v>3806.7431999999999</v>
      </c>
      <c r="I14" s="2">
        <f t="shared" si="1"/>
        <v>136.65454112922851</v>
      </c>
      <c r="K14">
        <v>5</v>
      </c>
      <c r="L14">
        <v>3709.3139999999999</v>
      </c>
      <c r="M14">
        <v>2882.8670000000002</v>
      </c>
      <c r="N14">
        <v>2966.0810000000001</v>
      </c>
      <c r="O14">
        <v>3045.3829999999998</v>
      </c>
      <c r="P14">
        <v>3500.366</v>
      </c>
      <c r="R14" s="3">
        <f t="shared" si="2"/>
        <v>3220.8022000000001</v>
      </c>
      <c r="S14" s="3">
        <f t="shared" si="3"/>
        <v>162.27363955165282</v>
      </c>
    </row>
    <row r="15" spans="1:19" x14ac:dyDescent="0.25">
      <c r="A15">
        <v>6.25</v>
      </c>
      <c r="B15">
        <v>3846.6109999999999</v>
      </c>
      <c r="C15">
        <v>3737.06</v>
      </c>
      <c r="D15">
        <v>3396.2420000000002</v>
      </c>
      <c r="E15">
        <v>4250.3040000000001</v>
      </c>
      <c r="F15">
        <v>3938.1860000000001</v>
      </c>
      <c r="H15" s="2">
        <f t="shared" si="0"/>
        <v>3833.6806000000006</v>
      </c>
      <c r="I15" s="2">
        <f t="shared" si="1"/>
        <v>138.80772680495849</v>
      </c>
      <c r="K15">
        <v>6.25</v>
      </c>
      <c r="L15">
        <v>3681.4380000000001</v>
      </c>
      <c r="M15">
        <v>2854.4540000000002</v>
      </c>
      <c r="N15">
        <v>2930.2750000000001</v>
      </c>
      <c r="O15">
        <v>2962.4960000000001</v>
      </c>
      <c r="P15">
        <v>3450.1759999999999</v>
      </c>
      <c r="R15" s="3">
        <f t="shared" si="2"/>
        <v>3175.7678000000001</v>
      </c>
      <c r="S15" s="3">
        <f t="shared" si="3"/>
        <v>164.31621115897261</v>
      </c>
    </row>
    <row r="16" spans="1:19" x14ac:dyDescent="0.25">
      <c r="A16">
        <v>7.5</v>
      </c>
      <c r="B16">
        <v>3754.0949999999998</v>
      </c>
      <c r="C16">
        <v>3649.1550000000002</v>
      </c>
      <c r="D16">
        <v>3309.1689999999999</v>
      </c>
      <c r="E16">
        <v>4116.7190000000001</v>
      </c>
      <c r="F16">
        <v>3827.8760000000002</v>
      </c>
      <c r="H16" s="2">
        <f t="shared" si="0"/>
        <v>3731.4027999999998</v>
      </c>
      <c r="I16" s="2">
        <f t="shared" si="1"/>
        <v>131.02226351059582</v>
      </c>
      <c r="K16">
        <v>7.5</v>
      </c>
      <c r="L16">
        <v>3616.6320000000001</v>
      </c>
      <c r="M16">
        <v>2712.8110000000001</v>
      </c>
      <c r="N16">
        <v>2829.1460000000002</v>
      </c>
      <c r="O16">
        <v>2844.337</v>
      </c>
      <c r="P16">
        <v>3359.3710000000001</v>
      </c>
      <c r="R16" s="3">
        <f t="shared" si="2"/>
        <v>3072.4593999999997</v>
      </c>
      <c r="S16" s="3">
        <f t="shared" si="3"/>
        <v>175.93042608218872</v>
      </c>
    </row>
    <row r="17" spans="1:19" x14ac:dyDescent="0.25">
      <c r="A17">
        <v>8.75</v>
      </c>
      <c r="B17">
        <v>3477.8789999999999</v>
      </c>
      <c r="C17">
        <v>3396.8130000000001</v>
      </c>
      <c r="D17">
        <v>3042.0529999999999</v>
      </c>
      <c r="E17">
        <v>3770.5749999999998</v>
      </c>
      <c r="F17">
        <v>3532.2420000000002</v>
      </c>
      <c r="H17" s="2">
        <f t="shared" si="0"/>
        <v>3443.9123999999997</v>
      </c>
      <c r="I17" s="2">
        <f t="shared" si="1"/>
        <v>118.18917743160749</v>
      </c>
      <c r="K17">
        <v>8.75</v>
      </c>
      <c r="L17">
        <v>3430.28</v>
      </c>
      <c r="M17">
        <v>2520.7429999999999</v>
      </c>
      <c r="N17">
        <v>2629.0459999999998</v>
      </c>
      <c r="O17">
        <v>2647.8240000000001</v>
      </c>
      <c r="P17">
        <v>3131.6559999999999</v>
      </c>
      <c r="R17" s="3">
        <f t="shared" si="2"/>
        <v>2871.9097999999999</v>
      </c>
      <c r="S17" s="3">
        <f t="shared" si="3"/>
        <v>174.89436257306966</v>
      </c>
    </row>
    <row r="18" spans="1:19" x14ac:dyDescent="0.25">
      <c r="A18">
        <v>10</v>
      </c>
      <c r="B18">
        <v>3033.34</v>
      </c>
      <c r="C18">
        <v>2981.962</v>
      </c>
      <c r="D18">
        <v>2675.8510000000001</v>
      </c>
      <c r="E18">
        <v>3304.498</v>
      </c>
      <c r="F18">
        <v>3109.78</v>
      </c>
      <c r="H18" s="2">
        <f t="shared" si="0"/>
        <v>3021.0862000000002</v>
      </c>
      <c r="I18" s="2">
        <f t="shared" si="1"/>
        <v>102.23919025911735</v>
      </c>
      <c r="K18">
        <v>10</v>
      </c>
      <c r="L18">
        <v>3045.4879999999998</v>
      </c>
      <c r="M18">
        <v>2250.3510000000001</v>
      </c>
      <c r="N18">
        <v>2304.752</v>
      </c>
      <c r="O18">
        <v>2329.4679999999998</v>
      </c>
      <c r="P18">
        <v>2697.8229999999999</v>
      </c>
      <c r="R18" s="3">
        <f t="shared" si="2"/>
        <v>2525.5764000000004</v>
      </c>
      <c r="S18" s="3">
        <f t="shared" si="3"/>
        <v>152.1426804051373</v>
      </c>
    </row>
    <row r="19" spans="1:19" x14ac:dyDescent="0.25">
      <c r="A19">
        <v>11.25</v>
      </c>
      <c r="B19">
        <v>2792.8760000000002</v>
      </c>
      <c r="C19">
        <v>2660.7130000000002</v>
      </c>
      <c r="D19">
        <v>2422.1799999999998</v>
      </c>
      <c r="E19">
        <v>3002.991</v>
      </c>
      <c r="F19">
        <v>2822.9079999999999</v>
      </c>
      <c r="H19" s="2">
        <f t="shared" si="0"/>
        <v>2740.3335999999999</v>
      </c>
      <c r="I19" s="2">
        <f t="shared" si="1"/>
        <v>96.47002079537458</v>
      </c>
      <c r="K19">
        <v>11.25</v>
      </c>
      <c r="L19">
        <v>2722.3139999999999</v>
      </c>
      <c r="M19">
        <v>2032.1010000000001</v>
      </c>
      <c r="N19">
        <v>2074.8110000000001</v>
      </c>
      <c r="O19">
        <v>2103.7860000000001</v>
      </c>
      <c r="P19">
        <v>2437.7040000000002</v>
      </c>
      <c r="R19" s="3">
        <f t="shared" si="2"/>
        <v>2274.1432</v>
      </c>
      <c r="S19" s="3">
        <f t="shared" si="3"/>
        <v>133.21946730842285</v>
      </c>
    </row>
    <row r="20" spans="1:19" x14ac:dyDescent="0.25">
      <c r="A20">
        <v>12.5</v>
      </c>
      <c r="B20">
        <v>2603.694</v>
      </c>
      <c r="C20">
        <v>2472.3150000000001</v>
      </c>
      <c r="D20">
        <v>2276.31</v>
      </c>
      <c r="E20">
        <v>2813.3539999999998</v>
      </c>
      <c r="F20">
        <v>2648.0680000000002</v>
      </c>
      <c r="H20" s="2">
        <f t="shared" si="0"/>
        <v>2562.7481999999995</v>
      </c>
      <c r="I20" s="2">
        <f t="shared" si="1"/>
        <v>89.995638751219474</v>
      </c>
      <c r="K20">
        <v>12.5</v>
      </c>
      <c r="L20">
        <v>2517.2539999999999</v>
      </c>
      <c r="M20">
        <v>1900.0360000000001</v>
      </c>
      <c r="N20">
        <v>1910.6679999999999</v>
      </c>
      <c r="O20">
        <v>1946.0150000000001</v>
      </c>
      <c r="P20">
        <v>2245.4479999999999</v>
      </c>
      <c r="R20" s="3">
        <f t="shared" si="2"/>
        <v>2103.8842</v>
      </c>
      <c r="S20" s="3">
        <f t="shared" si="3"/>
        <v>121.39278683612096</v>
      </c>
    </row>
    <row r="21" spans="1:19" x14ac:dyDescent="0.25">
      <c r="A21">
        <v>13.75</v>
      </c>
      <c r="B21">
        <v>2538.8380000000002</v>
      </c>
      <c r="C21">
        <v>2412.0709999999999</v>
      </c>
      <c r="D21">
        <v>2225.9</v>
      </c>
      <c r="E21">
        <v>2761.3890000000001</v>
      </c>
      <c r="F21">
        <v>2583.3389999999999</v>
      </c>
      <c r="H21" s="2">
        <f t="shared" si="0"/>
        <v>2504.3074000000001</v>
      </c>
      <c r="I21" s="2">
        <f t="shared" si="1"/>
        <v>89.316162885896532</v>
      </c>
      <c r="K21">
        <v>13.75</v>
      </c>
      <c r="L21">
        <v>2407.6909999999998</v>
      </c>
      <c r="M21">
        <v>1837.5740000000001</v>
      </c>
      <c r="N21">
        <v>1850.1869999999999</v>
      </c>
      <c r="O21">
        <v>1889.0719999999999</v>
      </c>
      <c r="P21">
        <v>2181.8820000000001</v>
      </c>
      <c r="R21" s="3">
        <f t="shared" si="2"/>
        <v>2033.2811999999999</v>
      </c>
      <c r="S21" s="3">
        <f t="shared" si="3"/>
        <v>112.8906514435097</v>
      </c>
    </row>
    <row r="22" spans="1:19" x14ac:dyDescent="0.25">
      <c r="A22">
        <v>15</v>
      </c>
      <c r="B22">
        <v>2520.4830000000002</v>
      </c>
      <c r="C22">
        <v>2405.4659999999999</v>
      </c>
      <c r="D22">
        <v>2216.145</v>
      </c>
      <c r="E22">
        <v>2762.346</v>
      </c>
      <c r="F22">
        <v>2581.288</v>
      </c>
      <c r="H22" s="2">
        <f t="shared" si="0"/>
        <v>2497.1456000000003</v>
      </c>
      <c r="I22" s="2">
        <f t="shared" si="1"/>
        <v>90.918181936618168</v>
      </c>
      <c r="K22">
        <v>15</v>
      </c>
      <c r="L22">
        <v>2385.7399999999998</v>
      </c>
      <c r="M22">
        <v>1825.2349999999999</v>
      </c>
      <c r="N22">
        <v>1837.662</v>
      </c>
      <c r="O22">
        <v>1875.98</v>
      </c>
      <c r="P22">
        <v>2174.1570000000002</v>
      </c>
      <c r="R22" s="3">
        <f t="shared" si="2"/>
        <v>2019.7548000000002</v>
      </c>
      <c r="S22" s="3">
        <f t="shared" si="3"/>
        <v>111.68082635412256</v>
      </c>
    </row>
    <row r="23" spans="1:19" x14ac:dyDescent="0.25">
      <c r="A23">
        <v>16.25</v>
      </c>
      <c r="B23">
        <v>2526.62</v>
      </c>
      <c r="C23">
        <v>2417.5740000000001</v>
      </c>
      <c r="D23">
        <v>2224.2620000000002</v>
      </c>
      <c r="E23">
        <v>2769.5549999999998</v>
      </c>
      <c r="F23">
        <v>2597.7950000000001</v>
      </c>
      <c r="H23" s="2">
        <f t="shared" si="0"/>
        <v>2507.1612</v>
      </c>
      <c r="I23" s="2">
        <f t="shared" si="1"/>
        <v>90.967428413361162</v>
      </c>
      <c r="K23">
        <v>16.25</v>
      </c>
      <c r="L23">
        <v>2393.4360000000001</v>
      </c>
      <c r="M23">
        <v>1826.712</v>
      </c>
      <c r="N23">
        <v>1847.6579999999999</v>
      </c>
      <c r="O23">
        <v>1881.1020000000001</v>
      </c>
      <c r="P23">
        <v>2191.4679999999998</v>
      </c>
      <c r="R23" s="3">
        <f t="shared" si="2"/>
        <v>2028.0752</v>
      </c>
      <c r="S23" s="3">
        <f t="shared" si="3"/>
        <v>112.89028903249391</v>
      </c>
    </row>
    <row r="24" spans="1:19" x14ac:dyDescent="0.25">
      <c r="A24">
        <v>17.5</v>
      </c>
      <c r="B24">
        <v>2543.3049999999998</v>
      </c>
      <c r="C24">
        <v>2430.3110000000001</v>
      </c>
      <c r="D24">
        <v>2246.748</v>
      </c>
      <c r="E24">
        <v>2784.0549999999998</v>
      </c>
      <c r="F24">
        <v>2612.6129999999998</v>
      </c>
      <c r="H24" s="2">
        <f t="shared" si="0"/>
        <v>2523.4063999999998</v>
      </c>
      <c r="I24" s="2">
        <f t="shared" si="1"/>
        <v>89.860471910401131</v>
      </c>
      <c r="K24">
        <v>17.5</v>
      </c>
      <c r="L24">
        <v>2409.4299999999998</v>
      </c>
      <c r="M24">
        <v>1840.327</v>
      </c>
      <c r="N24">
        <v>1866.4590000000001</v>
      </c>
      <c r="O24">
        <v>1895.181</v>
      </c>
      <c r="P24">
        <v>2205.3409999999999</v>
      </c>
      <c r="R24" s="3">
        <f t="shared" si="2"/>
        <v>2043.3475999999998</v>
      </c>
      <c r="S24" s="3">
        <f t="shared" si="3"/>
        <v>112.85354833216462</v>
      </c>
    </row>
    <row r="25" spans="1:19" x14ac:dyDescent="0.25">
      <c r="A25">
        <v>18.75</v>
      </c>
      <c r="B25">
        <v>2564.808</v>
      </c>
      <c r="C25">
        <v>2447.81</v>
      </c>
      <c r="D25">
        <v>2263.393</v>
      </c>
      <c r="E25">
        <v>2810.5659999999998</v>
      </c>
      <c r="F25">
        <v>2638.6880000000001</v>
      </c>
      <c r="H25" s="2">
        <f t="shared" si="0"/>
        <v>2545.0530000000003</v>
      </c>
      <c r="I25" s="2">
        <f t="shared" si="1"/>
        <v>91.772404095130867</v>
      </c>
      <c r="K25">
        <v>18.75</v>
      </c>
      <c r="L25">
        <v>2446.4369999999999</v>
      </c>
      <c r="M25">
        <v>1868.835</v>
      </c>
      <c r="N25">
        <v>1893.268</v>
      </c>
      <c r="O25">
        <v>1911.307</v>
      </c>
      <c r="P25">
        <v>2224.9740000000002</v>
      </c>
      <c r="R25" s="3">
        <f t="shared" si="2"/>
        <v>2068.9641999999999</v>
      </c>
      <c r="S25" s="3">
        <f t="shared" si="3"/>
        <v>114.58652113900658</v>
      </c>
    </row>
    <row r="26" spans="1:19" x14ac:dyDescent="0.25">
      <c r="A26">
        <v>20</v>
      </c>
      <c r="B26">
        <v>2588.3449999999998</v>
      </c>
      <c r="C26">
        <v>2463.4229999999998</v>
      </c>
      <c r="D26">
        <v>2283.748</v>
      </c>
      <c r="E26">
        <v>2827.326</v>
      </c>
      <c r="F26">
        <v>2660.6570000000002</v>
      </c>
      <c r="H26" s="2">
        <f t="shared" si="0"/>
        <v>2564.6997999999999</v>
      </c>
      <c r="I26" s="2">
        <f t="shared" si="1"/>
        <v>91.632500997953784</v>
      </c>
      <c r="K26">
        <v>20</v>
      </c>
      <c r="L26">
        <v>2477.1579999999999</v>
      </c>
      <c r="M26">
        <v>1888.191</v>
      </c>
      <c r="N26">
        <v>1919.991</v>
      </c>
      <c r="O26">
        <v>1923.134</v>
      </c>
      <c r="P26">
        <v>2243.5039999999999</v>
      </c>
      <c r="R26" s="3">
        <f t="shared" si="2"/>
        <v>2090.3955999999998</v>
      </c>
      <c r="S26" s="3">
        <f t="shared" si="3"/>
        <v>116.38904738015633</v>
      </c>
    </row>
    <row r="27" spans="1:19" x14ac:dyDescent="0.25">
      <c r="A27">
        <v>21.25</v>
      </c>
      <c r="B27">
        <v>2601.9459999999999</v>
      </c>
      <c r="C27">
        <v>2484.808</v>
      </c>
      <c r="D27">
        <v>2292.6860000000001</v>
      </c>
      <c r="E27">
        <v>2844.7730000000001</v>
      </c>
      <c r="F27">
        <v>2684.8530000000001</v>
      </c>
      <c r="H27" s="2">
        <f t="shared" si="0"/>
        <v>2581.8131999999996</v>
      </c>
      <c r="I27" s="2">
        <f t="shared" si="1"/>
        <v>93.05238660098945</v>
      </c>
      <c r="K27">
        <v>21.25</v>
      </c>
      <c r="L27">
        <v>2481.4780000000001</v>
      </c>
      <c r="M27">
        <v>1902.9659999999999</v>
      </c>
      <c r="N27">
        <v>1931.223</v>
      </c>
      <c r="O27">
        <v>1931.6379999999999</v>
      </c>
      <c r="P27">
        <v>2261.3470000000002</v>
      </c>
      <c r="R27" s="3">
        <f t="shared" si="2"/>
        <v>2101.7303999999999</v>
      </c>
      <c r="S27" s="3">
        <f t="shared" si="3"/>
        <v>115.58485701016393</v>
      </c>
    </row>
    <row r="28" spans="1:19" x14ac:dyDescent="0.25">
      <c r="A28">
        <v>22.5</v>
      </c>
      <c r="B28">
        <v>2614.2339999999999</v>
      </c>
      <c r="C28">
        <v>2502.3629999999998</v>
      </c>
      <c r="D28">
        <v>2319.0889999999999</v>
      </c>
      <c r="E28">
        <v>2854.047</v>
      </c>
      <c r="F28">
        <v>2706.788</v>
      </c>
      <c r="H28" s="2">
        <f t="shared" si="0"/>
        <v>2599.3042</v>
      </c>
      <c r="I28" s="2">
        <f t="shared" si="1"/>
        <v>90.715961911562204</v>
      </c>
      <c r="K28">
        <v>22.5</v>
      </c>
      <c r="L28">
        <v>2480.23</v>
      </c>
      <c r="M28">
        <v>1908.14</v>
      </c>
      <c r="N28">
        <v>1932.472</v>
      </c>
      <c r="O28">
        <v>1937.5160000000001</v>
      </c>
      <c r="P28">
        <v>2269.386</v>
      </c>
      <c r="R28" s="3">
        <f t="shared" si="2"/>
        <v>2105.5488</v>
      </c>
      <c r="S28" s="3">
        <f t="shared" si="3"/>
        <v>114.97596806046052</v>
      </c>
    </row>
    <row r="29" spans="1:19" x14ac:dyDescent="0.25">
      <c r="A29">
        <v>23.75</v>
      </c>
      <c r="B29">
        <v>2646.35</v>
      </c>
      <c r="C29">
        <v>2528.7600000000002</v>
      </c>
      <c r="D29">
        <v>2339.511</v>
      </c>
      <c r="E29">
        <v>2872.2620000000002</v>
      </c>
      <c r="F29">
        <v>2726.047</v>
      </c>
      <c r="H29" s="2">
        <f t="shared" si="0"/>
        <v>2622.5860000000002</v>
      </c>
      <c r="I29" s="2">
        <f t="shared" si="1"/>
        <v>90.150370241613558</v>
      </c>
      <c r="K29">
        <v>23.75</v>
      </c>
      <c r="L29">
        <v>2490.3000000000002</v>
      </c>
      <c r="M29">
        <v>1910.5139999999999</v>
      </c>
      <c r="N29">
        <v>1946.989</v>
      </c>
      <c r="O29">
        <v>1954.5940000000001</v>
      </c>
      <c r="P29">
        <v>2275.3029999999999</v>
      </c>
      <c r="R29" s="3">
        <f t="shared" si="2"/>
        <v>2115.54</v>
      </c>
      <c r="S29" s="3">
        <f t="shared" si="3"/>
        <v>114.52466742191359</v>
      </c>
    </row>
    <row r="30" spans="1:19" x14ac:dyDescent="0.25">
      <c r="A30">
        <v>25</v>
      </c>
      <c r="B30">
        <v>2669.09</v>
      </c>
      <c r="C30">
        <v>2557.0010000000002</v>
      </c>
      <c r="D30">
        <v>2363.4899999999998</v>
      </c>
      <c r="E30">
        <v>2901.835</v>
      </c>
      <c r="F30">
        <v>2742.3290000000002</v>
      </c>
      <c r="H30" s="2">
        <f t="shared" si="0"/>
        <v>2646.7490000000003</v>
      </c>
      <c r="I30" s="2">
        <f t="shared" si="1"/>
        <v>90.27565803194129</v>
      </c>
      <c r="K30">
        <v>25</v>
      </c>
      <c r="L30">
        <v>2516.143</v>
      </c>
      <c r="M30">
        <v>1921.27</v>
      </c>
      <c r="N30">
        <v>1968.8710000000001</v>
      </c>
      <c r="O30">
        <v>1978.2909999999999</v>
      </c>
      <c r="P30">
        <v>2282.1019999999999</v>
      </c>
      <c r="R30" s="3">
        <f t="shared" si="2"/>
        <v>2133.3353999999999</v>
      </c>
      <c r="S30" s="3">
        <f t="shared" si="3"/>
        <v>115.05046688501596</v>
      </c>
    </row>
    <row r="31" spans="1:19" x14ac:dyDescent="0.25">
      <c r="A31">
        <v>26.25</v>
      </c>
      <c r="B31">
        <v>2697.027</v>
      </c>
      <c r="C31">
        <v>2584.2979999999998</v>
      </c>
      <c r="D31">
        <v>2375.5430000000001</v>
      </c>
      <c r="E31">
        <v>2920.83</v>
      </c>
      <c r="F31">
        <v>2761.768</v>
      </c>
      <c r="H31" s="2">
        <f t="shared" si="0"/>
        <v>2667.8932</v>
      </c>
      <c r="I31" s="2">
        <f t="shared" si="1"/>
        <v>91.130422492930407</v>
      </c>
      <c r="K31">
        <v>26.25</v>
      </c>
      <c r="L31">
        <v>2548.1379999999999</v>
      </c>
      <c r="M31">
        <v>1943.703</v>
      </c>
      <c r="N31">
        <v>1985.9010000000001</v>
      </c>
      <c r="O31">
        <v>1998.241</v>
      </c>
      <c r="P31">
        <v>2289.3649999999998</v>
      </c>
      <c r="R31" s="3">
        <f t="shared" si="2"/>
        <v>2153.0695999999998</v>
      </c>
      <c r="S31" s="3">
        <f t="shared" si="3"/>
        <v>116.27705838625226</v>
      </c>
    </row>
    <row r="32" spans="1:19" x14ac:dyDescent="0.25">
      <c r="A32">
        <v>27.5</v>
      </c>
      <c r="B32">
        <v>2708.5990000000002</v>
      </c>
      <c r="C32">
        <v>2594.4630000000002</v>
      </c>
      <c r="D32">
        <v>2385.3150000000001</v>
      </c>
      <c r="E32">
        <v>2916.85</v>
      </c>
      <c r="F32">
        <v>2771.7269999999999</v>
      </c>
      <c r="H32" s="2">
        <f t="shared" si="0"/>
        <v>2675.3908000000001</v>
      </c>
      <c r="I32" s="2">
        <f t="shared" si="1"/>
        <v>89.2690516922858</v>
      </c>
      <c r="K32">
        <v>27.5</v>
      </c>
      <c r="L32">
        <v>2567.0079999999998</v>
      </c>
      <c r="M32">
        <v>1968.7059999999999</v>
      </c>
      <c r="N32">
        <v>1993.665</v>
      </c>
      <c r="O32">
        <v>2005.213</v>
      </c>
      <c r="P32">
        <v>2314.5889999999999</v>
      </c>
      <c r="R32" s="3">
        <f t="shared" si="2"/>
        <v>2169.8362000000002</v>
      </c>
      <c r="S32" s="3">
        <f t="shared" si="3"/>
        <v>117.74745408347336</v>
      </c>
    </row>
    <row r="33" spans="1:19" x14ac:dyDescent="0.25">
      <c r="A33">
        <v>28.75</v>
      </c>
      <c r="B33">
        <v>2721.3</v>
      </c>
      <c r="C33">
        <v>2614.19</v>
      </c>
      <c r="D33">
        <v>2410.0540000000001</v>
      </c>
      <c r="E33">
        <v>2910.248</v>
      </c>
      <c r="F33">
        <v>2786.7060000000001</v>
      </c>
      <c r="H33" s="2">
        <f t="shared" si="0"/>
        <v>2688.4996000000001</v>
      </c>
      <c r="I33" s="2">
        <f t="shared" si="1"/>
        <v>84.541878662352886</v>
      </c>
      <c r="K33">
        <v>28.75</v>
      </c>
      <c r="L33">
        <v>2579.694</v>
      </c>
      <c r="M33">
        <v>2001.8130000000001</v>
      </c>
      <c r="N33">
        <v>2000.627</v>
      </c>
      <c r="O33">
        <v>2008.703</v>
      </c>
      <c r="P33">
        <v>2343.2069999999999</v>
      </c>
      <c r="R33" s="3">
        <f t="shared" si="2"/>
        <v>2186.8087999999998</v>
      </c>
      <c r="S33" s="3">
        <f t="shared" si="3"/>
        <v>118.200668780849</v>
      </c>
    </row>
    <row r="34" spans="1:19" x14ac:dyDescent="0.25">
      <c r="A34">
        <v>30</v>
      </c>
      <c r="B34">
        <v>2726.8040000000001</v>
      </c>
      <c r="C34">
        <v>2628.2950000000001</v>
      </c>
      <c r="D34">
        <v>2426.2669999999998</v>
      </c>
      <c r="E34">
        <v>2914.7469999999998</v>
      </c>
      <c r="F34">
        <v>2804.8310000000001</v>
      </c>
      <c r="H34" s="2">
        <f t="shared" si="0"/>
        <v>2700.1887999999999</v>
      </c>
      <c r="I34" s="2">
        <f t="shared" si="1"/>
        <v>83.034767137868243</v>
      </c>
      <c r="K34">
        <v>30</v>
      </c>
      <c r="L34">
        <v>2587.4270000000001</v>
      </c>
      <c r="M34">
        <v>2029.9960000000001</v>
      </c>
      <c r="N34">
        <v>2006.2349999999999</v>
      </c>
      <c r="O34">
        <v>2021.5440000000001</v>
      </c>
      <c r="P34">
        <v>2360.9459999999999</v>
      </c>
      <c r="R34" s="3">
        <f t="shared" si="2"/>
        <v>2201.2296000000001</v>
      </c>
      <c r="S34" s="3">
        <f t="shared" si="3"/>
        <v>117.1086066096756</v>
      </c>
    </row>
    <row r="35" spans="1:19" x14ac:dyDescent="0.25">
      <c r="A35">
        <v>31.25</v>
      </c>
      <c r="B35">
        <v>2731.6869999999999</v>
      </c>
      <c r="C35">
        <v>2636.71</v>
      </c>
      <c r="D35">
        <v>2435.4229999999998</v>
      </c>
      <c r="E35">
        <v>2908.1280000000002</v>
      </c>
      <c r="F35">
        <v>2813.627</v>
      </c>
      <c r="H35" s="2">
        <f t="shared" si="0"/>
        <v>2705.1150000000002</v>
      </c>
      <c r="I35" s="2">
        <f t="shared" si="1"/>
        <v>80.965493386380388</v>
      </c>
      <c r="K35">
        <v>31.25</v>
      </c>
      <c r="L35">
        <v>2606.1109999999999</v>
      </c>
      <c r="M35">
        <v>2043.0889999999999</v>
      </c>
      <c r="N35">
        <v>2007.0540000000001</v>
      </c>
      <c r="O35">
        <v>2025.144</v>
      </c>
      <c r="P35">
        <v>2356.5929999999998</v>
      </c>
      <c r="R35" s="3">
        <f t="shared" si="2"/>
        <v>2207.5981999999995</v>
      </c>
      <c r="S35" s="3">
        <f t="shared" si="3"/>
        <v>118.65552880645852</v>
      </c>
    </row>
    <row r="36" spans="1:19" x14ac:dyDescent="0.25">
      <c r="A36">
        <v>32.5</v>
      </c>
      <c r="B36">
        <v>2725.1660000000002</v>
      </c>
      <c r="C36">
        <v>2629.2310000000002</v>
      </c>
      <c r="D36">
        <v>2418.71</v>
      </c>
      <c r="E36">
        <v>2897.7829999999999</v>
      </c>
      <c r="F36">
        <v>2813.1930000000002</v>
      </c>
      <c r="H36" s="2">
        <f t="shared" si="0"/>
        <v>2696.8166000000006</v>
      </c>
      <c r="I36" s="2">
        <f t="shared" si="1"/>
        <v>82.657650334739117</v>
      </c>
      <c r="K36">
        <v>32.5</v>
      </c>
      <c r="L36">
        <v>2606.047</v>
      </c>
      <c r="M36">
        <v>2035.56</v>
      </c>
      <c r="N36">
        <v>1999.8150000000001</v>
      </c>
      <c r="O36">
        <v>2017.636</v>
      </c>
      <c r="P36">
        <v>2343.4960000000001</v>
      </c>
      <c r="R36" s="3">
        <f t="shared" si="2"/>
        <v>2200.5108</v>
      </c>
      <c r="S36" s="3">
        <f t="shared" si="3"/>
        <v>119.5481367405615</v>
      </c>
    </row>
    <row r="37" spans="1:19" x14ac:dyDescent="0.25">
      <c r="A37">
        <v>33.75</v>
      </c>
      <c r="B37">
        <v>2699.2060000000001</v>
      </c>
      <c r="C37">
        <v>2600.4479999999999</v>
      </c>
      <c r="D37">
        <v>2394.143</v>
      </c>
      <c r="E37">
        <v>2867.8649999999998</v>
      </c>
      <c r="F37">
        <v>2786.1610000000001</v>
      </c>
      <c r="H37" s="2">
        <f t="shared" si="0"/>
        <v>2669.5646000000002</v>
      </c>
      <c r="I37" s="2">
        <f t="shared" si="1"/>
        <v>81.98492052481356</v>
      </c>
      <c r="K37">
        <v>33.75</v>
      </c>
      <c r="L37">
        <v>2588.9810000000002</v>
      </c>
      <c r="M37">
        <v>2009.498</v>
      </c>
      <c r="N37">
        <v>1975.1469999999999</v>
      </c>
      <c r="O37">
        <v>2001.7909999999999</v>
      </c>
      <c r="P37">
        <v>2309.6320000000001</v>
      </c>
      <c r="R37" s="3">
        <f t="shared" si="2"/>
        <v>2177.0097999999998</v>
      </c>
      <c r="S37" s="3">
        <f t="shared" si="3"/>
        <v>119.75377626588704</v>
      </c>
    </row>
    <row r="38" spans="1:19" x14ac:dyDescent="0.25">
      <c r="A38">
        <v>35</v>
      </c>
      <c r="B38">
        <v>2627.1350000000002</v>
      </c>
      <c r="C38">
        <v>2529.8409999999999</v>
      </c>
      <c r="D38">
        <v>2330.056</v>
      </c>
      <c r="E38">
        <v>2788.5720000000001</v>
      </c>
      <c r="F38">
        <v>2703.1219999999998</v>
      </c>
      <c r="H38" s="2">
        <f t="shared" si="0"/>
        <v>2595.7452000000003</v>
      </c>
      <c r="I38" s="2">
        <f t="shared" si="1"/>
        <v>78.940289489841632</v>
      </c>
      <c r="K38">
        <v>35</v>
      </c>
      <c r="L38">
        <v>2529.3809999999999</v>
      </c>
      <c r="M38">
        <v>1965.546</v>
      </c>
      <c r="N38">
        <v>1921.798</v>
      </c>
      <c r="O38">
        <v>1954.5450000000001</v>
      </c>
      <c r="P38">
        <v>2252.1260000000002</v>
      </c>
      <c r="R38" s="3">
        <f t="shared" si="2"/>
        <v>2124.6792</v>
      </c>
      <c r="S38" s="3">
        <f t="shared" si="3"/>
        <v>117.35758101179472</v>
      </c>
    </row>
    <row r="39" spans="1:19" x14ac:dyDescent="0.25">
      <c r="A39">
        <v>36.25</v>
      </c>
      <c r="B39">
        <v>2512.4810000000002</v>
      </c>
      <c r="C39">
        <v>2411.288</v>
      </c>
      <c r="D39">
        <v>2229.1770000000001</v>
      </c>
      <c r="E39">
        <v>2660.2669999999998</v>
      </c>
      <c r="F39">
        <v>2585.7710000000002</v>
      </c>
      <c r="H39" s="2">
        <f t="shared" si="0"/>
        <v>2479.7968000000001</v>
      </c>
      <c r="I39" s="2">
        <f t="shared" si="1"/>
        <v>74.957328165029963</v>
      </c>
      <c r="K39">
        <v>36.25</v>
      </c>
      <c r="L39">
        <v>2406.0889999999999</v>
      </c>
      <c r="M39">
        <v>1884.211</v>
      </c>
      <c r="N39">
        <v>1854.7940000000001</v>
      </c>
      <c r="O39">
        <v>1860.6389999999999</v>
      </c>
      <c r="P39">
        <v>2151.3629999999998</v>
      </c>
      <c r="R39" s="3">
        <f t="shared" si="2"/>
        <v>2031.4191999999998</v>
      </c>
      <c r="S39" s="3">
        <f t="shared" si="3"/>
        <v>108.81097516445669</v>
      </c>
    </row>
    <row r="40" spans="1:19" x14ac:dyDescent="0.25">
      <c r="A40">
        <v>37.5</v>
      </c>
      <c r="B40">
        <v>2372.0889999999999</v>
      </c>
      <c r="C40">
        <v>2259.4830000000002</v>
      </c>
      <c r="D40">
        <v>2110.5</v>
      </c>
      <c r="E40">
        <v>2496.19</v>
      </c>
      <c r="F40">
        <v>2440.7080000000001</v>
      </c>
      <c r="H40" s="2">
        <f t="shared" si="0"/>
        <v>2335.7940000000003</v>
      </c>
      <c r="I40" s="2">
        <f t="shared" si="1"/>
        <v>68.78659258678249</v>
      </c>
      <c r="K40">
        <v>37.5</v>
      </c>
      <c r="L40">
        <v>2260.5819999999999</v>
      </c>
      <c r="M40">
        <v>1774.375</v>
      </c>
      <c r="N40">
        <v>1744.5920000000001</v>
      </c>
      <c r="O40">
        <v>1742.6130000000001</v>
      </c>
      <c r="P40">
        <v>2005.828</v>
      </c>
      <c r="R40" s="3">
        <f t="shared" si="2"/>
        <v>1905.598</v>
      </c>
      <c r="S40" s="3">
        <f t="shared" si="3"/>
        <v>101.43130955134139</v>
      </c>
    </row>
    <row r="41" spans="1:19" x14ac:dyDescent="0.25">
      <c r="A41">
        <v>38.75</v>
      </c>
      <c r="B41">
        <v>2214.0410000000002</v>
      </c>
      <c r="C41">
        <v>2118.0940000000001</v>
      </c>
      <c r="D41">
        <v>1961.3320000000001</v>
      </c>
      <c r="E41">
        <v>2322.6149999999998</v>
      </c>
      <c r="F41">
        <v>2278.9209999999998</v>
      </c>
      <c r="H41" s="2">
        <f t="shared" si="0"/>
        <v>2179.0006000000003</v>
      </c>
      <c r="I41" s="2">
        <f t="shared" si="1"/>
        <v>64.391864860865724</v>
      </c>
      <c r="K41">
        <v>38.75</v>
      </c>
      <c r="L41">
        <v>2100.4760000000001</v>
      </c>
      <c r="M41">
        <v>1645.905</v>
      </c>
      <c r="N41">
        <v>1623.127</v>
      </c>
      <c r="O41">
        <v>1618.171</v>
      </c>
      <c r="P41">
        <v>1852.72</v>
      </c>
      <c r="R41" s="3">
        <f t="shared" si="2"/>
        <v>1768.0798</v>
      </c>
      <c r="S41" s="3">
        <f t="shared" si="3"/>
        <v>93.824794572331356</v>
      </c>
    </row>
    <row r="42" spans="1:19" x14ac:dyDescent="0.25">
      <c r="A42">
        <v>40</v>
      </c>
      <c r="B42">
        <v>2106.732</v>
      </c>
      <c r="C42">
        <v>2023.2919999999999</v>
      </c>
      <c r="D42">
        <v>1869.0450000000001</v>
      </c>
      <c r="E42">
        <v>2226.2930000000001</v>
      </c>
      <c r="F42">
        <v>2169.81</v>
      </c>
      <c r="H42" s="2">
        <f t="shared" si="0"/>
        <v>2079.0343999999996</v>
      </c>
      <c r="I42" s="2">
        <f t="shared" si="1"/>
        <v>62.408022379017901</v>
      </c>
      <c r="K42">
        <v>40</v>
      </c>
      <c r="L42">
        <v>2004.0619999999999</v>
      </c>
      <c r="M42">
        <v>1573.0360000000001</v>
      </c>
      <c r="N42">
        <v>1545.126</v>
      </c>
      <c r="O42">
        <v>1544.7850000000001</v>
      </c>
      <c r="P42">
        <v>1769.625</v>
      </c>
      <c r="R42" s="3">
        <f t="shared" si="2"/>
        <v>1687.3268</v>
      </c>
      <c r="S42" s="3">
        <f t="shared" si="3"/>
        <v>89.636990097504167</v>
      </c>
    </row>
    <row r="43" spans="1:19" x14ac:dyDescent="0.25">
      <c r="A43">
        <v>41.25</v>
      </c>
      <c r="B43">
        <v>2068.556</v>
      </c>
      <c r="C43">
        <v>1984.1089999999999</v>
      </c>
      <c r="D43">
        <v>1839.02</v>
      </c>
      <c r="E43">
        <v>2183.7020000000002</v>
      </c>
      <c r="F43">
        <v>2129.2280000000001</v>
      </c>
      <c r="H43" s="2">
        <f t="shared" si="0"/>
        <v>2040.923</v>
      </c>
      <c r="I43" s="2">
        <f t="shared" si="1"/>
        <v>60.390334723364504</v>
      </c>
      <c r="K43">
        <v>41.25</v>
      </c>
      <c r="L43">
        <v>1958.134</v>
      </c>
      <c r="M43">
        <v>1549.462</v>
      </c>
      <c r="N43">
        <v>1512.9480000000001</v>
      </c>
      <c r="O43">
        <v>1522.6220000000001</v>
      </c>
      <c r="P43">
        <v>1742.8440000000001</v>
      </c>
      <c r="R43" s="3">
        <f t="shared" si="2"/>
        <v>1657.202</v>
      </c>
      <c r="S43" s="3">
        <f t="shared" si="3"/>
        <v>86.146248120275672</v>
      </c>
    </row>
    <row r="44" spans="1:19" x14ac:dyDescent="0.25">
      <c r="A44">
        <v>42.5</v>
      </c>
      <c r="B44">
        <v>2055.1089999999999</v>
      </c>
      <c r="C44">
        <v>1979.5930000000001</v>
      </c>
      <c r="D44">
        <v>1829.9280000000001</v>
      </c>
      <c r="E44">
        <v>2173.5859999999998</v>
      </c>
      <c r="F44">
        <v>2135.1660000000002</v>
      </c>
      <c r="H44" s="2">
        <f t="shared" si="0"/>
        <v>2034.6764000000003</v>
      </c>
      <c r="I44" s="2">
        <f t="shared" si="1"/>
        <v>61.142299630125095</v>
      </c>
      <c r="K44">
        <v>42.5</v>
      </c>
      <c r="L44">
        <v>1952.8320000000001</v>
      </c>
      <c r="M44">
        <v>1557.4559999999999</v>
      </c>
      <c r="N44">
        <v>1509.172</v>
      </c>
      <c r="O44">
        <v>1530.7239999999999</v>
      </c>
      <c r="P44">
        <v>1737.41</v>
      </c>
      <c r="R44" s="3">
        <f t="shared" si="2"/>
        <v>1657.5188000000003</v>
      </c>
      <c r="S44" s="3">
        <f t="shared" si="3"/>
        <v>84.169100105917096</v>
      </c>
    </row>
    <row r="45" spans="1:19" x14ac:dyDescent="0.25">
      <c r="A45">
        <v>43.75</v>
      </c>
      <c r="B45">
        <v>2065.6970000000001</v>
      </c>
      <c r="C45">
        <v>1998.711</v>
      </c>
      <c r="D45">
        <v>1841.1990000000001</v>
      </c>
      <c r="E45">
        <v>2195.7809999999999</v>
      </c>
      <c r="F45">
        <v>2169.011</v>
      </c>
      <c r="H45" s="2">
        <f t="shared" si="0"/>
        <v>2054.0798</v>
      </c>
      <c r="I45" s="2">
        <f t="shared" si="1"/>
        <v>63.955964996550527</v>
      </c>
      <c r="K45">
        <v>43.75</v>
      </c>
      <c r="L45">
        <v>1974.817</v>
      </c>
      <c r="M45">
        <v>1579.7539999999999</v>
      </c>
      <c r="N45">
        <v>1524.0540000000001</v>
      </c>
      <c r="O45">
        <v>1548.8440000000001</v>
      </c>
      <c r="P45">
        <v>1758.98</v>
      </c>
      <c r="R45" s="3">
        <f t="shared" si="2"/>
        <v>1677.2898</v>
      </c>
      <c r="S45" s="3">
        <f t="shared" si="3"/>
        <v>85.055420090902828</v>
      </c>
    </row>
    <row r="46" spans="1:19" x14ac:dyDescent="0.25">
      <c r="A46">
        <v>45</v>
      </c>
      <c r="B46">
        <v>2103.7060000000001</v>
      </c>
      <c r="C46">
        <v>2040.5730000000001</v>
      </c>
      <c r="D46">
        <v>1878.7670000000001</v>
      </c>
      <c r="E46">
        <v>2248.9549999999999</v>
      </c>
      <c r="F46">
        <v>2214.75</v>
      </c>
      <c r="H46" s="2">
        <f t="shared" si="0"/>
        <v>2097.3501999999999</v>
      </c>
      <c r="I46" s="2">
        <f t="shared" si="1"/>
        <v>66.260618159959819</v>
      </c>
      <c r="K46">
        <v>45</v>
      </c>
      <c r="L46">
        <v>2020.9549999999999</v>
      </c>
      <c r="M46">
        <v>1614.347</v>
      </c>
      <c r="N46">
        <v>1558.44</v>
      </c>
      <c r="O46">
        <v>1582.5650000000001</v>
      </c>
      <c r="P46">
        <v>1807.3979999999999</v>
      </c>
      <c r="R46" s="3">
        <f t="shared" si="2"/>
        <v>1716.741</v>
      </c>
      <c r="S46" s="3">
        <f t="shared" si="3"/>
        <v>87.838427313448364</v>
      </c>
    </row>
    <row r="47" spans="1:19" x14ac:dyDescent="0.25">
      <c r="A47">
        <v>46.25</v>
      </c>
      <c r="B47">
        <v>2165.5129999999999</v>
      </c>
      <c r="C47">
        <v>2101.6770000000001</v>
      </c>
      <c r="D47">
        <v>1937.732</v>
      </c>
      <c r="E47">
        <v>2315.654</v>
      </c>
      <c r="F47">
        <v>2282.7979999999998</v>
      </c>
      <c r="H47" s="2">
        <f t="shared" si="0"/>
        <v>2160.6747999999998</v>
      </c>
      <c r="I47" s="2">
        <f t="shared" si="1"/>
        <v>67.8749840025027</v>
      </c>
      <c r="K47">
        <v>46.25</v>
      </c>
      <c r="L47">
        <v>2074.19</v>
      </c>
      <c r="M47">
        <v>1666.5250000000001</v>
      </c>
      <c r="N47">
        <v>1604.97</v>
      </c>
      <c r="O47">
        <v>1622.0830000000001</v>
      </c>
      <c r="P47">
        <v>1873.7139999999999</v>
      </c>
      <c r="R47" s="3">
        <f t="shared" si="2"/>
        <v>1768.2963999999999</v>
      </c>
      <c r="S47" s="3">
        <f t="shared" si="3"/>
        <v>90.303669373177769</v>
      </c>
    </row>
    <row r="48" spans="1:19" x14ac:dyDescent="0.25">
      <c r="A48">
        <v>47.5</v>
      </c>
      <c r="B48">
        <v>2223.7600000000002</v>
      </c>
      <c r="C48">
        <v>2165.442</v>
      </c>
      <c r="D48">
        <v>1990.029</v>
      </c>
      <c r="E48">
        <v>2375.38</v>
      </c>
      <c r="F48">
        <v>2354.9630000000002</v>
      </c>
      <c r="H48" s="2">
        <f t="shared" si="0"/>
        <v>2221.9148</v>
      </c>
      <c r="I48" s="2">
        <f t="shared" si="1"/>
        <v>70.077456174864139</v>
      </c>
      <c r="K48">
        <v>47.5</v>
      </c>
      <c r="L48">
        <v>2135.5050000000001</v>
      </c>
      <c r="M48">
        <v>1717.039</v>
      </c>
      <c r="N48">
        <v>1654.0840000000001</v>
      </c>
      <c r="O48">
        <v>1657.6880000000001</v>
      </c>
      <c r="P48">
        <v>1921.278</v>
      </c>
      <c r="R48" s="3">
        <f t="shared" si="2"/>
        <v>1817.1187999999997</v>
      </c>
      <c r="S48" s="3">
        <f t="shared" si="3"/>
        <v>93.336328314007645</v>
      </c>
    </row>
    <row r="49" spans="1:19" x14ac:dyDescent="0.25">
      <c r="A49">
        <v>48.75</v>
      </c>
      <c r="B49">
        <v>2282.6990000000001</v>
      </c>
      <c r="C49">
        <v>2221.8449999999998</v>
      </c>
      <c r="D49">
        <v>2050.2919999999999</v>
      </c>
      <c r="E49">
        <v>2432.1329999999998</v>
      </c>
      <c r="F49">
        <v>2435.1860000000001</v>
      </c>
      <c r="H49" s="2">
        <f t="shared" si="0"/>
        <v>2284.4309999999996</v>
      </c>
      <c r="I49" s="2">
        <f t="shared" si="1"/>
        <v>71.862378672710264</v>
      </c>
      <c r="K49">
        <v>48.75</v>
      </c>
      <c r="L49">
        <v>2189.027</v>
      </c>
      <c r="M49">
        <v>1777.7929999999999</v>
      </c>
      <c r="N49">
        <v>1713.248</v>
      </c>
      <c r="O49">
        <v>1701.8630000000001</v>
      </c>
      <c r="P49">
        <v>1970.3620000000001</v>
      </c>
      <c r="R49" s="3">
        <f t="shared" si="2"/>
        <v>1870.4585999999999</v>
      </c>
      <c r="S49" s="3">
        <f t="shared" si="3"/>
        <v>93.057261222647199</v>
      </c>
    </row>
    <row r="50" spans="1:19" x14ac:dyDescent="0.25">
      <c r="A50">
        <v>50</v>
      </c>
      <c r="B50">
        <v>2355.2460000000001</v>
      </c>
      <c r="C50">
        <v>2304.884</v>
      </c>
      <c r="D50">
        <v>2119.1030000000001</v>
      </c>
      <c r="E50">
        <v>2488.7220000000002</v>
      </c>
      <c r="F50">
        <v>2531.319</v>
      </c>
      <c r="H50" s="2">
        <f t="shared" si="0"/>
        <v>2359.8548000000001</v>
      </c>
      <c r="I50" s="2">
        <f t="shared" si="1"/>
        <v>73.147517459856431</v>
      </c>
      <c r="K50">
        <v>50</v>
      </c>
      <c r="L50">
        <v>2238.7240000000002</v>
      </c>
      <c r="M50">
        <v>1826.874</v>
      </c>
      <c r="N50">
        <v>1768.144</v>
      </c>
      <c r="O50">
        <v>1748.171</v>
      </c>
      <c r="P50">
        <v>2028.104</v>
      </c>
      <c r="R50" s="3">
        <f t="shared" si="2"/>
        <v>1922.0034000000001</v>
      </c>
      <c r="S50" s="3">
        <f t="shared" si="3"/>
        <v>93.410196656253774</v>
      </c>
    </row>
    <row r="51" spans="1:19" x14ac:dyDescent="0.25">
      <c r="A51">
        <v>51.25</v>
      </c>
      <c r="B51">
        <v>2435.9</v>
      </c>
      <c r="C51">
        <v>2366.4189999999999</v>
      </c>
      <c r="D51">
        <v>2167.607</v>
      </c>
      <c r="E51">
        <v>2542.8150000000001</v>
      </c>
      <c r="F51">
        <v>2599.8380000000002</v>
      </c>
      <c r="H51" s="2">
        <f t="shared" si="0"/>
        <v>2422.5158000000001</v>
      </c>
      <c r="I51" s="2">
        <f t="shared" si="1"/>
        <v>75.571007744637129</v>
      </c>
      <c r="K51">
        <v>51.25</v>
      </c>
      <c r="L51">
        <v>2283.9769999999999</v>
      </c>
      <c r="M51">
        <v>1865.4059999999999</v>
      </c>
      <c r="N51">
        <v>1809.2470000000001</v>
      </c>
      <c r="O51">
        <v>1789.067</v>
      </c>
      <c r="P51">
        <v>2060.4079999999999</v>
      </c>
      <c r="R51" s="3">
        <f t="shared" si="2"/>
        <v>1961.6209999999999</v>
      </c>
      <c r="S51" s="3">
        <f t="shared" si="3"/>
        <v>93.787607689395685</v>
      </c>
    </row>
    <row r="52" spans="1:19" x14ac:dyDescent="0.25">
      <c r="A52">
        <v>52.5</v>
      </c>
      <c r="B52">
        <v>2461.683</v>
      </c>
      <c r="C52">
        <v>2391.75</v>
      </c>
      <c r="D52">
        <v>2188.1509999999998</v>
      </c>
      <c r="E52">
        <v>2584.5039999999999</v>
      </c>
      <c r="F52">
        <v>2618.92</v>
      </c>
      <c r="H52" s="2">
        <f t="shared" si="0"/>
        <v>2449.0016000000001</v>
      </c>
      <c r="I52" s="2">
        <f t="shared" si="1"/>
        <v>77.043741534663312</v>
      </c>
      <c r="K52">
        <v>52.5</v>
      </c>
      <c r="L52">
        <v>2294.3270000000002</v>
      </c>
      <c r="M52">
        <v>1904.55</v>
      </c>
      <c r="N52">
        <v>1817.46</v>
      </c>
      <c r="O52">
        <v>1809.973</v>
      </c>
      <c r="P52">
        <v>2081.0219999999999</v>
      </c>
      <c r="R52" s="3">
        <f t="shared" si="2"/>
        <v>1981.4664</v>
      </c>
      <c r="S52" s="3">
        <f t="shared" si="3"/>
        <v>92.200133025175219</v>
      </c>
    </row>
    <row r="53" spans="1:19" x14ac:dyDescent="0.25">
      <c r="A53">
        <v>53.75</v>
      </c>
      <c r="B53">
        <v>2427.0250000000001</v>
      </c>
      <c r="C53">
        <v>2359.2220000000002</v>
      </c>
      <c r="D53">
        <v>2173.1669999999999</v>
      </c>
      <c r="E53">
        <v>2579.7640000000001</v>
      </c>
      <c r="F53">
        <v>2599.4789999999998</v>
      </c>
      <c r="H53" s="2">
        <f t="shared" si="0"/>
        <v>2427.7313999999997</v>
      </c>
      <c r="I53" s="2">
        <f t="shared" si="1"/>
        <v>78.13712952406172</v>
      </c>
      <c r="K53">
        <v>53.75</v>
      </c>
      <c r="L53">
        <v>2276.556</v>
      </c>
      <c r="M53">
        <v>1928.0029999999999</v>
      </c>
      <c r="N53">
        <v>1801.248</v>
      </c>
      <c r="O53">
        <v>1805.261</v>
      </c>
      <c r="P53">
        <v>2081.2820000000002</v>
      </c>
      <c r="R53" s="3">
        <f t="shared" si="2"/>
        <v>1978.4700000000005</v>
      </c>
      <c r="S53" s="3">
        <f t="shared" si="3"/>
        <v>90.382930853673926</v>
      </c>
    </row>
    <row r="54" spans="1:19" x14ac:dyDescent="0.25">
      <c r="A54">
        <v>55</v>
      </c>
      <c r="B54">
        <v>2342.3510000000001</v>
      </c>
      <c r="C54">
        <v>2281.143</v>
      </c>
      <c r="D54">
        <v>2104.0160000000001</v>
      </c>
      <c r="E54">
        <v>2485.0509999999999</v>
      </c>
      <c r="F54">
        <v>2517.605</v>
      </c>
      <c r="H54" s="2">
        <f t="shared" si="0"/>
        <v>2346.0331999999999</v>
      </c>
      <c r="I54" s="2">
        <f t="shared" si="1"/>
        <v>74.685826306200809</v>
      </c>
      <c r="K54">
        <v>55</v>
      </c>
      <c r="L54">
        <v>2206.9279999999999</v>
      </c>
      <c r="M54">
        <v>1897.847</v>
      </c>
      <c r="N54">
        <v>1746.779</v>
      </c>
      <c r="O54">
        <v>1770.1690000000001</v>
      </c>
      <c r="P54">
        <v>2017.376</v>
      </c>
      <c r="R54" s="3">
        <f t="shared" si="2"/>
        <v>1927.8198</v>
      </c>
      <c r="S54" s="3">
        <f t="shared" si="3"/>
        <v>84.985179593503219</v>
      </c>
    </row>
    <row r="55" spans="1:19" x14ac:dyDescent="0.25">
      <c r="A55">
        <v>56.25</v>
      </c>
      <c r="B55">
        <v>2196.6579999999999</v>
      </c>
      <c r="C55">
        <v>2159.1869999999999</v>
      </c>
      <c r="D55">
        <v>1963.808</v>
      </c>
      <c r="E55">
        <v>2342.2600000000002</v>
      </c>
      <c r="F55">
        <v>2376.2429999999999</v>
      </c>
      <c r="H55" s="2">
        <f t="shared" si="0"/>
        <v>2207.6312000000003</v>
      </c>
      <c r="I55" s="2">
        <f t="shared" si="1"/>
        <v>73.645046465733202</v>
      </c>
      <c r="K55">
        <v>56.25</v>
      </c>
      <c r="L55">
        <v>2073.9589999999998</v>
      </c>
      <c r="M55">
        <v>1811.0530000000001</v>
      </c>
      <c r="N55">
        <v>1646.6410000000001</v>
      </c>
      <c r="O55">
        <v>1672.1089999999999</v>
      </c>
      <c r="P55">
        <v>1901.5630000000001</v>
      </c>
      <c r="R55" s="3">
        <f t="shared" si="2"/>
        <v>1821.0650000000001</v>
      </c>
      <c r="S55" s="3">
        <f t="shared" si="3"/>
        <v>78.46883620138631</v>
      </c>
    </row>
    <row r="56" spans="1:19" x14ac:dyDescent="0.25">
      <c r="A56">
        <v>57.5</v>
      </c>
      <c r="B56">
        <v>2030.194</v>
      </c>
      <c r="C56">
        <v>2015.6769999999999</v>
      </c>
      <c r="D56">
        <v>1823.498</v>
      </c>
      <c r="E56">
        <v>2188.5479999999998</v>
      </c>
      <c r="F56">
        <v>2211.2829999999999</v>
      </c>
      <c r="H56" s="2">
        <f t="shared" si="0"/>
        <v>2053.84</v>
      </c>
      <c r="I56" s="2">
        <f t="shared" si="1"/>
        <v>70.002688649079715</v>
      </c>
      <c r="K56">
        <v>57.5</v>
      </c>
      <c r="L56">
        <v>1921.222</v>
      </c>
      <c r="M56">
        <v>1704.643</v>
      </c>
      <c r="N56">
        <v>1533.671</v>
      </c>
      <c r="O56">
        <v>1536.04</v>
      </c>
      <c r="P56">
        <v>1779.6780000000001</v>
      </c>
      <c r="R56" s="3">
        <f t="shared" si="2"/>
        <v>1695.0508000000002</v>
      </c>
      <c r="S56" s="3">
        <f t="shared" si="3"/>
        <v>74.072619555001566</v>
      </c>
    </row>
    <row r="57" spans="1:19" x14ac:dyDescent="0.25">
      <c r="A57">
        <v>58.75</v>
      </c>
      <c r="B57">
        <v>1848.0429999999999</v>
      </c>
      <c r="C57">
        <v>1871.4</v>
      </c>
      <c r="D57">
        <v>1690.251</v>
      </c>
      <c r="E57">
        <v>2045.125</v>
      </c>
      <c r="F57">
        <v>2061.5949999999998</v>
      </c>
      <c r="H57" s="2">
        <f t="shared" si="0"/>
        <v>1903.2828000000002</v>
      </c>
      <c r="I57" s="2">
        <f t="shared" si="1"/>
        <v>68.786793289409829</v>
      </c>
      <c r="K57">
        <v>58.75</v>
      </c>
      <c r="L57">
        <v>1773.6179999999999</v>
      </c>
      <c r="M57">
        <v>1612.384</v>
      </c>
      <c r="N57">
        <v>1423.7840000000001</v>
      </c>
      <c r="O57">
        <v>1424.162</v>
      </c>
      <c r="P57">
        <v>1661.9490000000001</v>
      </c>
      <c r="R57" s="3">
        <f t="shared" si="2"/>
        <v>1579.1794000000002</v>
      </c>
      <c r="S57" s="3">
        <f t="shared" si="3"/>
        <v>68.533877009549073</v>
      </c>
    </row>
    <row r="58" spans="1:19" x14ac:dyDescent="0.25">
      <c r="A58">
        <v>60</v>
      </c>
      <c r="B58">
        <v>1753.2349999999999</v>
      </c>
      <c r="C58">
        <v>1783.164</v>
      </c>
      <c r="D58">
        <v>1614.8240000000001</v>
      </c>
      <c r="E58">
        <v>1939.65</v>
      </c>
      <c r="F58">
        <v>1969.55</v>
      </c>
      <c r="H58" s="2">
        <f t="shared" si="0"/>
        <v>1812.0845999999997</v>
      </c>
      <c r="I58" s="2">
        <f t="shared" si="1"/>
        <v>64.915215593572512</v>
      </c>
      <c r="K58">
        <v>60</v>
      </c>
      <c r="L58">
        <v>1688.479</v>
      </c>
      <c r="M58">
        <v>1538.1790000000001</v>
      </c>
      <c r="N58">
        <v>1348.04</v>
      </c>
      <c r="O58">
        <v>1359.6780000000001</v>
      </c>
      <c r="P58">
        <v>1585.9380000000001</v>
      </c>
      <c r="R58" s="3">
        <f t="shared" si="2"/>
        <v>1504.0628000000002</v>
      </c>
      <c r="S58" s="3">
        <f t="shared" si="3"/>
        <v>65.979876815132059</v>
      </c>
    </row>
    <row r="59" spans="1:19" x14ac:dyDescent="0.25">
      <c r="A59">
        <v>61.25</v>
      </c>
      <c r="B59">
        <v>1688.7170000000001</v>
      </c>
      <c r="C59">
        <v>1714.91</v>
      </c>
      <c r="D59">
        <v>1552.5609999999999</v>
      </c>
      <c r="E59">
        <v>1869.404</v>
      </c>
      <c r="F59">
        <v>1901.866</v>
      </c>
      <c r="H59" s="2">
        <f t="shared" si="0"/>
        <v>1745.4916000000001</v>
      </c>
      <c r="I59" s="2">
        <f t="shared" si="1"/>
        <v>63.713437251964358</v>
      </c>
      <c r="K59">
        <v>61.25</v>
      </c>
      <c r="L59">
        <v>1632.12</v>
      </c>
      <c r="M59">
        <v>1483.087</v>
      </c>
      <c r="N59">
        <v>1302.67</v>
      </c>
      <c r="O59">
        <v>1306.27</v>
      </c>
      <c r="P59">
        <v>1535.1130000000001</v>
      </c>
      <c r="R59" s="3">
        <f t="shared" si="2"/>
        <v>1451.8520000000003</v>
      </c>
      <c r="S59" s="3">
        <f t="shared" si="3"/>
        <v>64.751045944447853</v>
      </c>
    </row>
    <row r="60" spans="1:19" x14ac:dyDescent="0.25">
      <c r="A60">
        <v>62.5</v>
      </c>
      <c r="B60">
        <v>1651.088</v>
      </c>
      <c r="C60">
        <v>1647.6769999999999</v>
      </c>
      <c r="D60">
        <v>1511.1949999999999</v>
      </c>
      <c r="E60">
        <v>1811.8109999999999</v>
      </c>
      <c r="F60">
        <v>1836.22</v>
      </c>
      <c r="H60" s="2">
        <f t="shared" si="0"/>
        <v>1691.5981999999999</v>
      </c>
      <c r="I60" s="2">
        <f t="shared" si="1"/>
        <v>59.783795882663725</v>
      </c>
      <c r="K60">
        <v>62.5</v>
      </c>
      <c r="L60">
        <v>1590.8779999999999</v>
      </c>
      <c r="M60">
        <v>1447.36</v>
      </c>
      <c r="N60">
        <v>1273.624</v>
      </c>
      <c r="O60">
        <v>1265.9290000000001</v>
      </c>
      <c r="P60">
        <v>1479.625</v>
      </c>
      <c r="R60" s="3">
        <f t="shared" si="2"/>
        <v>1411.4832000000001</v>
      </c>
      <c r="S60" s="3">
        <f t="shared" si="3"/>
        <v>62.571610221729117</v>
      </c>
    </row>
    <row r="61" spans="1:19" x14ac:dyDescent="0.25">
      <c r="A61">
        <v>63.75</v>
      </c>
      <c r="B61">
        <v>1623.394</v>
      </c>
      <c r="C61">
        <v>1610.866</v>
      </c>
      <c r="D61">
        <v>1483.4079999999999</v>
      </c>
      <c r="E61">
        <v>1754.4169999999999</v>
      </c>
      <c r="F61">
        <v>1786.008</v>
      </c>
      <c r="H61" s="2">
        <f t="shared" si="0"/>
        <v>1651.6185999999998</v>
      </c>
      <c r="I61" s="2">
        <f t="shared" si="1"/>
        <v>54.488636558093482</v>
      </c>
      <c r="K61">
        <v>63.75</v>
      </c>
      <c r="L61">
        <v>1556.797</v>
      </c>
      <c r="M61">
        <v>1413.9670000000001</v>
      </c>
      <c r="N61">
        <v>1249.47</v>
      </c>
      <c r="O61">
        <v>1238.106</v>
      </c>
      <c r="P61">
        <v>1440.1769999999999</v>
      </c>
      <c r="R61" s="3">
        <f t="shared" si="2"/>
        <v>1379.7033999999999</v>
      </c>
      <c r="S61" s="3">
        <f t="shared" si="3"/>
        <v>60.499485909055451</v>
      </c>
    </row>
    <row r="62" spans="1:19" x14ac:dyDescent="0.25">
      <c r="A62">
        <v>65</v>
      </c>
      <c r="B62">
        <v>1609.0260000000001</v>
      </c>
      <c r="C62">
        <v>1570.4880000000001</v>
      </c>
      <c r="D62">
        <v>1456.1690000000001</v>
      </c>
      <c r="E62">
        <v>1706.4290000000001</v>
      </c>
      <c r="F62">
        <v>1757.048</v>
      </c>
      <c r="H62" s="2">
        <f t="shared" si="0"/>
        <v>1619.8319999999999</v>
      </c>
      <c r="I62" s="2">
        <f t="shared" si="1"/>
        <v>52.756254892666504</v>
      </c>
      <c r="K62">
        <v>65</v>
      </c>
      <c r="L62">
        <v>1542.248</v>
      </c>
      <c r="M62">
        <v>1375.913</v>
      </c>
      <c r="N62">
        <v>1230.549</v>
      </c>
      <c r="O62">
        <v>1216.2739999999999</v>
      </c>
      <c r="P62">
        <v>1415.6320000000001</v>
      </c>
      <c r="R62" s="3">
        <f t="shared" si="2"/>
        <v>1356.1232</v>
      </c>
      <c r="S62" s="3">
        <f t="shared" si="3"/>
        <v>60.787356038406571</v>
      </c>
    </row>
    <row r="63" spans="1:19" x14ac:dyDescent="0.25">
      <c r="A63">
        <v>66.25</v>
      </c>
      <c r="B63">
        <v>1602.116</v>
      </c>
      <c r="C63">
        <v>1560.18</v>
      </c>
      <c r="D63">
        <v>1432.181</v>
      </c>
      <c r="E63">
        <v>1672.8969999999999</v>
      </c>
      <c r="F63">
        <v>1735.9639999999999</v>
      </c>
      <c r="H63" s="2">
        <f t="shared" si="0"/>
        <v>1600.6676000000002</v>
      </c>
      <c r="I63" s="2">
        <f t="shared" si="1"/>
        <v>51.74518338608916</v>
      </c>
      <c r="K63">
        <v>66.25</v>
      </c>
      <c r="L63">
        <v>1531.2090000000001</v>
      </c>
      <c r="M63">
        <v>1342.1410000000001</v>
      </c>
      <c r="N63">
        <v>1220.3879999999999</v>
      </c>
      <c r="O63">
        <v>1194.7180000000001</v>
      </c>
      <c r="P63">
        <v>1385.0170000000001</v>
      </c>
      <c r="R63" s="3">
        <f t="shared" si="2"/>
        <v>1334.6946</v>
      </c>
      <c r="S63" s="3">
        <f t="shared" si="3"/>
        <v>60.772176846481322</v>
      </c>
    </row>
    <row r="64" spans="1:19" x14ac:dyDescent="0.25">
      <c r="A64">
        <v>67.5</v>
      </c>
      <c r="B64">
        <v>1602.46</v>
      </c>
      <c r="C64">
        <v>1560.62</v>
      </c>
      <c r="D64">
        <v>1417.72</v>
      </c>
      <c r="E64">
        <v>1661.0730000000001</v>
      </c>
      <c r="F64">
        <v>1713.61</v>
      </c>
      <c r="H64" s="2">
        <f t="shared" si="0"/>
        <v>1591.0966000000001</v>
      </c>
      <c r="I64" s="2">
        <f t="shared" si="1"/>
        <v>50.509219540198785</v>
      </c>
      <c r="K64">
        <v>67.5</v>
      </c>
      <c r="L64">
        <v>1521.444</v>
      </c>
      <c r="M64">
        <v>1306.5989999999999</v>
      </c>
      <c r="N64">
        <v>1210.884</v>
      </c>
      <c r="O64">
        <v>1178.1980000000001</v>
      </c>
      <c r="P64">
        <v>1365.922</v>
      </c>
      <c r="R64" s="3">
        <f t="shared" si="2"/>
        <v>1316.6094000000001</v>
      </c>
      <c r="S64" s="3">
        <f t="shared" si="3"/>
        <v>61.165647973024839</v>
      </c>
    </row>
    <row r="65" spans="1:19" x14ac:dyDescent="0.25">
      <c r="A65">
        <v>68.75</v>
      </c>
      <c r="B65">
        <v>1618.048</v>
      </c>
      <c r="C65">
        <v>1552.3489999999999</v>
      </c>
      <c r="D65">
        <v>1427.23</v>
      </c>
      <c r="E65">
        <v>1635.4929999999999</v>
      </c>
      <c r="F65">
        <v>1709.153</v>
      </c>
      <c r="H65" s="2">
        <f t="shared" si="0"/>
        <v>1588.4546000000003</v>
      </c>
      <c r="I65" s="2">
        <f t="shared" si="1"/>
        <v>47.40963517957082</v>
      </c>
      <c r="K65">
        <v>68.75</v>
      </c>
      <c r="L65">
        <v>1523.915</v>
      </c>
      <c r="M65">
        <v>1285.5940000000001</v>
      </c>
      <c r="N65">
        <v>1202.4570000000001</v>
      </c>
      <c r="O65">
        <v>1175.49</v>
      </c>
      <c r="P65">
        <v>1355.143</v>
      </c>
      <c r="R65" s="3">
        <f t="shared" si="2"/>
        <v>1308.5198</v>
      </c>
      <c r="S65" s="3">
        <f t="shared" si="3"/>
        <v>62.466251888039494</v>
      </c>
    </row>
    <row r="66" spans="1:19" x14ac:dyDescent="0.25">
      <c r="A66">
        <v>70</v>
      </c>
      <c r="B66">
        <v>1623.8889999999999</v>
      </c>
      <c r="C66">
        <v>1547.7070000000001</v>
      </c>
      <c r="D66">
        <v>1410.894</v>
      </c>
      <c r="E66">
        <v>1615.5820000000001</v>
      </c>
      <c r="F66">
        <v>1691.164</v>
      </c>
      <c r="H66" s="2">
        <f t="shared" si="0"/>
        <v>1577.8471999999999</v>
      </c>
      <c r="I66" s="2">
        <f t="shared" si="1"/>
        <v>47.52171203081808</v>
      </c>
      <c r="K66">
        <v>70</v>
      </c>
      <c r="L66">
        <v>1532.5550000000001</v>
      </c>
      <c r="M66">
        <v>1268.1500000000001</v>
      </c>
      <c r="N66">
        <v>1198.4010000000001</v>
      </c>
      <c r="O66">
        <v>1165.5640000000001</v>
      </c>
      <c r="P66">
        <v>1350.431</v>
      </c>
      <c r="R66" s="3">
        <f t="shared" si="2"/>
        <v>1303.0202000000002</v>
      </c>
      <c r="S66" s="3">
        <f t="shared" si="3"/>
        <v>65.570314603026958</v>
      </c>
    </row>
    <row r="67" spans="1:19" x14ac:dyDescent="0.25">
      <c r="A67">
        <v>71.25</v>
      </c>
      <c r="B67">
        <v>1612.848</v>
      </c>
      <c r="C67">
        <v>1526.96</v>
      </c>
      <c r="D67">
        <v>1396.277</v>
      </c>
      <c r="E67">
        <v>1599.5889999999999</v>
      </c>
      <c r="F67">
        <v>1671.989</v>
      </c>
      <c r="H67" s="2">
        <f t="shared" si="0"/>
        <v>1561.5326</v>
      </c>
      <c r="I67" s="2">
        <f t="shared" si="1"/>
        <v>47.321693841831141</v>
      </c>
      <c r="K67">
        <v>71.25</v>
      </c>
      <c r="L67">
        <v>1522.596</v>
      </c>
      <c r="M67">
        <v>1260.204</v>
      </c>
      <c r="N67">
        <v>1187.384</v>
      </c>
      <c r="O67">
        <v>1148.873</v>
      </c>
      <c r="P67">
        <v>1336.6</v>
      </c>
      <c r="R67" s="3">
        <f t="shared" si="2"/>
        <v>1291.1314000000002</v>
      </c>
      <c r="S67" s="3">
        <f t="shared" si="3"/>
        <v>66.181845730984676</v>
      </c>
    </row>
    <row r="68" spans="1:19" x14ac:dyDescent="0.25">
      <c r="A68">
        <v>72.5</v>
      </c>
      <c r="B68">
        <v>1602.153</v>
      </c>
      <c r="C68">
        <v>1513.68</v>
      </c>
      <c r="D68">
        <v>1396.528</v>
      </c>
      <c r="E68">
        <v>1578.893</v>
      </c>
      <c r="F68">
        <v>1666.7159999999999</v>
      </c>
      <c r="H68" s="2">
        <f t="shared" si="0"/>
        <v>1551.5939999999998</v>
      </c>
      <c r="I68" s="2">
        <f t="shared" si="1"/>
        <v>45.846187692108032</v>
      </c>
      <c r="K68">
        <v>72.5</v>
      </c>
      <c r="L68">
        <v>1510.2860000000001</v>
      </c>
      <c r="M68">
        <v>1259.229</v>
      </c>
      <c r="N68">
        <v>1177.8119999999999</v>
      </c>
      <c r="O68">
        <v>1140.934</v>
      </c>
      <c r="P68">
        <v>1313.3130000000001</v>
      </c>
      <c r="R68" s="3">
        <f t="shared" si="2"/>
        <v>1280.3148000000001</v>
      </c>
      <c r="S68" s="3">
        <f t="shared" si="3"/>
        <v>64.943851291249757</v>
      </c>
    </row>
    <row r="69" spans="1:19" x14ac:dyDescent="0.25">
      <c r="A69">
        <v>73.75</v>
      </c>
      <c r="B69">
        <v>1617.7850000000001</v>
      </c>
      <c r="C69">
        <v>1553.2670000000001</v>
      </c>
      <c r="D69">
        <v>1410.8910000000001</v>
      </c>
      <c r="E69">
        <v>1588.979</v>
      </c>
      <c r="F69">
        <v>1710.7739999999999</v>
      </c>
      <c r="H69" s="2">
        <f t="shared" ref="H69:H96" si="4">AVERAGE(B69:F69)</f>
        <v>1576.3391999999999</v>
      </c>
      <c r="I69" s="2">
        <f t="shared" ref="I69:I96" si="5">STDEV(B69:F69)/SQRT(COUNT(B69:F69))</f>
        <v>48.916085099279947</v>
      </c>
      <c r="K69">
        <v>73.75</v>
      </c>
      <c r="L69">
        <v>1527.06</v>
      </c>
      <c r="M69">
        <v>1279.146</v>
      </c>
      <c r="N69">
        <v>1195.335</v>
      </c>
      <c r="O69">
        <v>1166.2629999999999</v>
      </c>
      <c r="P69">
        <v>1324.3109999999999</v>
      </c>
      <c r="R69" s="3">
        <f t="shared" ref="R69:R96" si="6">AVERAGE(L69:P69)</f>
        <v>1298.423</v>
      </c>
      <c r="S69" s="3">
        <f t="shared" ref="S69:S96" si="7">STDEV(L69:P69)/SQRT(COUNT(L69:P69))</f>
        <v>63.800497798214693</v>
      </c>
    </row>
    <row r="70" spans="1:19" x14ac:dyDescent="0.25">
      <c r="A70">
        <v>75</v>
      </c>
      <c r="B70">
        <v>1729.893</v>
      </c>
      <c r="C70">
        <v>1686.153</v>
      </c>
      <c r="D70">
        <v>1511.5809999999999</v>
      </c>
      <c r="E70">
        <v>1686.67</v>
      </c>
      <c r="F70">
        <v>1840.6210000000001</v>
      </c>
      <c r="H70" s="2">
        <f t="shared" si="4"/>
        <v>1690.9836000000003</v>
      </c>
      <c r="I70" s="2">
        <f t="shared" si="5"/>
        <v>52.977602633188326</v>
      </c>
      <c r="K70">
        <v>75</v>
      </c>
      <c r="L70">
        <v>1646.24</v>
      </c>
      <c r="M70">
        <v>1377.6759999999999</v>
      </c>
      <c r="N70">
        <v>1304.729</v>
      </c>
      <c r="O70">
        <v>1284.1489999999999</v>
      </c>
      <c r="P70">
        <v>1442.402</v>
      </c>
      <c r="R70" s="3">
        <f t="shared" si="6"/>
        <v>1411.0391999999999</v>
      </c>
      <c r="S70" s="3">
        <f t="shared" si="7"/>
        <v>65.122625153935573</v>
      </c>
    </row>
    <row r="71" spans="1:19" x14ac:dyDescent="0.25">
      <c r="A71">
        <v>76.25</v>
      </c>
      <c r="B71">
        <v>1941.125</v>
      </c>
      <c r="C71">
        <v>1950.998</v>
      </c>
      <c r="D71">
        <v>1693.088</v>
      </c>
      <c r="E71">
        <v>1868.3620000000001</v>
      </c>
      <c r="F71">
        <v>2001.499</v>
      </c>
      <c r="H71" s="2">
        <f t="shared" si="4"/>
        <v>1891.0144</v>
      </c>
      <c r="I71" s="2">
        <f t="shared" si="5"/>
        <v>53.853478244770791</v>
      </c>
      <c r="K71">
        <v>76.25</v>
      </c>
      <c r="L71">
        <v>1868.5319999999999</v>
      </c>
      <c r="M71">
        <v>1540.5160000000001</v>
      </c>
      <c r="N71">
        <v>1499.3810000000001</v>
      </c>
      <c r="O71">
        <v>1511.9860000000001</v>
      </c>
      <c r="P71">
        <v>1675.3810000000001</v>
      </c>
      <c r="R71" s="3">
        <f t="shared" si="6"/>
        <v>1619.1592000000001</v>
      </c>
      <c r="S71" s="3">
        <f t="shared" si="7"/>
        <v>69.772970796290409</v>
      </c>
    </row>
    <row r="72" spans="1:19" x14ac:dyDescent="0.25">
      <c r="A72">
        <v>77.5</v>
      </c>
      <c r="B72">
        <v>2024.884</v>
      </c>
      <c r="C72">
        <v>2060.4279999999999</v>
      </c>
      <c r="D72">
        <v>1769.7180000000001</v>
      </c>
      <c r="E72">
        <v>1944.7719999999999</v>
      </c>
      <c r="F72">
        <v>2097.3310000000001</v>
      </c>
      <c r="H72" s="2">
        <f t="shared" si="4"/>
        <v>1979.4266</v>
      </c>
      <c r="I72" s="2">
        <f t="shared" si="5"/>
        <v>58.184056137055272</v>
      </c>
      <c r="K72">
        <v>77.5</v>
      </c>
      <c r="L72">
        <v>1957.463</v>
      </c>
      <c r="M72">
        <v>1601.261</v>
      </c>
      <c r="N72">
        <v>1574.5719999999999</v>
      </c>
      <c r="O72">
        <v>1608.259</v>
      </c>
      <c r="P72">
        <v>1774.327</v>
      </c>
      <c r="R72" s="3">
        <f t="shared" si="6"/>
        <v>1703.1763999999998</v>
      </c>
      <c r="S72" s="3">
        <f t="shared" si="7"/>
        <v>72.683985890703596</v>
      </c>
    </row>
    <row r="73" spans="1:19" x14ac:dyDescent="0.25">
      <c r="A73">
        <v>78.75</v>
      </c>
      <c r="B73">
        <v>1969.6189999999999</v>
      </c>
      <c r="C73">
        <v>1972.2159999999999</v>
      </c>
      <c r="D73">
        <v>1705.502</v>
      </c>
      <c r="E73">
        <v>1892.49</v>
      </c>
      <c r="F73">
        <v>2041.99</v>
      </c>
      <c r="H73" s="2">
        <f t="shared" si="4"/>
        <v>1916.3633999999997</v>
      </c>
      <c r="I73" s="2">
        <f t="shared" si="5"/>
        <v>57.77983373254029</v>
      </c>
      <c r="K73">
        <v>78.75</v>
      </c>
      <c r="L73">
        <v>1896.4639999999999</v>
      </c>
      <c r="M73">
        <v>1552.02</v>
      </c>
      <c r="N73">
        <v>1514.4559999999999</v>
      </c>
      <c r="O73">
        <v>1531.7360000000001</v>
      </c>
      <c r="P73">
        <v>1689.2639999999999</v>
      </c>
      <c r="R73" s="3">
        <f t="shared" si="6"/>
        <v>1636.788</v>
      </c>
      <c r="S73" s="3">
        <f t="shared" si="7"/>
        <v>71.892979596063455</v>
      </c>
    </row>
    <row r="74" spans="1:19" x14ac:dyDescent="0.25">
      <c r="A74">
        <v>80</v>
      </c>
      <c r="B74">
        <v>1873.904</v>
      </c>
      <c r="C74">
        <v>1830.0640000000001</v>
      </c>
      <c r="D74">
        <v>1625.9770000000001</v>
      </c>
      <c r="E74">
        <v>1787.386</v>
      </c>
      <c r="F74">
        <v>1955.489</v>
      </c>
      <c r="H74" s="2">
        <f t="shared" si="4"/>
        <v>1814.5639999999999</v>
      </c>
      <c r="I74" s="2">
        <f t="shared" si="5"/>
        <v>54.738031330145581</v>
      </c>
      <c r="K74">
        <v>80</v>
      </c>
      <c r="L74">
        <v>1782.62</v>
      </c>
      <c r="M74">
        <v>1470.2940000000001</v>
      </c>
      <c r="N74">
        <v>1406.6320000000001</v>
      </c>
      <c r="O74">
        <v>1403.2139999999999</v>
      </c>
      <c r="P74">
        <v>1563.7170000000001</v>
      </c>
      <c r="R74" s="3">
        <f t="shared" si="6"/>
        <v>1525.2954000000002</v>
      </c>
      <c r="S74" s="3">
        <f t="shared" si="7"/>
        <v>70.605309233512997</v>
      </c>
    </row>
    <row r="75" spans="1:19" x14ac:dyDescent="0.25">
      <c r="A75">
        <v>81.25</v>
      </c>
      <c r="B75">
        <v>1961.3679999999999</v>
      </c>
      <c r="C75">
        <v>1856.82</v>
      </c>
      <c r="D75">
        <v>1728.6420000000001</v>
      </c>
      <c r="E75">
        <v>1838.566</v>
      </c>
      <c r="F75">
        <v>2099.576</v>
      </c>
      <c r="H75" s="2">
        <f t="shared" si="4"/>
        <v>1896.9944</v>
      </c>
      <c r="I75" s="2">
        <f t="shared" si="5"/>
        <v>62.671227833512241</v>
      </c>
      <c r="K75">
        <v>81.25</v>
      </c>
      <c r="L75">
        <v>1829.1469999999999</v>
      </c>
      <c r="M75">
        <v>1522.0440000000001</v>
      </c>
      <c r="N75">
        <v>1418.9190000000001</v>
      </c>
      <c r="O75">
        <v>1394.2909999999999</v>
      </c>
      <c r="P75">
        <v>1551.7929999999999</v>
      </c>
      <c r="R75" s="3">
        <f t="shared" si="6"/>
        <v>1543.2387999999999</v>
      </c>
      <c r="S75" s="3">
        <f t="shared" si="7"/>
        <v>77.429565576980977</v>
      </c>
    </row>
    <row r="76" spans="1:19" x14ac:dyDescent="0.25">
      <c r="A76">
        <v>82.5</v>
      </c>
      <c r="B76">
        <v>2532.8009999999999</v>
      </c>
      <c r="C76">
        <v>2244.6689999999999</v>
      </c>
      <c r="D76">
        <v>2217.415</v>
      </c>
      <c r="E76">
        <v>2341.944</v>
      </c>
      <c r="F76">
        <v>2704.357</v>
      </c>
      <c r="H76" s="2">
        <f t="shared" si="4"/>
        <v>2408.2372</v>
      </c>
      <c r="I76" s="2">
        <f t="shared" si="5"/>
        <v>92.402795588878163</v>
      </c>
      <c r="K76">
        <v>82.5</v>
      </c>
      <c r="L76">
        <v>2343.2240000000002</v>
      </c>
      <c r="M76">
        <v>1969.7739999999999</v>
      </c>
      <c r="N76">
        <v>1872.223</v>
      </c>
      <c r="O76">
        <v>1714.0360000000001</v>
      </c>
      <c r="P76">
        <v>1956.154</v>
      </c>
      <c r="R76" s="3">
        <f t="shared" si="6"/>
        <v>1971.0822000000001</v>
      </c>
      <c r="S76" s="3">
        <f t="shared" si="7"/>
        <v>103.5760523018718</v>
      </c>
    </row>
    <row r="77" spans="1:19" x14ac:dyDescent="0.25">
      <c r="A77">
        <v>83.75</v>
      </c>
      <c r="B77">
        <v>3426.2449999999999</v>
      </c>
      <c r="C77">
        <v>2962.462</v>
      </c>
      <c r="D77">
        <v>2889.1</v>
      </c>
      <c r="E77">
        <v>3198.433</v>
      </c>
      <c r="F77">
        <v>3498.4160000000002</v>
      </c>
      <c r="H77" s="2">
        <f t="shared" si="4"/>
        <v>3194.9312000000004</v>
      </c>
      <c r="I77" s="2">
        <f t="shared" si="5"/>
        <v>121.07766357730895</v>
      </c>
      <c r="K77">
        <v>83.75</v>
      </c>
      <c r="L77">
        <v>3278.0410000000002</v>
      </c>
      <c r="M77">
        <v>2673.07</v>
      </c>
      <c r="N77">
        <v>2604.6660000000002</v>
      </c>
      <c r="O77">
        <v>2398.13</v>
      </c>
      <c r="P77">
        <v>2754.1559999999999</v>
      </c>
      <c r="R77" s="3">
        <f t="shared" si="6"/>
        <v>2741.6126000000004</v>
      </c>
      <c r="S77" s="3">
        <f t="shared" si="7"/>
        <v>146.5171527465634</v>
      </c>
    </row>
    <row r="78" spans="1:19" x14ac:dyDescent="0.25">
      <c r="A78">
        <v>85</v>
      </c>
      <c r="B78">
        <v>4162.2479999999996</v>
      </c>
      <c r="C78">
        <v>3770.3409999999999</v>
      </c>
      <c r="D78">
        <v>3513.3270000000002</v>
      </c>
      <c r="E78">
        <v>3860.9690000000001</v>
      </c>
      <c r="F78">
        <v>4120.6580000000004</v>
      </c>
      <c r="H78" s="2">
        <f t="shared" si="4"/>
        <v>3885.5086000000001</v>
      </c>
      <c r="I78" s="2">
        <f t="shared" si="5"/>
        <v>119.21930365280612</v>
      </c>
      <c r="K78">
        <v>85</v>
      </c>
      <c r="L78">
        <v>4097.1469999999999</v>
      </c>
      <c r="M78">
        <v>3252.663</v>
      </c>
      <c r="N78">
        <v>3274.837</v>
      </c>
      <c r="O78">
        <v>3116.1640000000002</v>
      </c>
      <c r="P78">
        <v>3490.9360000000001</v>
      </c>
      <c r="R78" s="3">
        <f t="shared" si="6"/>
        <v>3446.3494000000001</v>
      </c>
      <c r="S78" s="3">
        <f t="shared" si="7"/>
        <v>173.41839641993053</v>
      </c>
    </row>
    <row r="79" spans="1:19" x14ac:dyDescent="0.25">
      <c r="A79">
        <v>86.25</v>
      </c>
      <c r="B79">
        <v>4404.8980000000001</v>
      </c>
      <c r="C79">
        <v>4184.7330000000002</v>
      </c>
      <c r="D79">
        <v>3785.616</v>
      </c>
      <c r="E79">
        <v>4032.12</v>
      </c>
      <c r="F79">
        <v>4319.598</v>
      </c>
      <c r="H79" s="2">
        <f t="shared" si="4"/>
        <v>4145.3930000000009</v>
      </c>
      <c r="I79" s="2">
        <f t="shared" si="5"/>
        <v>109.88815334420724</v>
      </c>
      <c r="K79">
        <v>86.25</v>
      </c>
      <c r="L79">
        <v>4438.4549999999999</v>
      </c>
      <c r="M79">
        <v>3474.5940000000001</v>
      </c>
      <c r="N79">
        <v>3537.13</v>
      </c>
      <c r="O79">
        <v>3466.6260000000002</v>
      </c>
      <c r="P79">
        <v>3818.384</v>
      </c>
      <c r="R79" s="3">
        <f t="shared" si="6"/>
        <v>3747.0377999999996</v>
      </c>
      <c r="S79" s="3">
        <f t="shared" si="7"/>
        <v>184.39979812201526</v>
      </c>
    </row>
    <row r="80" spans="1:19" x14ac:dyDescent="0.25">
      <c r="A80">
        <v>87.5</v>
      </c>
      <c r="B80">
        <v>4100.1549999999997</v>
      </c>
      <c r="C80">
        <v>4007.806</v>
      </c>
      <c r="D80">
        <v>3563.0320000000002</v>
      </c>
      <c r="E80">
        <v>3639.1689999999999</v>
      </c>
      <c r="F80">
        <v>4064.1469999999999</v>
      </c>
      <c r="H80" s="2">
        <f t="shared" si="4"/>
        <v>3874.8617999999997</v>
      </c>
      <c r="I80" s="2">
        <f t="shared" si="5"/>
        <v>113.36864499472503</v>
      </c>
      <c r="K80">
        <v>87.5</v>
      </c>
      <c r="L80">
        <v>4181.3059999999996</v>
      </c>
      <c r="M80">
        <v>3218.2629999999999</v>
      </c>
      <c r="N80">
        <v>3315.4009999999998</v>
      </c>
      <c r="O80">
        <v>3304.7339999999999</v>
      </c>
      <c r="P80">
        <v>3568.6759999999999</v>
      </c>
      <c r="R80" s="3">
        <f t="shared" si="6"/>
        <v>3517.6760000000004</v>
      </c>
      <c r="S80" s="3">
        <f t="shared" si="7"/>
        <v>175.91381305315392</v>
      </c>
    </row>
    <row r="81" spans="1:19" x14ac:dyDescent="0.25">
      <c r="A81">
        <v>88.75</v>
      </c>
      <c r="B81">
        <v>3539.665</v>
      </c>
      <c r="C81">
        <v>3447.893</v>
      </c>
      <c r="D81">
        <v>3055.0230000000001</v>
      </c>
      <c r="E81">
        <v>3059.74</v>
      </c>
      <c r="F81">
        <v>3585.8589999999999</v>
      </c>
      <c r="H81" s="2">
        <f t="shared" si="4"/>
        <v>3337.636</v>
      </c>
      <c r="I81" s="2">
        <f t="shared" si="5"/>
        <v>116.55112080198971</v>
      </c>
      <c r="K81">
        <v>88.75</v>
      </c>
      <c r="L81">
        <v>3601.047</v>
      </c>
      <c r="M81">
        <v>2749.6680000000001</v>
      </c>
      <c r="N81">
        <v>2801.55</v>
      </c>
      <c r="O81">
        <v>2777.2739999999999</v>
      </c>
      <c r="P81">
        <v>3014.8820000000001</v>
      </c>
      <c r="R81" s="3">
        <f t="shared" si="6"/>
        <v>2988.8841999999995</v>
      </c>
      <c r="S81" s="3">
        <f t="shared" si="7"/>
        <v>160.08069041655236</v>
      </c>
    </row>
    <row r="82" spans="1:19" x14ac:dyDescent="0.25">
      <c r="A82">
        <v>90</v>
      </c>
      <c r="B82">
        <v>3245.2429999999999</v>
      </c>
      <c r="C82">
        <v>3135.415</v>
      </c>
      <c r="D82">
        <v>2850.9989999999998</v>
      </c>
      <c r="E82">
        <v>2748.1619999999998</v>
      </c>
      <c r="F82">
        <v>3204.4059999999999</v>
      </c>
      <c r="H82" s="2">
        <f t="shared" si="4"/>
        <v>3036.8449999999998</v>
      </c>
      <c r="I82" s="2">
        <f t="shared" si="5"/>
        <v>99.774513336322542</v>
      </c>
      <c r="K82">
        <v>90</v>
      </c>
      <c r="L82">
        <v>3212.9059999999999</v>
      </c>
      <c r="M82">
        <v>2469.3319999999999</v>
      </c>
      <c r="N82">
        <v>2504.8789999999999</v>
      </c>
      <c r="O82">
        <v>2390.0239999999999</v>
      </c>
      <c r="P82">
        <v>2660.9670000000001</v>
      </c>
      <c r="R82" s="3">
        <f t="shared" si="6"/>
        <v>2647.6215999999999</v>
      </c>
      <c r="S82" s="3">
        <f t="shared" si="7"/>
        <v>148.02765069965838</v>
      </c>
    </row>
    <row r="83" spans="1:19" x14ac:dyDescent="0.25">
      <c r="A83">
        <v>91.25</v>
      </c>
      <c r="B83">
        <v>3550.212</v>
      </c>
      <c r="C83">
        <v>3424.1840000000002</v>
      </c>
      <c r="D83">
        <v>3123.6089999999999</v>
      </c>
      <c r="E83">
        <v>2928.2730000000001</v>
      </c>
      <c r="F83">
        <v>3363.451</v>
      </c>
      <c r="H83" s="2">
        <f t="shared" si="4"/>
        <v>3277.9458000000004</v>
      </c>
      <c r="I83" s="2">
        <f t="shared" si="5"/>
        <v>111.56086879430438</v>
      </c>
      <c r="K83">
        <v>91.25</v>
      </c>
      <c r="L83">
        <v>3461.5390000000002</v>
      </c>
      <c r="M83">
        <v>2584.4769999999999</v>
      </c>
      <c r="N83">
        <v>2749.6210000000001</v>
      </c>
      <c r="O83">
        <v>2573.3510000000001</v>
      </c>
      <c r="P83">
        <v>2856.1170000000002</v>
      </c>
      <c r="R83" s="3">
        <f t="shared" si="6"/>
        <v>2845.0209999999997</v>
      </c>
      <c r="S83" s="3">
        <f t="shared" si="7"/>
        <v>162.9427031775285</v>
      </c>
    </row>
    <row r="84" spans="1:19" x14ac:dyDescent="0.25">
      <c r="A84">
        <v>92.5</v>
      </c>
      <c r="B84">
        <v>4140.24</v>
      </c>
      <c r="C84">
        <v>4032.2890000000002</v>
      </c>
      <c r="D84">
        <v>3629.36</v>
      </c>
      <c r="E84">
        <v>3286.1</v>
      </c>
      <c r="F84">
        <v>3819.0990000000002</v>
      </c>
      <c r="H84" s="2">
        <f t="shared" si="4"/>
        <v>3781.4176000000007</v>
      </c>
      <c r="I84" s="2">
        <f t="shared" si="5"/>
        <v>151.91624346547016</v>
      </c>
      <c r="K84">
        <v>92.5</v>
      </c>
      <c r="L84">
        <v>4048.3890000000001</v>
      </c>
      <c r="M84">
        <v>2940.8380000000002</v>
      </c>
      <c r="N84">
        <v>3262.2930000000001</v>
      </c>
      <c r="O84">
        <v>3081.1660000000002</v>
      </c>
      <c r="P84">
        <v>3389.0430000000001</v>
      </c>
      <c r="R84" s="3">
        <f t="shared" si="6"/>
        <v>3344.3458000000005</v>
      </c>
      <c r="S84" s="3">
        <f t="shared" si="7"/>
        <v>191.89704022349886</v>
      </c>
    </row>
    <row r="85" spans="1:19" x14ac:dyDescent="0.25">
      <c r="A85">
        <v>93.75</v>
      </c>
      <c r="B85">
        <v>4569.442</v>
      </c>
      <c r="C85">
        <v>4561.192</v>
      </c>
      <c r="D85">
        <v>4022.491</v>
      </c>
      <c r="E85">
        <v>3643.2939999999999</v>
      </c>
      <c r="F85">
        <v>4233.3419999999996</v>
      </c>
      <c r="H85" s="2">
        <f t="shared" si="4"/>
        <v>4205.9522000000006</v>
      </c>
      <c r="I85" s="2">
        <f t="shared" si="5"/>
        <v>174.54406510746793</v>
      </c>
      <c r="K85">
        <v>93.75</v>
      </c>
      <c r="L85">
        <v>4584.0159999999996</v>
      </c>
      <c r="M85">
        <v>3224.3809999999999</v>
      </c>
      <c r="N85">
        <v>3704.5529999999999</v>
      </c>
      <c r="O85">
        <v>3479.819</v>
      </c>
      <c r="P85">
        <v>3843.0790000000002</v>
      </c>
      <c r="R85" s="3">
        <f t="shared" si="6"/>
        <v>3767.1695999999997</v>
      </c>
      <c r="S85" s="3">
        <f t="shared" si="7"/>
        <v>229.57688781835193</v>
      </c>
    </row>
    <row r="86" spans="1:19" x14ac:dyDescent="0.25">
      <c r="A86">
        <v>95</v>
      </c>
      <c r="B86">
        <v>4630.5600000000004</v>
      </c>
      <c r="C86">
        <v>4647.0600000000004</v>
      </c>
      <c r="D86">
        <v>4068.0320000000002</v>
      </c>
      <c r="E86">
        <v>3853.5479999999998</v>
      </c>
      <c r="F86">
        <v>4397.0590000000002</v>
      </c>
      <c r="H86" s="2">
        <f t="shared" si="4"/>
        <v>4319.2518</v>
      </c>
      <c r="I86" s="2">
        <f t="shared" si="5"/>
        <v>156.5912495947332</v>
      </c>
      <c r="K86">
        <v>95</v>
      </c>
      <c r="L86">
        <v>4746.3909999999996</v>
      </c>
      <c r="M86">
        <v>3309.3409999999999</v>
      </c>
      <c r="N86">
        <v>3773.8159999999998</v>
      </c>
      <c r="O86">
        <v>3574.627</v>
      </c>
      <c r="P86">
        <v>3944.61</v>
      </c>
      <c r="R86" s="3">
        <f t="shared" si="6"/>
        <v>3869.7570000000001</v>
      </c>
      <c r="S86" s="3">
        <f t="shared" si="7"/>
        <v>243.35803120115028</v>
      </c>
    </row>
    <row r="87" spans="1:19" x14ac:dyDescent="0.25">
      <c r="A87">
        <v>96.25</v>
      </c>
      <c r="B87">
        <v>4496.4170000000004</v>
      </c>
      <c r="C87">
        <v>4390.6490000000003</v>
      </c>
      <c r="D87">
        <v>3897.5419999999999</v>
      </c>
      <c r="E87">
        <v>4014.558</v>
      </c>
      <c r="F87">
        <v>4465.4009999999998</v>
      </c>
      <c r="H87" s="2">
        <f t="shared" si="4"/>
        <v>4252.9134000000004</v>
      </c>
      <c r="I87" s="2">
        <f t="shared" si="5"/>
        <v>123.79786095106819</v>
      </c>
      <c r="K87">
        <v>96.25</v>
      </c>
      <c r="L87">
        <v>4546.9660000000003</v>
      </c>
      <c r="M87">
        <v>3322.4140000000002</v>
      </c>
      <c r="N87">
        <v>3579.826</v>
      </c>
      <c r="O87">
        <v>3461.7460000000001</v>
      </c>
      <c r="P87">
        <v>3764.0070000000001</v>
      </c>
      <c r="R87" s="3">
        <f t="shared" si="6"/>
        <v>3734.9918000000007</v>
      </c>
      <c r="S87" s="3">
        <f t="shared" si="7"/>
        <v>215.53469756129601</v>
      </c>
    </row>
    <row r="88" spans="1:19" x14ac:dyDescent="0.25">
      <c r="A88">
        <v>97.5</v>
      </c>
      <c r="B88">
        <v>4535.0609999999997</v>
      </c>
      <c r="C88">
        <v>4225.2820000000002</v>
      </c>
      <c r="D88">
        <v>3819.2959999999998</v>
      </c>
      <c r="E88">
        <v>4314.4520000000002</v>
      </c>
      <c r="F88">
        <v>4571.3680000000004</v>
      </c>
      <c r="H88" s="2">
        <f t="shared" si="4"/>
        <v>4293.0918000000001</v>
      </c>
      <c r="I88" s="2">
        <f t="shared" si="5"/>
        <v>135.18942718511684</v>
      </c>
      <c r="K88">
        <v>97.5</v>
      </c>
      <c r="L88">
        <v>4352.5940000000001</v>
      </c>
      <c r="M88">
        <v>3439.5880000000002</v>
      </c>
      <c r="N88">
        <v>3445.9659999999999</v>
      </c>
      <c r="O88">
        <v>3434.97</v>
      </c>
      <c r="P88">
        <v>3721.377</v>
      </c>
      <c r="R88" s="3">
        <f t="shared" si="6"/>
        <v>3678.8989999999999</v>
      </c>
      <c r="S88" s="3">
        <f t="shared" si="7"/>
        <v>177.01669804851744</v>
      </c>
    </row>
    <row r="89" spans="1:19" x14ac:dyDescent="0.25">
      <c r="A89">
        <v>98.75</v>
      </c>
      <c r="B89">
        <v>4724.2489999999998</v>
      </c>
      <c r="C89">
        <v>4306.3249999999998</v>
      </c>
      <c r="D89">
        <v>3901.4560000000001</v>
      </c>
      <c r="E89">
        <v>4510.4350000000004</v>
      </c>
      <c r="F89">
        <v>4720.259</v>
      </c>
      <c r="H89" s="2">
        <f t="shared" si="4"/>
        <v>4432.5448000000006</v>
      </c>
      <c r="I89" s="2">
        <f t="shared" si="5"/>
        <v>153.61061744436805</v>
      </c>
      <c r="K89">
        <v>98.75</v>
      </c>
      <c r="L89">
        <v>4374.942</v>
      </c>
      <c r="M89">
        <v>3572.8380000000002</v>
      </c>
      <c r="N89">
        <v>3485.4389999999999</v>
      </c>
      <c r="O89">
        <v>3509.2959999999998</v>
      </c>
      <c r="P89">
        <v>3845.1109999999999</v>
      </c>
      <c r="R89" s="3">
        <f t="shared" si="6"/>
        <v>3757.5252</v>
      </c>
      <c r="S89" s="3">
        <f t="shared" si="7"/>
        <v>167.12761218464172</v>
      </c>
    </row>
    <row r="90" spans="1:19" x14ac:dyDescent="0.25">
      <c r="A90">
        <v>100</v>
      </c>
      <c r="B90">
        <v>4857.8029999999999</v>
      </c>
      <c r="C90">
        <v>4363.4440000000004</v>
      </c>
      <c r="D90">
        <v>3948.875</v>
      </c>
      <c r="E90">
        <v>4524.4309999999996</v>
      </c>
      <c r="F90">
        <v>4784.1289999999999</v>
      </c>
      <c r="H90" s="2">
        <f t="shared" si="4"/>
        <v>4495.7363999999998</v>
      </c>
      <c r="I90" s="2">
        <f t="shared" si="5"/>
        <v>163.04057233510923</v>
      </c>
      <c r="K90">
        <v>100</v>
      </c>
      <c r="L90">
        <v>4417.1499999999996</v>
      </c>
      <c r="M90">
        <v>3609.8020000000001</v>
      </c>
      <c r="N90">
        <v>3516.076</v>
      </c>
      <c r="O90">
        <v>3550.5630000000001</v>
      </c>
      <c r="P90">
        <v>3921.6750000000002</v>
      </c>
      <c r="R90" s="3">
        <f t="shared" si="6"/>
        <v>3803.0531999999998</v>
      </c>
      <c r="S90" s="3">
        <f t="shared" si="7"/>
        <v>169.50505183073443</v>
      </c>
    </row>
    <row r="91" spans="1:19" x14ac:dyDescent="0.25">
      <c r="A91">
        <v>101.25</v>
      </c>
      <c r="B91">
        <v>4801.9759999999997</v>
      </c>
      <c r="C91">
        <v>4285.3559999999998</v>
      </c>
      <c r="D91">
        <v>3837.5210000000002</v>
      </c>
      <c r="E91">
        <v>4357.8720000000003</v>
      </c>
      <c r="F91">
        <v>4689.5519999999997</v>
      </c>
      <c r="H91" s="2">
        <f t="shared" si="4"/>
        <v>4394.4553999999998</v>
      </c>
      <c r="I91" s="2">
        <f t="shared" si="5"/>
        <v>169.78986908752822</v>
      </c>
      <c r="K91">
        <v>101.25</v>
      </c>
      <c r="L91">
        <v>4349.2250000000004</v>
      </c>
      <c r="M91">
        <v>3506.402</v>
      </c>
      <c r="N91">
        <v>3442.8829999999998</v>
      </c>
      <c r="O91">
        <v>3452.9560000000001</v>
      </c>
      <c r="P91">
        <v>3825.518</v>
      </c>
      <c r="R91" s="3">
        <f t="shared" si="6"/>
        <v>3715.3968</v>
      </c>
      <c r="S91" s="3">
        <f t="shared" si="7"/>
        <v>173.30358290104687</v>
      </c>
    </row>
    <row r="92" spans="1:19" x14ac:dyDescent="0.25">
      <c r="A92">
        <v>102.5</v>
      </c>
      <c r="B92">
        <v>4579.9250000000002</v>
      </c>
      <c r="C92">
        <v>4087.297</v>
      </c>
      <c r="D92">
        <v>3577.47</v>
      </c>
      <c r="E92">
        <v>4020.6190000000001</v>
      </c>
      <c r="F92">
        <v>4432.1480000000001</v>
      </c>
      <c r="H92" s="2">
        <f t="shared" si="4"/>
        <v>4139.4917999999998</v>
      </c>
      <c r="I92" s="2">
        <f t="shared" si="5"/>
        <v>174.97894137049752</v>
      </c>
      <c r="K92">
        <v>102.5</v>
      </c>
      <c r="L92">
        <v>4124.7359999999999</v>
      </c>
      <c r="M92">
        <v>3296.9470000000001</v>
      </c>
      <c r="N92">
        <v>3251.2869999999998</v>
      </c>
      <c r="O92">
        <v>3238.5160000000001</v>
      </c>
      <c r="P92">
        <v>3594.1</v>
      </c>
      <c r="R92" s="3">
        <f t="shared" si="6"/>
        <v>3501.1171999999997</v>
      </c>
      <c r="S92" s="3">
        <f t="shared" si="7"/>
        <v>168.90917654923305</v>
      </c>
    </row>
    <row r="93" spans="1:19" x14ac:dyDescent="0.25">
      <c r="A93">
        <v>103.75</v>
      </c>
      <c r="B93">
        <v>4144.8029999999999</v>
      </c>
      <c r="C93">
        <v>3718.1030000000001</v>
      </c>
      <c r="D93">
        <v>3185.9369999999999</v>
      </c>
      <c r="E93">
        <v>3486.8290000000002</v>
      </c>
      <c r="F93">
        <v>4024.1329999999998</v>
      </c>
      <c r="H93" s="2">
        <f t="shared" si="4"/>
        <v>3711.9610000000002</v>
      </c>
      <c r="I93" s="2">
        <f t="shared" si="5"/>
        <v>174.96098775327025</v>
      </c>
      <c r="K93">
        <v>103.75</v>
      </c>
      <c r="L93">
        <v>3738.8829999999998</v>
      </c>
      <c r="M93">
        <v>2945.0529999999999</v>
      </c>
      <c r="N93">
        <v>2918.6390000000001</v>
      </c>
      <c r="O93">
        <v>2898.3069999999998</v>
      </c>
      <c r="P93">
        <v>3235.9180000000001</v>
      </c>
      <c r="R93" s="3">
        <f t="shared" si="6"/>
        <v>3147.36</v>
      </c>
      <c r="S93" s="3">
        <f t="shared" si="7"/>
        <v>160.15785865701289</v>
      </c>
    </row>
    <row r="94" spans="1:19" x14ac:dyDescent="0.25">
      <c r="A94">
        <v>105</v>
      </c>
      <c r="B94">
        <v>3546.4760000000001</v>
      </c>
      <c r="C94">
        <v>3200.68</v>
      </c>
      <c r="D94">
        <v>2685.8119999999999</v>
      </c>
      <c r="E94">
        <v>2913.3809999999999</v>
      </c>
      <c r="F94">
        <v>3513.19</v>
      </c>
      <c r="H94" s="2">
        <f t="shared" si="4"/>
        <v>3171.9078</v>
      </c>
      <c r="I94" s="2">
        <f t="shared" si="5"/>
        <v>167.44072818116774</v>
      </c>
      <c r="K94">
        <v>105</v>
      </c>
      <c r="L94">
        <v>3201.3960000000002</v>
      </c>
      <c r="M94">
        <v>2510.4769999999999</v>
      </c>
      <c r="N94">
        <v>2471.0079999999998</v>
      </c>
      <c r="O94">
        <v>2499.1280000000002</v>
      </c>
      <c r="P94">
        <v>2773.6030000000001</v>
      </c>
      <c r="R94" s="3">
        <f t="shared" si="6"/>
        <v>2691.1224000000002</v>
      </c>
      <c r="S94" s="3">
        <f t="shared" si="7"/>
        <v>138.76727919311389</v>
      </c>
    </row>
    <row r="95" spans="1:19" x14ac:dyDescent="0.25">
      <c r="A95">
        <v>106.25</v>
      </c>
      <c r="B95">
        <v>3024.6849999999999</v>
      </c>
      <c r="C95">
        <v>2725.837</v>
      </c>
      <c r="D95">
        <v>2257.11</v>
      </c>
      <c r="E95">
        <v>2550.5549999999998</v>
      </c>
      <c r="F95">
        <v>3057.0419999999999</v>
      </c>
      <c r="H95" s="2">
        <f t="shared" si="4"/>
        <v>2723.0457999999999</v>
      </c>
      <c r="I95" s="2">
        <f t="shared" si="5"/>
        <v>149.89941714276171</v>
      </c>
      <c r="K95">
        <v>106.25</v>
      </c>
      <c r="L95">
        <v>2693.415</v>
      </c>
      <c r="M95">
        <v>2187.7150000000001</v>
      </c>
      <c r="N95">
        <v>2088.6689999999999</v>
      </c>
      <c r="O95">
        <v>2196.431</v>
      </c>
      <c r="P95">
        <v>2395.0329999999999</v>
      </c>
      <c r="R95" s="3">
        <f t="shared" si="6"/>
        <v>2312.2525999999998</v>
      </c>
      <c r="S95" s="3">
        <f t="shared" si="7"/>
        <v>107.4828481263871</v>
      </c>
    </row>
    <row r="96" spans="1:19" x14ac:dyDescent="0.25">
      <c r="A96">
        <v>107.5</v>
      </c>
      <c r="B96">
        <v>2737.6959999999999</v>
      </c>
      <c r="C96">
        <v>2477.366</v>
      </c>
      <c r="D96">
        <v>2042.336</v>
      </c>
      <c r="E96">
        <v>2373.904</v>
      </c>
      <c r="F96">
        <v>2762.261</v>
      </c>
      <c r="H96" s="2">
        <f t="shared" si="4"/>
        <v>2478.7125999999998</v>
      </c>
      <c r="I96" s="2">
        <f t="shared" si="5"/>
        <v>132.07635852248464</v>
      </c>
      <c r="K96">
        <v>107.5</v>
      </c>
      <c r="L96">
        <v>2407.0329999999999</v>
      </c>
      <c r="M96">
        <v>2026.463</v>
      </c>
      <c r="N96">
        <v>1906.346</v>
      </c>
      <c r="O96">
        <v>2030.232</v>
      </c>
      <c r="P96">
        <v>2208.4180000000001</v>
      </c>
      <c r="R96" s="3">
        <f t="shared" si="6"/>
        <v>2115.6984000000002</v>
      </c>
      <c r="S96" s="3">
        <f t="shared" si="7"/>
        <v>87.340901904319693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BRIGHT!OCT_RAW___\AQ02\_dark_profiles_AQ02_DARK</vt:lpstr>
      <vt:lpstr>BRIGHT!OCT_RAW___\AQ02\_light_profiles_AQ02_LIGHT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2020-01-17T02:52:07Z</dcterms:modified>
</cp:coreProperties>
</file>