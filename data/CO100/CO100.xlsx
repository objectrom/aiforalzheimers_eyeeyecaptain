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CO100\"/>
    </mc:Choice>
  </mc:AlternateContent>
  <xr:revisionPtr revIDLastSave="0" documentId="13_ncr:1_{8671F547-4BA0-4A69-8E5C-3EBEF0840E65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CO14\_dark_profiles_CO14_DARK" localSheetId="0">BRIGHT!$A$2:$F$96</definedName>
    <definedName name="OCT_RAW___\CO14\_fovea_dark_profiles_CO14_DARK" localSheetId="0">BRIGHT!#REF!</definedName>
    <definedName name="OCT_RAW___\CO14\_fovea_light_profiles_CO14_LIGHT" localSheetId="0">BRIGHT!#REF!</definedName>
    <definedName name="OCT_RAW___\CO14\_light_profiles_CO14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75A07F-706C-43B6-A434-660C81CDED9B}" name="[[[OCT RAW]]]\CO14\_dark_profiles_CO14_DARK" type="6" refreshedVersion="6" background="1" saveData="1">
    <textPr codePage="437" sourceFile="E:\[Documents]\[[[OCT RAW]]]\CO14\_dark_profiles_CO14_DARK.txt" space="1" consecutive="1">
      <textFields count="6">
        <textField/>
        <textField/>
        <textField/>
        <textField/>
        <textField/>
        <textField/>
      </textFields>
    </textPr>
  </connection>
  <connection id="2" xr16:uid="{DDF9047F-CE1E-4D1E-BB47-D4D83011A7A8}" name="[[[OCT RAW]]]\CO14\_light_profiles_CO14_LIGHT" type="6" refreshedVersion="6" background="1" saveData="1">
    <textPr codePage="437" sourceFile="E:\[Documents]\[[[OCT RAW]]]\CO14\_light_profiles_CO14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<sst xmlns="http://schemas.openxmlformats.org/spreadsheetml/2006/main" count="12" uniqueCount="8">
  <si>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</si>
  <si>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</si>
  <si>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</si>
  <si>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</si>
  <si>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</si>
  <si>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</si>
  <si>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CO100_DARK</t>
  </si>
  <si>
    <t>CO100_LIGHT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</si>
</sst>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548.52379999999994</c:v>
                </c:pt>
                <c:pt idx="1">
                  <c:v>789.21260000000007</c:v>
                </c:pt>
                <c:pt idx="2">
                  <c:v>1448.2338</c:v>
                </c:pt>
                <c:pt idx="3">
                  <c:v>2245.1922</c:v>
                </c:pt>
                <c:pt idx="4">
                  <c:v>3108.2536000000005</c:v>
                </c:pt>
                <c:pt idx="5">
                  <c:v>3545.8858</c:v>
                </c:pt>
                <c:pt idx="6">
                  <c:v>3682.6325999999999</c:v>
                </c:pt>
                <c:pt idx="7">
                  <c:v>3769.0320000000006</c:v>
                </c:pt>
                <c:pt idx="8">
                  <c:v>3781.3245999999999</c:v>
                </c:pt>
                <c:pt idx="9">
                  <c:v>3721.8551999999995</c:v>
                </c:pt>
                <c:pt idx="10">
                  <c:v>3510.4425999999999</c:v>
                </c:pt>
                <c:pt idx="11">
                  <c:v>3082.1359999999995</c:v>
                </c:pt>
                <c:pt idx="12">
                  <c:v>2769.5491999999999</c:v>
                </c:pt>
                <c:pt idx="13">
                  <c:v>2647.6934000000001</c:v>
                </c:pt>
                <c:pt idx="14">
                  <c:v>2631.1557999999995</c:v>
                </c:pt>
                <c:pt idx="15">
                  <c:v>2635.0703999999996</c:v>
                </c:pt>
                <c:pt idx="16">
                  <c:v>2618.1671999999999</c:v>
                </c:pt>
                <c:pt idx="17">
                  <c:v>2593.0133999999998</c:v>
                </c:pt>
                <c:pt idx="18">
                  <c:v>2597.2330000000002</c:v>
                </c:pt>
                <c:pt idx="19">
                  <c:v>2610.1980000000003</c:v>
                </c:pt>
                <c:pt idx="20">
                  <c:v>2612.2511999999997</c:v>
                </c:pt>
                <c:pt idx="21">
                  <c:v>2583.7037999999998</c:v>
                </c:pt>
                <c:pt idx="22">
                  <c:v>2556.56</c:v>
                </c:pt>
                <c:pt idx="23">
                  <c:v>2565.4162000000006</c:v>
                </c:pt>
                <c:pt idx="24">
                  <c:v>2586.9580000000001</c:v>
                </c:pt>
                <c:pt idx="25">
                  <c:v>2609.7508000000003</c:v>
                </c:pt>
                <c:pt idx="26">
                  <c:v>2632.5154000000002</c:v>
                </c:pt>
                <c:pt idx="27">
                  <c:v>2665.2975999999999</c:v>
                </c:pt>
                <c:pt idx="28">
                  <c:v>2671.5672</c:v>
                </c:pt>
                <c:pt idx="29">
                  <c:v>2655.5842000000002</c:v>
                </c:pt>
                <c:pt idx="30">
                  <c:v>2647.6660000000002</c:v>
                </c:pt>
                <c:pt idx="31">
                  <c:v>2612.8329999999996</c:v>
                </c:pt>
                <c:pt idx="32">
                  <c:v>2478.4454000000001</c:v>
                </c:pt>
                <c:pt idx="33">
                  <c:v>2299.4865999999997</c:v>
                </c:pt>
                <c:pt idx="34">
                  <c:v>2141.9785999999999</c:v>
                </c:pt>
                <c:pt idx="35">
                  <c:v>2053.7363999999998</c:v>
                </c:pt>
                <c:pt idx="36">
                  <c:v>2007.1424</c:v>
                </c:pt>
                <c:pt idx="37">
                  <c:v>1979.7486000000001</c:v>
                </c:pt>
                <c:pt idx="38">
                  <c:v>1969.3804</c:v>
                </c:pt>
                <c:pt idx="39">
                  <c:v>1980.5264</c:v>
                </c:pt>
                <c:pt idx="40">
                  <c:v>2032.7202000000002</c:v>
                </c:pt>
                <c:pt idx="41">
                  <c:v>2122.7067999999999</c:v>
                </c:pt>
                <c:pt idx="42">
                  <c:v>2210.1324</c:v>
                </c:pt>
                <c:pt idx="43">
                  <c:v>2291.424</c:v>
                </c:pt>
                <c:pt idx="44">
                  <c:v>2358.5609999999997</c:v>
                </c:pt>
                <c:pt idx="45">
                  <c:v>2378.4962</c:v>
                </c:pt>
                <c:pt idx="46">
                  <c:v>2374.7544000000003</c:v>
                </c:pt>
                <c:pt idx="47">
                  <c:v>2335.6556</c:v>
                </c:pt>
                <c:pt idx="48">
                  <c:v>2231.6573999999996</c:v>
                </c:pt>
                <c:pt idx="49">
                  <c:v>2086.1484</c:v>
                </c:pt>
                <c:pt idx="50">
                  <c:v>1935.0559999999998</c:v>
                </c:pt>
                <c:pt idx="51">
                  <c:v>1849.4335999999998</c:v>
                </c:pt>
                <c:pt idx="52">
                  <c:v>1761.9358</c:v>
                </c:pt>
                <c:pt idx="53">
                  <c:v>1693.8054</c:v>
                </c:pt>
                <c:pt idx="54">
                  <c:v>1626.643</c:v>
                </c:pt>
                <c:pt idx="55">
                  <c:v>1571.3149999999998</c:v>
                </c:pt>
                <c:pt idx="56">
                  <c:v>1527.4398000000001</c:v>
                </c:pt>
                <c:pt idx="57">
                  <c:v>1504.2103999999999</c:v>
                </c:pt>
                <c:pt idx="58">
                  <c:v>1493.9833999999998</c:v>
                </c:pt>
                <c:pt idx="59">
                  <c:v>1488.1631999999997</c:v>
                </c:pt>
                <c:pt idx="60">
                  <c:v>1475.1867999999999</c:v>
                </c:pt>
                <c:pt idx="61">
                  <c:v>1458.7667999999999</c:v>
                </c:pt>
                <c:pt idx="62">
                  <c:v>1451.1111999999998</c:v>
                </c:pt>
                <c:pt idx="63">
                  <c:v>1514.1584000000003</c:v>
                </c:pt>
                <c:pt idx="64">
                  <c:v>1677.6583999999998</c:v>
                </c:pt>
                <c:pt idx="65">
                  <c:v>1783.2435999999998</c:v>
                </c:pt>
                <c:pt idx="66">
                  <c:v>1716.8472000000002</c:v>
                </c:pt>
                <c:pt idx="67">
                  <c:v>1606.2224000000001</c:v>
                </c:pt>
                <c:pt idx="68">
                  <c:v>1618.4924000000001</c:v>
                </c:pt>
                <c:pt idx="69">
                  <c:v>2006.7237999999998</c:v>
                </c:pt>
                <c:pt idx="70">
                  <c:v>2734.6307999999999</c:v>
                </c:pt>
                <c:pt idx="71">
                  <c:v>3427.3184000000001</c:v>
                </c:pt>
                <c:pt idx="72">
                  <c:v>3721.9505999999992</c:v>
                </c:pt>
                <c:pt idx="73">
                  <c:v>3502.9404000000004</c:v>
                </c:pt>
                <c:pt idx="74">
                  <c:v>3001.7550000000001</c:v>
                </c:pt>
                <c:pt idx="75">
                  <c:v>2655.2402000000002</c:v>
                </c:pt>
                <c:pt idx="76">
                  <c:v>2643.8635999999997</c:v>
                </c:pt>
                <c:pt idx="77">
                  <c:v>2811.0448000000001</c:v>
                </c:pt>
                <c:pt idx="78">
                  <c:v>3063.8743999999997</c:v>
                </c:pt>
                <c:pt idx="79">
                  <c:v>3336.6668000000004</c:v>
                </c:pt>
                <c:pt idx="80">
                  <c:v>3585.989</c:v>
                </c:pt>
                <c:pt idx="81">
                  <c:v>3857.9805999999999</c:v>
                </c:pt>
                <c:pt idx="82">
                  <c:v>4133.4520000000002</c:v>
                </c:pt>
                <c:pt idx="83">
                  <c:v>4240.5749999999998</c:v>
                </c:pt>
                <c:pt idx="84">
                  <c:v>4056.8396000000002</c:v>
                </c:pt>
                <c:pt idx="85">
                  <c:v>3675.6747999999998</c:v>
                </c:pt>
                <c:pt idx="86">
                  <c:v>3228.3136000000004</c:v>
                </c:pt>
                <c:pt idx="87">
                  <c:v>2861.1809999999996</c:v>
                </c:pt>
                <c:pt idx="88">
                  <c:v>2662.7689999999998</c:v>
                </c:pt>
                <c:pt idx="89">
                  <c:v>2513.2737999999999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441.71540000000005</c:v>
                </c:pt>
                <c:pt idx="1">
                  <c:v>645.86479999999995</c:v>
                </c:pt>
                <c:pt idx="2">
                  <c:v>1224.8102000000001</c:v>
                </c:pt>
                <c:pt idx="3">
                  <c:v>1902.45</c:v>
                </c:pt>
                <c:pt idx="4">
                  <c:v>2630.857</c:v>
                </c:pt>
                <c:pt idx="5">
                  <c:v>3009.3347999999996</c:v>
                </c:pt>
                <c:pt idx="6">
                  <c:v>3146.5341999999996</c:v>
                </c:pt>
                <c:pt idx="7">
                  <c:v>3167.8015999999998</c:v>
                </c:pt>
                <c:pt idx="8">
                  <c:v>3136.1590000000001</c:v>
                </c:pt>
                <c:pt idx="9">
                  <c:v>3081.7266</c:v>
                </c:pt>
                <c:pt idx="10">
                  <c:v>2924.0196000000005</c:v>
                </c:pt>
                <c:pt idx="11">
                  <c:v>2597.2849999999999</c:v>
                </c:pt>
                <c:pt idx="12">
                  <c:v>2344.5395999999996</c:v>
                </c:pt>
                <c:pt idx="13">
                  <c:v>2228.5662000000002</c:v>
                </c:pt>
                <c:pt idx="14">
                  <c:v>2208.6282000000001</c:v>
                </c:pt>
                <c:pt idx="15">
                  <c:v>2211.2628</c:v>
                </c:pt>
                <c:pt idx="16">
                  <c:v>2196.7314000000001</c:v>
                </c:pt>
                <c:pt idx="17">
                  <c:v>2178.4668000000001</c:v>
                </c:pt>
                <c:pt idx="18">
                  <c:v>2175.9582</c:v>
                </c:pt>
                <c:pt idx="19">
                  <c:v>2183.3594000000003</c:v>
                </c:pt>
                <c:pt idx="20">
                  <c:v>2181.3910000000001</c:v>
                </c:pt>
                <c:pt idx="21">
                  <c:v>2156.4134000000004</c:v>
                </c:pt>
                <c:pt idx="22">
                  <c:v>2131.4924000000001</c:v>
                </c:pt>
                <c:pt idx="23">
                  <c:v>2136.5214000000001</c:v>
                </c:pt>
                <c:pt idx="24">
                  <c:v>2157.4609999999998</c:v>
                </c:pt>
                <c:pt idx="25">
                  <c:v>2176.0322000000006</c:v>
                </c:pt>
                <c:pt idx="26">
                  <c:v>2195.7948000000001</c:v>
                </c:pt>
                <c:pt idx="27">
                  <c:v>2224.6583999999998</c:v>
                </c:pt>
                <c:pt idx="28">
                  <c:v>2241.8165999999997</c:v>
                </c:pt>
                <c:pt idx="29">
                  <c:v>2234.6282000000001</c:v>
                </c:pt>
                <c:pt idx="30">
                  <c:v>2227.6646000000001</c:v>
                </c:pt>
                <c:pt idx="31">
                  <c:v>2198.4133999999999</c:v>
                </c:pt>
                <c:pt idx="32">
                  <c:v>2092.3375999999998</c:v>
                </c:pt>
                <c:pt idx="33">
                  <c:v>1944.3721999999998</c:v>
                </c:pt>
                <c:pt idx="34">
                  <c:v>1808.2635999999998</c:v>
                </c:pt>
                <c:pt idx="35">
                  <c:v>1728.0582000000002</c:v>
                </c:pt>
                <c:pt idx="36">
                  <c:v>1684.7156</c:v>
                </c:pt>
                <c:pt idx="37">
                  <c:v>1663.1214</c:v>
                </c:pt>
                <c:pt idx="38">
                  <c:v>1655.9995999999999</c:v>
                </c:pt>
                <c:pt idx="39">
                  <c:v>1667.7864000000002</c:v>
                </c:pt>
                <c:pt idx="40">
                  <c:v>1718.2962</c:v>
                </c:pt>
                <c:pt idx="41">
                  <c:v>1798.4968000000001</c:v>
                </c:pt>
                <c:pt idx="42">
                  <c:v>1866.4546000000003</c:v>
                </c:pt>
                <c:pt idx="43">
                  <c:v>1921.9105999999999</c:v>
                </c:pt>
                <c:pt idx="44">
                  <c:v>1964.6399999999999</c:v>
                </c:pt>
                <c:pt idx="45">
                  <c:v>1981.9425999999999</c:v>
                </c:pt>
                <c:pt idx="46">
                  <c:v>1991.6333999999999</c:v>
                </c:pt>
                <c:pt idx="47">
                  <c:v>1974.5261999999998</c:v>
                </c:pt>
                <c:pt idx="48">
                  <c:v>1895.3236000000002</c:v>
                </c:pt>
                <c:pt idx="49">
                  <c:v>1777.7742000000003</c:v>
                </c:pt>
                <c:pt idx="50">
                  <c:v>1661.5490000000002</c:v>
                </c:pt>
                <c:pt idx="51">
                  <c:v>1581.0802000000001</c:v>
                </c:pt>
                <c:pt idx="52">
                  <c:v>1516.5822000000003</c:v>
                </c:pt>
                <c:pt idx="53">
                  <c:v>1460.5830000000001</c:v>
                </c:pt>
                <c:pt idx="54">
                  <c:v>1409.134</c:v>
                </c:pt>
                <c:pt idx="55">
                  <c:v>1359.5001999999999</c:v>
                </c:pt>
                <c:pt idx="56">
                  <c:v>1318.0662000000002</c:v>
                </c:pt>
                <c:pt idx="57">
                  <c:v>1285.3910000000001</c:v>
                </c:pt>
                <c:pt idx="58">
                  <c:v>1271.2396000000001</c:v>
                </c:pt>
                <c:pt idx="59">
                  <c:v>1264.7860000000001</c:v>
                </c:pt>
                <c:pt idx="60">
                  <c:v>1257.1361999999999</c:v>
                </c:pt>
                <c:pt idx="61">
                  <c:v>1243.2230000000002</c:v>
                </c:pt>
                <c:pt idx="62">
                  <c:v>1237.2738000000002</c:v>
                </c:pt>
                <c:pt idx="63">
                  <c:v>1296.729</c:v>
                </c:pt>
                <c:pt idx="64">
                  <c:v>1455.999</c:v>
                </c:pt>
                <c:pt idx="65">
                  <c:v>1561.3610000000001</c:v>
                </c:pt>
                <c:pt idx="66">
                  <c:v>1504.8779999999999</c:v>
                </c:pt>
                <c:pt idx="67">
                  <c:v>1404.6319999999998</c:v>
                </c:pt>
                <c:pt idx="68">
                  <c:v>1425.0369999999998</c:v>
                </c:pt>
                <c:pt idx="69">
                  <c:v>1843.2374</c:v>
                </c:pt>
                <c:pt idx="70">
                  <c:v>2569.0472</c:v>
                </c:pt>
                <c:pt idx="71">
                  <c:v>3234.2543999999998</c:v>
                </c:pt>
                <c:pt idx="72">
                  <c:v>3540.9857999999999</c:v>
                </c:pt>
                <c:pt idx="73">
                  <c:v>3367.4012000000002</c:v>
                </c:pt>
                <c:pt idx="74">
                  <c:v>2890.3294000000001</c:v>
                </c:pt>
                <c:pt idx="75">
                  <c:v>2528.6288</c:v>
                </c:pt>
                <c:pt idx="76">
                  <c:v>2539.7012</c:v>
                </c:pt>
                <c:pt idx="77">
                  <c:v>2773.4162000000001</c:v>
                </c:pt>
                <c:pt idx="78">
                  <c:v>3037.4983999999999</c:v>
                </c:pt>
                <c:pt idx="79">
                  <c:v>3227.4940000000001</c:v>
                </c:pt>
                <c:pt idx="80">
                  <c:v>3319.1214</c:v>
                </c:pt>
                <c:pt idx="81">
                  <c:v>3403.4009999999994</c:v>
                </c:pt>
                <c:pt idx="82">
                  <c:v>3576.9571999999998</c:v>
                </c:pt>
                <c:pt idx="83">
                  <c:v>3696.2464</c:v>
                </c:pt>
                <c:pt idx="84">
                  <c:v>3577.7676000000001</c:v>
                </c:pt>
                <c:pt idx="85">
                  <c:v>3278.8417999999997</c:v>
                </c:pt>
                <c:pt idx="86">
                  <c:v>2897.2714000000001</c:v>
                </c:pt>
                <c:pt idx="87">
                  <c:v>2542.6806000000001</c:v>
                </c:pt>
                <c:pt idx="88">
                  <c:v>2339.4911999999999</c:v>
                </c:pt>
                <c:pt idx="89">
                  <c:v>2210.1194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14\_light_profiles_CO14_LIGHT" connectionId="2" xr16:uid="{39473CA0-C933-4DB4-85FC-254DA1454B64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14\_dark_profiles_CO14_DARK" connectionId="1" xr16:uid="{5CB15FCB-8EB1-448C-8C74-D15563FADA9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2" sqref="K2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4.1470000000000002</v>
      </c>
      <c r="C3">
        <v>-0.96499999999999997</v>
      </c>
      <c r="D3">
        <v>2.0859999999999999</v>
      </c>
      <c r="E3">
        <v>1.7709999999999999</v>
      </c>
      <c r="F3">
        <v>-0.82099999999999995</v>
      </c>
      <c r="K3" t="s">
        <v>0</v>
      </c>
      <c r="L3">
        <v>-1.8089999999999999</v>
      </c>
      <c r="M3">
        <v>-0.45300000000000001</v>
      </c>
      <c r="N3">
        <v>-1.766</v>
      </c>
      <c r="O3">
        <v>-0.122</v>
      </c>
      <c r="P3">
        <v>-0.29799999999999999</v>
      </c>
    </row>
    <row r="4" spans="1:19" x14ac:dyDescent="0.25">
      <c r="A4" t="s">
        <v>1</v>
      </c>
      <c r="B4">
        <v>341.625</v>
      </c>
      <c r="C4">
        <v>342.71800000000002</v>
      </c>
      <c r="D4">
        <v>342.13</v>
      </c>
      <c r="E4">
        <v>341.67200000000003</v>
      </c>
      <c r="F4">
        <v>343.23099999999999</v>
      </c>
      <c r="H4" s="2">
        <f>AVERAGE(B4:F4)</f>
        <v>342.27519999999998</v>
      </c>
      <c r="I4" s="2">
        <f>STDEV(B4:F4)/SQRT(COUNT(B4:F4))</f>
        <v>0.30962225372217478</v>
      </c>
      <c r="K4" t="s">
        <v>1</v>
      </c>
      <c r="L4">
        <v>341.12900000000002</v>
      </c>
      <c r="M4">
        <v>341.64499999999998</v>
      </c>
      <c r="N4">
        <v>341.79</v>
      </c>
      <c r="O4">
        <v>342.64499999999998</v>
      </c>
      <c r="P4">
        <v>340.834</v>
      </c>
      <c r="R4" s="3">
        <f>AVERAGE(L4:P4)</f>
        <v>341.60860000000002</v>
      </c>
      <c r="S4" s="3">
        <f>STDEV(L4:P4)/SQRT(COUNT(L4:P4))</f>
        <v>0.3113179403760683</v>
      </c>
    </row>
    <row r="5" spans="1:19" x14ac:dyDescent="0.25">
      <c r="A5" t="s">
        <v>2</v>
      </c>
      <c r="B5">
        <v>67.215999999999994</v>
      </c>
      <c r="C5">
        <v>67.944000000000003</v>
      </c>
      <c r="D5">
        <v>68.159000000000006</v>
      </c>
      <c r="E5">
        <v>67.771000000000001</v>
      </c>
      <c r="F5">
        <v>67.918999999999997</v>
      </c>
      <c r="H5" s="2">
        <f t="shared" ref="H5:H68" si="0">AVERAGE(B5:F5)</f>
        <v>67.8018</v>
      </c>
      <c r="I5" s="2">
        <f t="shared" ref="I5:I68" si="1">STDEV(B5:F5)/SQRT(COUNT(B5:F5))</f>
        <v>0.15900610051190039</v>
      </c>
      <c r="K5" t="s">
        <v>2</v>
      </c>
      <c r="L5">
        <v>67.457999999999998</v>
      </c>
      <c r="M5">
        <v>67.12</v>
      </c>
      <c r="N5">
        <v>67.62</v>
      </c>
      <c r="O5">
        <v>67.92</v>
      </c>
      <c r="P5">
        <v>67.289000000000001</v>
      </c>
      <c r="R5" s="3">
        <f t="shared" ref="R5:R68" si="2">AVERAGE(L5:P5)</f>
        <v>67.481399999999994</v>
      </c>
      <c r="S5" s="3">
        <f t="shared" ref="S5:S68" si="3">STDEV(L5:P5)/SQRT(COUNT(L5:P5))</f>
        <v>0.13779608122149173</v>
      </c>
    </row>
    <row r="6" spans="1:19" x14ac:dyDescent="0.25">
      <c r="A6" t="s">
        <v>3</v>
      </c>
      <c r="B6">
        <v>40.496000000000002</v>
      </c>
      <c r="C6">
        <v>39.962000000000003</v>
      </c>
      <c r="D6">
        <v>40.268000000000001</v>
      </c>
      <c r="E6">
        <v>40.734999999999999</v>
      </c>
      <c r="F6">
        <v>40.435000000000002</v>
      </c>
      <c r="H6" s="2">
        <f t="shared" si="0"/>
        <v>40.379200000000004</v>
      </c>
      <c r="I6" s="2">
        <f t="shared" si="1"/>
        <v>0.12840771004889023</v>
      </c>
      <c r="K6" t="s">
        <v>3</v>
      </c>
      <c r="L6">
        <v>39.972999999999999</v>
      </c>
      <c r="M6">
        <v>37.76</v>
      </c>
      <c r="N6">
        <v>40.061</v>
      </c>
      <c r="O6">
        <v>40.042999999999999</v>
      </c>
      <c r="P6">
        <v>39.973999999999997</v>
      </c>
      <c r="R6" s="3">
        <f t="shared" si="2"/>
        <v>39.562200000000004</v>
      </c>
      <c r="S6" s="3">
        <f t="shared" si="3"/>
        <v>0.45090080949140038</v>
      </c>
    </row>
    <row r="7" spans="1:19" x14ac:dyDescent="0.25">
      <c r="A7">
        <v>-3.75</v>
      </c>
      <c r="B7">
        <v>583.16099999999994</v>
      </c>
      <c r="C7">
        <v>410.77499999999998</v>
      </c>
      <c r="D7">
        <v>588.10299999999995</v>
      </c>
      <c r="E7">
        <v>610.81100000000004</v>
      </c>
      <c r="F7">
        <v>549.76900000000001</v>
      </c>
      <c r="H7" s="2">
        <f t="shared" si="0"/>
        <v>548.52379999999994</v>
      </c>
      <c r="I7" s="2">
        <f t="shared" si="1"/>
        <v>35.79261544285395</v>
      </c>
      <c r="K7">
        <v>-3.75</v>
      </c>
      <c r="L7">
        <v>492.36500000000001</v>
      </c>
      <c r="M7">
        <v>432.471</v>
      </c>
      <c r="N7">
        <v>465.50700000000001</v>
      </c>
      <c r="O7">
        <v>505.83</v>
      </c>
      <c r="P7">
        <v>312.404</v>
      </c>
      <c r="R7" s="3">
        <f t="shared" si="2"/>
        <v>441.71540000000005</v>
      </c>
      <c r="S7" s="3">
        <f t="shared" si="3"/>
        <v>34.676361721783771</v>
      </c>
    </row>
    <row r="8" spans="1:19" x14ac:dyDescent="0.25">
      <c r="A8">
        <v>-2.5</v>
      </c>
      <c r="B8">
        <v>798.69</v>
      </c>
      <c r="C8">
        <v>503.56799999999998</v>
      </c>
      <c r="D8">
        <v>866.63300000000004</v>
      </c>
      <c r="E8">
        <v>866.31</v>
      </c>
      <c r="F8">
        <v>910.86199999999997</v>
      </c>
      <c r="H8" s="2">
        <f t="shared" si="0"/>
        <v>789.21260000000007</v>
      </c>
      <c r="I8" s="2">
        <f t="shared" si="1"/>
        <v>73.627156186830831</v>
      </c>
      <c r="K8">
        <v>-2.5</v>
      </c>
      <c r="L8">
        <v>706.93</v>
      </c>
      <c r="M8">
        <v>618.59699999999998</v>
      </c>
      <c r="N8">
        <v>616.64</v>
      </c>
      <c r="O8">
        <v>740.85799999999995</v>
      </c>
      <c r="P8">
        <v>546.29899999999998</v>
      </c>
      <c r="R8" s="3">
        <f t="shared" si="2"/>
        <v>645.86479999999995</v>
      </c>
      <c r="S8" s="3">
        <f t="shared" si="3"/>
        <v>34.830760168850759</v>
      </c>
    </row>
    <row r="9" spans="1:19" x14ac:dyDescent="0.25">
      <c r="A9">
        <v>-1.25</v>
      </c>
      <c r="B9">
        <v>1403.624</v>
      </c>
      <c r="C9">
        <v>1015.271</v>
      </c>
      <c r="D9">
        <v>1507.9760000000001</v>
      </c>
      <c r="E9">
        <v>1665.106</v>
      </c>
      <c r="F9">
        <v>1649.192</v>
      </c>
      <c r="H9" s="2">
        <f t="shared" si="0"/>
        <v>1448.2338</v>
      </c>
      <c r="I9" s="2">
        <f t="shared" si="1"/>
        <v>118.41319609334062</v>
      </c>
      <c r="K9">
        <v>-1.25</v>
      </c>
      <c r="L9">
        <v>1307.884</v>
      </c>
      <c r="M9">
        <v>1190.3510000000001</v>
      </c>
      <c r="N9">
        <v>1153.354</v>
      </c>
      <c r="O9">
        <v>1328.6990000000001</v>
      </c>
      <c r="P9">
        <v>1143.7629999999999</v>
      </c>
      <c r="R9" s="3">
        <f t="shared" si="2"/>
        <v>1224.8102000000001</v>
      </c>
      <c r="S9" s="3">
        <f t="shared" si="3"/>
        <v>39.08721825789091</v>
      </c>
    </row>
    <row r="10" spans="1:19" x14ac:dyDescent="0.25">
      <c r="A10">
        <v>0</v>
      </c>
      <c r="B10">
        <v>2257.0569999999998</v>
      </c>
      <c r="C10">
        <v>1631.3009999999999</v>
      </c>
      <c r="D10">
        <v>2261.2979999999998</v>
      </c>
      <c r="E10">
        <v>2573.3139999999999</v>
      </c>
      <c r="F10">
        <v>2502.991</v>
      </c>
      <c r="H10" s="2">
        <f t="shared" si="0"/>
        <v>2245.1922</v>
      </c>
      <c r="I10" s="2">
        <f t="shared" si="1"/>
        <v>166.04016270571461</v>
      </c>
      <c r="K10">
        <v>0</v>
      </c>
      <c r="L10">
        <v>2021.5730000000001</v>
      </c>
      <c r="M10">
        <v>1886.02</v>
      </c>
      <c r="N10">
        <v>1820.8610000000001</v>
      </c>
      <c r="O10">
        <v>2026.376</v>
      </c>
      <c r="P10">
        <v>1757.42</v>
      </c>
      <c r="R10" s="3">
        <f t="shared" si="2"/>
        <v>1902.45</v>
      </c>
      <c r="S10" s="3">
        <f t="shared" si="3"/>
        <v>53.622921090705226</v>
      </c>
    </row>
    <row r="11" spans="1:19" x14ac:dyDescent="0.25">
      <c r="A11">
        <v>1.25</v>
      </c>
      <c r="B11">
        <v>3166.848</v>
      </c>
      <c r="C11">
        <v>2283.431</v>
      </c>
      <c r="D11">
        <v>3101.6559999999999</v>
      </c>
      <c r="E11">
        <v>3556.5619999999999</v>
      </c>
      <c r="F11">
        <v>3432.7710000000002</v>
      </c>
      <c r="H11" s="2">
        <f t="shared" si="0"/>
        <v>3108.2536000000005</v>
      </c>
      <c r="I11" s="2">
        <f t="shared" si="1"/>
        <v>222.49731660417794</v>
      </c>
      <c r="K11">
        <v>1.25</v>
      </c>
      <c r="L11">
        <v>2772.4859999999999</v>
      </c>
      <c r="M11">
        <v>2591.395</v>
      </c>
      <c r="N11">
        <v>2517.8440000000001</v>
      </c>
      <c r="O11">
        <v>2816.098</v>
      </c>
      <c r="P11">
        <v>2456.462</v>
      </c>
      <c r="R11" s="3">
        <f t="shared" si="2"/>
        <v>2630.857</v>
      </c>
      <c r="S11" s="3">
        <f t="shared" si="3"/>
        <v>70.397374013524086</v>
      </c>
    </row>
    <row r="12" spans="1:19" x14ac:dyDescent="0.25">
      <c r="A12">
        <v>2.5</v>
      </c>
      <c r="B12">
        <v>3486.2640000000001</v>
      </c>
      <c r="C12">
        <v>2643.317</v>
      </c>
      <c r="D12">
        <v>3590.0160000000001</v>
      </c>
      <c r="E12">
        <v>4090.739</v>
      </c>
      <c r="F12">
        <v>3919.0929999999998</v>
      </c>
      <c r="H12" s="2">
        <f t="shared" si="0"/>
        <v>3545.8858</v>
      </c>
      <c r="I12" s="2">
        <f t="shared" si="1"/>
        <v>250.62734248309755</v>
      </c>
      <c r="K12">
        <v>2.5</v>
      </c>
      <c r="L12">
        <v>3174.09</v>
      </c>
      <c r="M12">
        <v>2970.4430000000002</v>
      </c>
      <c r="N12">
        <v>2869.1080000000002</v>
      </c>
      <c r="O12">
        <v>3235.8119999999999</v>
      </c>
      <c r="P12">
        <v>2797.221</v>
      </c>
      <c r="R12" s="3">
        <f t="shared" si="2"/>
        <v>3009.3347999999996</v>
      </c>
      <c r="S12" s="3">
        <f t="shared" si="3"/>
        <v>85.030756124710521</v>
      </c>
    </row>
    <row r="13" spans="1:19" x14ac:dyDescent="0.25">
      <c r="A13">
        <v>3.75</v>
      </c>
      <c r="B13">
        <v>3497.0619999999999</v>
      </c>
      <c r="C13">
        <v>2750.2020000000002</v>
      </c>
      <c r="D13">
        <v>3791.127</v>
      </c>
      <c r="E13">
        <v>4270.9970000000003</v>
      </c>
      <c r="F13">
        <v>4103.7749999999996</v>
      </c>
      <c r="H13" s="2">
        <f t="shared" si="0"/>
        <v>3682.6325999999999</v>
      </c>
      <c r="I13" s="2">
        <f t="shared" si="1"/>
        <v>268.25061924413154</v>
      </c>
      <c r="K13">
        <v>3.75</v>
      </c>
      <c r="L13">
        <v>3318.4079999999999</v>
      </c>
      <c r="M13">
        <v>3131.498</v>
      </c>
      <c r="N13">
        <v>3002.6439999999998</v>
      </c>
      <c r="O13">
        <v>3358.9949999999999</v>
      </c>
      <c r="P13">
        <v>2921.1260000000002</v>
      </c>
      <c r="R13" s="3">
        <f t="shared" si="2"/>
        <v>3146.5341999999996</v>
      </c>
      <c r="S13" s="3">
        <f t="shared" si="3"/>
        <v>85.562704567118445</v>
      </c>
    </row>
    <row r="14" spans="1:19" x14ac:dyDescent="0.25">
      <c r="A14">
        <v>5</v>
      </c>
      <c r="B14">
        <v>3569.4450000000002</v>
      </c>
      <c r="C14">
        <v>2725.5419999999999</v>
      </c>
      <c r="D14">
        <v>3923.0790000000002</v>
      </c>
      <c r="E14">
        <v>4374.5309999999999</v>
      </c>
      <c r="F14">
        <v>4252.5630000000001</v>
      </c>
      <c r="H14" s="2">
        <f t="shared" si="0"/>
        <v>3769.0320000000006</v>
      </c>
      <c r="I14" s="2">
        <f t="shared" si="1"/>
        <v>296.04628825911476</v>
      </c>
      <c r="K14">
        <v>5</v>
      </c>
      <c r="L14">
        <v>3302.3919999999998</v>
      </c>
      <c r="M14">
        <v>3159.7710000000002</v>
      </c>
      <c r="N14">
        <v>3034.3739999999998</v>
      </c>
      <c r="O14">
        <v>3392.3719999999998</v>
      </c>
      <c r="P14">
        <v>2950.0990000000002</v>
      </c>
      <c r="R14" s="3">
        <f t="shared" si="2"/>
        <v>3167.8015999999998</v>
      </c>
      <c r="S14" s="3">
        <f t="shared" si="3"/>
        <v>81.794950135445362</v>
      </c>
    </row>
    <row r="15" spans="1:19" x14ac:dyDescent="0.25">
      <c r="A15">
        <v>6.25</v>
      </c>
      <c r="B15">
        <v>3626.8980000000001</v>
      </c>
      <c r="C15">
        <v>2678.712</v>
      </c>
      <c r="D15">
        <v>3944.123</v>
      </c>
      <c r="E15">
        <v>4369.4960000000001</v>
      </c>
      <c r="F15">
        <v>4287.3940000000002</v>
      </c>
      <c r="H15" s="2">
        <f t="shared" si="0"/>
        <v>3781.3245999999999</v>
      </c>
      <c r="I15" s="2">
        <f t="shared" si="1"/>
        <v>305.62700084442832</v>
      </c>
      <c r="K15">
        <v>6.25</v>
      </c>
      <c r="L15">
        <v>3254.6509999999998</v>
      </c>
      <c r="M15">
        <v>3063.6260000000002</v>
      </c>
      <c r="N15">
        <v>3020.777</v>
      </c>
      <c r="O15">
        <v>3367.819</v>
      </c>
      <c r="P15">
        <v>2973.922</v>
      </c>
      <c r="R15" s="3">
        <f t="shared" si="2"/>
        <v>3136.1590000000001</v>
      </c>
      <c r="S15" s="3">
        <f t="shared" si="3"/>
        <v>75.033857639734833</v>
      </c>
    </row>
    <row r="16" spans="1:19" x14ac:dyDescent="0.25">
      <c r="A16">
        <v>7.5</v>
      </c>
      <c r="B16">
        <v>3598.7570000000001</v>
      </c>
      <c r="C16">
        <v>2644.1550000000002</v>
      </c>
      <c r="D16">
        <v>3896.1109999999999</v>
      </c>
      <c r="E16">
        <v>4308.2460000000001</v>
      </c>
      <c r="F16">
        <v>4162.0069999999996</v>
      </c>
      <c r="H16" s="2">
        <f t="shared" si="0"/>
        <v>3721.8551999999995</v>
      </c>
      <c r="I16" s="2">
        <f t="shared" si="1"/>
        <v>295.34249178917895</v>
      </c>
      <c r="K16">
        <v>7.5</v>
      </c>
      <c r="L16">
        <v>3184.0839999999998</v>
      </c>
      <c r="M16">
        <v>2978.5859999999998</v>
      </c>
      <c r="N16">
        <v>2983.33</v>
      </c>
      <c r="O16">
        <v>3325.7510000000002</v>
      </c>
      <c r="P16">
        <v>2936.8820000000001</v>
      </c>
      <c r="R16" s="3">
        <f t="shared" si="2"/>
        <v>3081.7266</v>
      </c>
      <c r="S16" s="3">
        <f t="shared" si="3"/>
        <v>74.607230728395251</v>
      </c>
    </row>
    <row r="17" spans="1:19" x14ac:dyDescent="0.25">
      <c r="A17">
        <v>8.75</v>
      </c>
      <c r="B17">
        <v>3399.2779999999998</v>
      </c>
      <c r="C17">
        <v>2514.34</v>
      </c>
      <c r="D17">
        <v>3658.32</v>
      </c>
      <c r="E17">
        <v>4059.1210000000001</v>
      </c>
      <c r="F17">
        <v>3921.154</v>
      </c>
      <c r="H17" s="2">
        <f t="shared" si="0"/>
        <v>3510.4425999999999</v>
      </c>
      <c r="I17" s="2">
        <f t="shared" si="1"/>
        <v>273.51211345817961</v>
      </c>
      <c r="K17">
        <v>8.75</v>
      </c>
      <c r="L17">
        <v>3037.0329999999999</v>
      </c>
      <c r="M17">
        <v>2847.95</v>
      </c>
      <c r="N17">
        <v>2824.8270000000002</v>
      </c>
      <c r="O17">
        <v>3134.4569999999999</v>
      </c>
      <c r="P17">
        <v>2775.8310000000001</v>
      </c>
      <c r="R17" s="3">
        <f t="shared" si="2"/>
        <v>2924.0196000000005</v>
      </c>
      <c r="S17" s="3">
        <f t="shared" si="3"/>
        <v>68.790095583303227</v>
      </c>
    </row>
    <row r="18" spans="1:19" x14ac:dyDescent="0.25">
      <c r="A18">
        <v>10</v>
      </c>
      <c r="B18">
        <v>2972.4009999999998</v>
      </c>
      <c r="C18">
        <v>2247.384</v>
      </c>
      <c r="D18">
        <v>3178.6379999999999</v>
      </c>
      <c r="E18">
        <v>3534.4259999999999</v>
      </c>
      <c r="F18">
        <v>3477.8310000000001</v>
      </c>
      <c r="H18" s="2">
        <f t="shared" si="0"/>
        <v>3082.1359999999995</v>
      </c>
      <c r="I18" s="2">
        <f t="shared" si="1"/>
        <v>232.30433539411268</v>
      </c>
      <c r="K18">
        <v>10</v>
      </c>
      <c r="L18">
        <v>2700.21</v>
      </c>
      <c r="M18">
        <v>2554.5439999999999</v>
      </c>
      <c r="N18">
        <v>2500.413</v>
      </c>
      <c r="O18">
        <v>2783.2750000000001</v>
      </c>
      <c r="P18">
        <v>2447.9830000000002</v>
      </c>
      <c r="R18" s="3">
        <f t="shared" si="2"/>
        <v>2597.2849999999999</v>
      </c>
      <c r="S18" s="3">
        <f t="shared" si="3"/>
        <v>62.724756035396418</v>
      </c>
    </row>
    <row r="19" spans="1:19" x14ac:dyDescent="0.25">
      <c r="A19">
        <v>11.25</v>
      </c>
      <c r="B19">
        <v>2670.165</v>
      </c>
      <c r="C19">
        <v>2018.3520000000001</v>
      </c>
      <c r="D19">
        <v>2837.6570000000002</v>
      </c>
      <c r="E19">
        <v>3192.922</v>
      </c>
      <c r="F19">
        <v>3128.65</v>
      </c>
      <c r="H19" s="2">
        <f t="shared" si="0"/>
        <v>2769.5491999999999</v>
      </c>
      <c r="I19" s="2">
        <f t="shared" si="1"/>
        <v>210.59570713321813</v>
      </c>
      <c r="K19">
        <v>11.25</v>
      </c>
      <c r="L19">
        <v>2445.1860000000001</v>
      </c>
      <c r="M19">
        <v>2288.3719999999998</v>
      </c>
      <c r="N19">
        <v>2273.0729999999999</v>
      </c>
      <c r="O19">
        <v>2509.2040000000002</v>
      </c>
      <c r="P19">
        <v>2206.8629999999998</v>
      </c>
      <c r="R19" s="3">
        <f t="shared" si="2"/>
        <v>2344.5395999999996</v>
      </c>
      <c r="S19" s="3">
        <f t="shared" si="3"/>
        <v>56.771992590184894</v>
      </c>
    </row>
    <row r="20" spans="1:19" x14ac:dyDescent="0.25">
      <c r="A20">
        <v>12.5</v>
      </c>
      <c r="B20">
        <v>2528.556</v>
      </c>
      <c r="C20">
        <v>1933.538</v>
      </c>
      <c r="D20">
        <v>2714.373</v>
      </c>
      <c r="E20">
        <v>3055.0619999999999</v>
      </c>
      <c r="F20">
        <v>3006.9380000000001</v>
      </c>
      <c r="H20" s="2">
        <f t="shared" si="0"/>
        <v>2647.6934000000001</v>
      </c>
      <c r="I20" s="2">
        <f t="shared" si="1"/>
        <v>202.93640424763655</v>
      </c>
      <c r="K20">
        <v>12.5</v>
      </c>
      <c r="L20">
        <v>2306.27</v>
      </c>
      <c r="M20">
        <v>2146.4110000000001</v>
      </c>
      <c r="N20">
        <v>2200.6840000000002</v>
      </c>
      <c r="O20">
        <v>2383.3409999999999</v>
      </c>
      <c r="P20">
        <v>2106.125</v>
      </c>
      <c r="R20" s="3">
        <f t="shared" si="2"/>
        <v>2228.5662000000002</v>
      </c>
      <c r="S20" s="3">
        <f t="shared" si="3"/>
        <v>51.240540917714732</v>
      </c>
    </row>
    <row r="21" spans="1:19" x14ac:dyDescent="0.25">
      <c r="A21">
        <v>13.75</v>
      </c>
      <c r="B21">
        <v>2491.6030000000001</v>
      </c>
      <c r="C21">
        <v>1912.383</v>
      </c>
      <c r="D21">
        <v>2712.5189999999998</v>
      </c>
      <c r="E21">
        <v>3025.0810000000001</v>
      </c>
      <c r="F21">
        <v>3014.1930000000002</v>
      </c>
      <c r="H21" s="2">
        <f t="shared" si="0"/>
        <v>2631.1557999999995</v>
      </c>
      <c r="I21" s="2">
        <f t="shared" si="1"/>
        <v>205.50229343012262</v>
      </c>
      <c r="K21">
        <v>13.75</v>
      </c>
      <c r="L21">
        <v>2282.7350000000001</v>
      </c>
      <c r="M21">
        <v>2102.9670000000001</v>
      </c>
      <c r="N21">
        <v>2202.58</v>
      </c>
      <c r="O21">
        <v>2353.9659999999999</v>
      </c>
      <c r="P21">
        <v>2100.893</v>
      </c>
      <c r="R21" s="3">
        <f t="shared" si="2"/>
        <v>2208.6282000000001</v>
      </c>
      <c r="S21" s="3">
        <f t="shared" si="3"/>
        <v>49.710480355152448</v>
      </c>
    </row>
    <row r="22" spans="1:19" x14ac:dyDescent="0.25">
      <c r="A22">
        <v>15</v>
      </c>
      <c r="B22">
        <v>2501.9250000000002</v>
      </c>
      <c r="C22">
        <v>1923.962</v>
      </c>
      <c r="D22">
        <v>2702.9229999999998</v>
      </c>
      <c r="E22">
        <v>3022.58</v>
      </c>
      <c r="F22">
        <v>3023.962</v>
      </c>
      <c r="H22" s="2">
        <f t="shared" si="0"/>
        <v>2635.0703999999996</v>
      </c>
      <c r="I22" s="2">
        <f t="shared" si="1"/>
        <v>203.64272587809285</v>
      </c>
      <c r="K22">
        <v>15</v>
      </c>
      <c r="L22">
        <v>2285.4870000000001</v>
      </c>
      <c r="M22">
        <v>2113.6170000000002</v>
      </c>
      <c r="N22">
        <v>2208.4639999999999</v>
      </c>
      <c r="O22">
        <v>2346.54</v>
      </c>
      <c r="P22">
        <v>2102.2060000000001</v>
      </c>
      <c r="R22" s="3">
        <f t="shared" si="2"/>
        <v>2211.2628</v>
      </c>
      <c r="S22" s="3">
        <f t="shared" si="3"/>
        <v>47.563154789605747</v>
      </c>
    </row>
    <row r="23" spans="1:19" x14ac:dyDescent="0.25">
      <c r="A23">
        <v>16.25</v>
      </c>
      <c r="B23">
        <v>2499.5169999999998</v>
      </c>
      <c r="C23">
        <v>1921.4849999999999</v>
      </c>
      <c r="D23">
        <v>2676.7449999999999</v>
      </c>
      <c r="E23">
        <v>3008.3150000000001</v>
      </c>
      <c r="F23">
        <v>2984.7739999999999</v>
      </c>
      <c r="H23" s="2">
        <f t="shared" si="0"/>
        <v>2618.1671999999999</v>
      </c>
      <c r="I23" s="2">
        <f t="shared" si="1"/>
        <v>198.68205355048985</v>
      </c>
      <c r="K23">
        <v>16.25</v>
      </c>
      <c r="L23">
        <v>2260.6419999999998</v>
      </c>
      <c r="M23">
        <v>2117.1089999999999</v>
      </c>
      <c r="N23">
        <v>2189.77</v>
      </c>
      <c r="O23">
        <v>2332.5740000000001</v>
      </c>
      <c r="P23">
        <v>2083.5619999999999</v>
      </c>
      <c r="R23" s="3">
        <f t="shared" si="2"/>
        <v>2196.7314000000001</v>
      </c>
      <c r="S23" s="3">
        <f t="shared" si="3"/>
        <v>45.680016164182796</v>
      </c>
    </row>
    <row r="24" spans="1:19" x14ac:dyDescent="0.25">
      <c r="A24">
        <v>17.5</v>
      </c>
      <c r="B24">
        <v>2490.7429999999999</v>
      </c>
      <c r="C24">
        <v>1896.1389999999999</v>
      </c>
      <c r="D24">
        <v>2650.7420000000002</v>
      </c>
      <c r="E24">
        <v>2992.5819999999999</v>
      </c>
      <c r="F24">
        <v>2934.8609999999999</v>
      </c>
      <c r="H24" s="2">
        <f t="shared" si="0"/>
        <v>2593.0133999999998</v>
      </c>
      <c r="I24" s="2">
        <f t="shared" si="1"/>
        <v>196.96961733744672</v>
      </c>
      <c r="K24">
        <v>17.5</v>
      </c>
      <c r="L24">
        <v>2242.4960000000001</v>
      </c>
      <c r="M24">
        <v>2118.7179999999998</v>
      </c>
      <c r="N24">
        <v>2163.1970000000001</v>
      </c>
      <c r="O24">
        <v>2309.2260000000001</v>
      </c>
      <c r="P24">
        <v>2058.6970000000001</v>
      </c>
      <c r="R24" s="3">
        <f t="shared" si="2"/>
        <v>2178.4668000000001</v>
      </c>
      <c r="S24" s="3">
        <f t="shared" si="3"/>
        <v>44.354028973025677</v>
      </c>
    </row>
    <row r="25" spans="1:19" x14ac:dyDescent="0.25">
      <c r="A25">
        <v>18.75</v>
      </c>
      <c r="B25">
        <v>2491.0329999999999</v>
      </c>
      <c r="C25">
        <v>1899.4960000000001</v>
      </c>
      <c r="D25">
        <v>2660.172</v>
      </c>
      <c r="E25">
        <v>3003.7359999999999</v>
      </c>
      <c r="F25">
        <v>2931.7280000000001</v>
      </c>
      <c r="H25" s="2">
        <f t="shared" si="0"/>
        <v>2597.2330000000002</v>
      </c>
      <c r="I25" s="2">
        <f t="shared" si="1"/>
        <v>197.38392448778581</v>
      </c>
      <c r="K25">
        <v>18.75</v>
      </c>
      <c r="L25">
        <v>2251.1750000000002</v>
      </c>
      <c r="M25">
        <v>2113.9540000000002</v>
      </c>
      <c r="N25">
        <v>2161.6329999999998</v>
      </c>
      <c r="O25">
        <v>2302.8130000000001</v>
      </c>
      <c r="P25">
        <v>2050.2159999999999</v>
      </c>
      <c r="R25" s="3">
        <f t="shared" si="2"/>
        <v>2175.9582</v>
      </c>
      <c r="S25" s="3">
        <f t="shared" si="3"/>
        <v>45.612794432483561</v>
      </c>
    </row>
    <row r="26" spans="1:19" x14ac:dyDescent="0.25">
      <c r="A26">
        <v>20</v>
      </c>
      <c r="B26">
        <v>2489.7840000000001</v>
      </c>
      <c r="C26">
        <v>1914.308</v>
      </c>
      <c r="D26">
        <v>2685.0520000000001</v>
      </c>
      <c r="E26">
        <v>3015.6109999999999</v>
      </c>
      <c r="F26">
        <v>2946.2350000000001</v>
      </c>
      <c r="H26" s="2">
        <f t="shared" si="0"/>
        <v>2610.1980000000003</v>
      </c>
      <c r="I26" s="2">
        <f t="shared" si="1"/>
        <v>197.69245189814367</v>
      </c>
      <c r="K26">
        <v>20</v>
      </c>
      <c r="L26">
        <v>2266.4490000000001</v>
      </c>
      <c r="M26">
        <v>2108.0030000000002</v>
      </c>
      <c r="N26">
        <v>2172.1570000000002</v>
      </c>
      <c r="O26">
        <v>2319.3249999999998</v>
      </c>
      <c r="P26">
        <v>2050.8629999999998</v>
      </c>
      <c r="R26" s="3">
        <f t="shared" si="2"/>
        <v>2183.3594000000003</v>
      </c>
      <c r="S26" s="3">
        <f t="shared" si="3"/>
        <v>49.370994931842311</v>
      </c>
    </row>
    <row r="27" spans="1:19" x14ac:dyDescent="0.25">
      <c r="A27">
        <v>21.25</v>
      </c>
      <c r="B27">
        <v>2492.9870000000001</v>
      </c>
      <c r="C27">
        <v>1915.52</v>
      </c>
      <c r="D27">
        <v>2702.5529999999999</v>
      </c>
      <c r="E27">
        <v>3015.7570000000001</v>
      </c>
      <c r="F27">
        <v>2934.4389999999999</v>
      </c>
      <c r="H27" s="2">
        <f t="shared" si="0"/>
        <v>2612.2511999999997</v>
      </c>
      <c r="I27" s="2">
        <f t="shared" si="1"/>
        <v>196.77838278642372</v>
      </c>
      <c r="K27">
        <v>21.25</v>
      </c>
      <c r="L27">
        <v>2260.8780000000002</v>
      </c>
      <c r="M27">
        <v>2102.3200000000002</v>
      </c>
      <c r="N27">
        <v>2178.4189999999999</v>
      </c>
      <c r="O27">
        <v>2314.808</v>
      </c>
      <c r="P27">
        <v>2050.5300000000002</v>
      </c>
      <c r="R27" s="3">
        <f t="shared" si="2"/>
        <v>2181.3910000000001</v>
      </c>
      <c r="S27" s="3">
        <f t="shared" si="3"/>
        <v>48.735990912261109</v>
      </c>
    </row>
    <row r="28" spans="1:19" x14ac:dyDescent="0.25">
      <c r="A28">
        <v>22.5</v>
      </c>
      <c r="B28">
        <v>2469.1860000000001</v>
      </c>
      <c r="C28">
        <v>1892.117</v>
      </c>
      <c r="D28">
        <v>2674.5479999999998</v>
      </c>
      <c r="E28">
        <v>2991.3220000000001</v>
      </c>
      <c r="F28">
        <v>2891.346</v>
      </c>
      <c r="H28" s="2">
        <f t="shared" si="0"/>
        <v>2583.7037999999998</v>
      </c>
      <c r="I28" s="2">
        <f t="shared" si="1"/>
        <v>194.99430982939023</v>
      </c>
      <c r="K28">
        <v>22.5</v>
      </c>
      <c r="L28">
        <v>2233.067</v>
      </c>
      <c r="M28">
        <v>2096.7359999999999</v>
      </c>
      <c r="N28">
        <v>2152.9899999999998</v>
      </c>
      <c r="O28">
        <v>2271.4430000000002</v>
      </c>
      <c r="P28">
        <v>2027.8309999999999</v>
      </c>
      <c r="R28" s="3">
        <f t="shared" si="2"/>
        <v>2156.4134000000004</v>
      </c>
      <c r="S28" s="3">
        <f t="shared" si="3"/>
        <v>44.279864835611285</v>
      </c>
    </row>
    <row r="29" spans="1:19" x14ac:dyDescent="0.25">
      <c r="A29">
        <v>23.75</v>
      </c>
      <c r="B29">
        <v>2435.6759999999999</v>
      </c>
      <c r="C29">
        <v>1866.385</v>
      </c>
      <c r="D29">
        <v>2635.3789999999999</v>
      </c>
      <c r="E29">
        <v>2981.502</v>
      </c>
      <c r="F29">
        <v>2863.8580000000002</v>
      </c>
      <c r="H29" s="2">
        <f t="shared" si="0"/>
        <v>2556.56</v>
      </c>
      <c r="I29" s="2">
        <f t="shared" si="1"/>
        <v>196.49105208762128</v>
      </c>
      <c r="K29">
        <v>23.75</v>
      </c>
      <c r="L29">
        <v>2211.3270000000002</v>
      </c>
      <c r="M29">
        <v>2087.6860000000001</v>
      </c>
      <c r="N29">
        <v>2131.471</v>
      </c>
      <c r="O29">
        <v>2240.5520000000001</v>
      </c>
      <c r="P29">
        <v>1986.4259999999999</v>
      </c>
      <c r="R29" s="3">
        <f t="shared" si="2"/>
        <v>2131.4924000000001</v>
      </c>
      <c r="S29" s="3">
        <f t="shared" si="3"/>
        <v>45.404196533580503</v>
      </c>
    </row>
    <row r="30" spans="1:19" x14ac:dyDescent="0.25">
      <c r="A30">
        <v>25</v>
      </c>
      <c r="B30">
        <v>2442.5439999999999</v>
      </c>
      <c r="C30">
        <v>1865.9860000000001</v>
      </c>
      <c r="D30">
        <v>2648.6210000000001</v>
      </c>
      <c r="E30">
        <v>2988.4250000000002</v>
      </c>
      <c r="F30">
        <v>2881.5050000000001</v>
      </c>
      <c r="H30" s="2">
        <f t="shared" si="0"/>
        <v>2565.4162000000006</v>
      </c>
      <c r="I30" s="2">
        <f t="shared" si="1"/>
        <v>198.75509997366046</v>
      </c>
      <c r="K30">
        <v>25</v>
      </c>
      <c r="L30">
        <v>2217.3919999999998</v>
      </c>
      <c r="M30">
        <v>2083.8119999999999</v>
      </c>
      <c r="N30">
        <v>2140.5909999999999</v>
      </c>
      <c r="O30">
        <v>2245.627</v>
      </c>
      <c r="P30">
        <v>1995.1849999999999</v>
      </c>
      <c r="R30" s="3">
        <f t="shared" si="2"/>
        <v>2136.5214000000001</v>
      </c>
      <c r="S30" s="3">
        <f t="shared" si="3"/>
        <v>45.395432784146898</v>
      </c>
    </row>
    <row r="31" spans="1:19" x14ac:dyDescent="0.25">
      <c r="A31">
        <v>26.25</v>
      </c>
      <c r="B31">
        <v>2460.9920000000002</v>
      </c>
      <c r="C31">
        <v>1885.77</v>
      </c>
      <c r="D31">
        <v>2668.8339999999998</v>
      </c>
      <c r="E31">
        <v>3006.694</v>
      </c>
      <c r="F31">
        <v>2912.5</v>
      </c>
      <c r="H31" s="2">
        <f t="shared" si="0"/>
        <v>2586.9580000000001</v>
      </c>
      <c r="I31" s="2">
        <f t="shared" si="1"/>
        <v>199.54844365917708</v>
      </c>
      <c r="K31">
        <v>26.25</v>
      </c>
      <c r="L31">
        <v>2233.1550000000002</v>
      </c>
      <c r="M31">
        <v>2101.759</v>
      </c>
      <c r="N31">
        <v>2156.4169999999999</v>
      </c>
      <c r="O31">
        <v>2274.79</v>
      </c>
      <c r="P31">
        <v>2021.184</v>
      </c>
      <c r="R31" s="3">
        <f t="shared" si="2"/>
        <v>2157.4609999999998</v>
      </c>
      <c r="S31" s="3">
        <f t="shared" si="3"/>
        <v>45.371190939846414</v>
      </c>
    </row>
    <row r="32" spans="1:19" x14ac:dyDescent="0.25">
      <c r="A32">
        <v>27.5</v>
      </c>
      <c r="B32">
        <v>2488.596</v>
      </c>
      <c r="C32">
        <v>1907.3489999999999</v>
      </c>
      <c r="D32">
        <v>2690.7640000000001</v>
      </c>
      <c r="E32">
        <v>3034.2460000000001</v>
      </c>
      <c r="F32">
        <v>2927.799</v>
      </c>
      <c r="H32" s="2">
        <f t="shared" si="0"/>
        <v>2609.7508000000003</v>
      </c>
      <c r="I32" s="2">
        <f t="shared" si="1"/>
        <v>199.49445419945872</v>
      </c>
      <c r="K32">
        <v>27.5</v>
      </c>
      <c r="L32">
        <v>2246.3649999999998</v>
      </c>
      <c r="M32">
        <v>2126.9189999999999</v>
      </c>
      <c r="N32">
        <v>2165.7080000000001</v>
      </c>
      <c r="O32">
        <v>2306.6930000000002</v>
      </c>
      <c r="P32">
        <v>2034.4760000000001</v>
      </c>
      <c r="R32" s="3">
        <f t="shared" si="2"/>
        <v>2176.0322000000006</v>
      </c>
      <c r="S32" s="3">
        <f t="shared" si="3"/>
        <v>47.21006285253177</v>
      </c>
    </row>
    <row r="33" spans="1:19" x14ac:dyDescent="0.25">
      <c r="A33">
        <v>28.75</v>
      </c>
      <c r="B33">
        <v>2525.6909999999998</v>
      </c>
      <c r="C33">
        <v>1923.317</v>
      </c>
      <c r="D33">
        <v>2719.42</v>
      </c>
      <c r="E33">
        <v>3071.2910000000002</v>
      </c>
      <c r="F33">
        <v>2922.8580000000002</v>
      </c>
      <c r="H33" s="2">
        <f t="shared" si="0"/>
        <v>2632.5154000000002</v>
      </c>
      <c r="I33" s="2">
        <f t="shared" si="1"/>
        <v>199.84357445627219</v>
      </c>
      <c r="K33">
        <v>28.75</v>
      </c>
      <c r="L33">
        <v>2277.31</v>
      </c>
      <c r="M33">
        <v>2152.5140000000001</v>
      </c>
      <c r="N33">
        <v>2181.7669999999998</v>
      </c>
      <c r="O33">
        <v>2330.3200000000002</v>
      </c>
      <c r="P33">
        <v>2037.0630000000001</v>
      </c>
      <c r="R33" s="3">
        <f t="shared" si="2"/>
        <v>2195.7948000000001</v>
      </c>
      <c r="S33" s="3">
        <f t="shared" si="3"/>
        <v>50.993895918433211</v>
      </c>
    </row>
    <row r="34" spans="1:19" x14ac:dyDescent="0.25">
      <c r="A34">
        <v>30</v>
      </c>
      <c r="B34">
        <v>2569.3530000000001</v>
      </c>
      <c r="C34">
        <v>1939.4659999999999</v>
      </c>
      <c r="D34">
        <v>2760.0340000000001</v>
      </c>
      <c r="E34">
        <v>3107.123</v>
      </c>
      <c r="F34">
        <v>2950.5120000000002</v>
      </c>
      <c r="H34" s="2">
        <f t="shared" si="0"/>
        <v>2665.2975999999999</v>
      </c>
      <c r="I34" s="2">
        <f t="shared" si="1"/>
        <v>202.67816870166408</v>
      </c>
      <c r="K34">
        <v>30</v>
      </c>
      <c r="L34">
        <v>2320.538</v>
      </c>
      <c r="M34">
        <v>2188.2460000000001</v>
      </c>
      <c r="N34">
        <v>2207.6669999999999</v>
      </c>
      <c r="O34">
        <v>2359.384</v>
      </c>
      <c r="P34">
        <v>2047.4570000000001</v>
      </c>
      <c r="R34" s="3">
        <f t="shared" si="2"/>
        <v>2224.6583999999998</v>
      </c>
      <c r="S34" s="3">
        <f t="shared" si="3"/>
        <v>54.935776913228402</v>
      </c>
    </row>
    <row r="35" spans="1:19" x14ac:dyDescent="0.25">
      <c r="A35">
        <v>31.25</v>
      </c>
      <c r="B35">
        <v>2575.4160000000002</v>
      </c>
      <c r="C35">
        <v>1945.8620000000001</v>
      </c>
      <c r="D35">
        <v>2751.2640000000001</v>
      </c>
      <c r="E35">
        <v>3122.2069999999999</v>
      </c>
      <c r="F35">
        <v>2963.087</v>
      </c>
      <c r="H35" s="2">
        <f t="shared" si="0"/>
        <v>2671.5672</v>
      </c>
      <c r="I35" s="2">
        <f t="shared" si="1"/>
        <v>203.75287649930252</v>
      </c>
      <c r="K35">
        <v>31.25</v>
      </c>
      <c r="L35">
        <v>2336.712</v>
      </c>
      <c r="M35">
        <v>2206.17</v>
      </c>
      <c r="N35">
        <v>2229.8939999999998</v>
      </c>
      <c r="O35">
        <v>2377.66</v>
      </c>
      <c r="P35">
        <v>2058.6469999999999</v>
      </c>
      <c r="R35" s="3">
        <f t="shared" si="2"/>
        <v>2241.8165999999997</v>
      </c>
      <c r="S35" s="3">
        <f t="shared" si="3"/>
        <v>55.867028340157837</v>
      </c>
    </row>
    <row r="36" spans="1:19" x14ac:dyDescent="0.25">
      <c r="A36">
        <v>32.5</v>
      </c>
      <c r="B36">
        <v>2553.377</v>
      </c>
      <c r="C36">
        <v>1950.0540000000001</v>
      </c>
      <c r="D36">
        <v>2739.6759999999999</v>
      </c>
      <c r="E36">
        <v>3096.8679999999999</v>
      </c>
      <c r="F36">
        <v>2937.9459999999999</v>
      </c>
      <c r="H36" s="2">
        <f t="shared" si="0"/>
        <v>2655.5842000000002</v>
      </c>
      <c r="I36" s="2">
        <f t="shared" si="1"/>
        <v>198.71464263017947</v>
      </c>
      <c r="K36">
        <v>32.5</v>
      </c>
      <c r="L36">
        <v>2333.701</v>
      </c>
      <c r="M36">
        <v>2203.8649999999998</v>
      </c>
      <c r="N36">
        <v>2212.4870000000001</v>
      </c>
      <c r="O36">
        <v>2362.7530000000002</v>
      </c>
      <c r="P36">
        <v>2060.335</v>
      </c>
      <c r="R36" s="3">
        <f t="shared" si="2"/>
        <v>2234.6282000000001</v>
      </c>
      <c r="S36" s="3">
        <f t="shared" si="3"/>
        <v>53.873050244440421</v>
      </c>
    </row>
    <row r="37" spans="1:19" x14ac:dyDescent="0.25">
      <c r="A37">
        <v>33.75</v>
      </c>
      <c r="B37">
        <v>2549.8389999999999</v>
      </c>
      <c r="C37">
        <v>1947.44</v>
      </c>
      <c r="D37">
        <v>2737.761</v>
      </c>
      <c r="E37">
        <v>3077.0430000000001</v>
      </c>
      <c r="F37">
        <v>2926.2469999999998</v>
      </c>
      <c r="H37" s="2">
        <f t="shared" si="0"/>
        <v>2647.6660000000002</v>
      </c>
      <c r="I37" s="2">
        <f t="shared" si="1"/>
        <v>196.21106794979789</v>
      </c>
      <c r="K37">
        <v>33.75</v>
      </c>
      <c r="L37">
        <v>2337.3989999999999</v>
      </c>
      <c r="M37">
        <v>2201.6329999999998</v>
      </c>
      <c r="N37">
        <v>2195.4690000000001</v>
      </c>
      <c r="O37">
        <v>2355.143</v>
      </c>
      <c r="P37">
        <v>2048.6790000000001</v>
      </c>
      <c r="R37" s="3">
        <f t="shared" si="2"/>
        <v>2227.6646000000001</v>
      </c>
      <c r="S37" s="3">
        <f t="shared" si="3"/>
        <v>55.696690599711559</v>
      </c>
    </row>
    <row r="38" spans="1:19" x14ac:dyDescent="0.25">
      <c r="A38">
        <v>35</v>
      </c>
      <c r="B38">
        <v>2524.404</v>
      </c>
      <c r="C38">
        <v>1920.9880000000001</v>
      </c>
      <c r="D38">
        <v>2697.3609999999999</v>
      </c>
      <c r="E38">
        <v>3042.0129999999999</v>
      </c>
      <c r="F38">
        <v>2879.3989999999999</v>
      </c>
      <c r="H38" s="2">
        <f t="shared" si="0"/>
        <v>2612.8329999999996</v>
      </c>
      <c r="I38" s="2">
        <f t="shared" si="1"/>
        <v>193.50285264124713</v>
      </c>
      <c r="K38">
        <v>35</v>
      </c>
      <c r="L38">
        <v>2304.538</v>
      </c>
      <c r="M38">
        <v>2181.163</v>
      </c>
      <c r="N38">
        <v>2164.576</v>
      </c>
      <c r="O38">
        <v>2324.6950000000002</v>
      </c>
      <c r="P38">
        <v>2017.095</v>
      </c>
      <c r="R38" s="3">
        <f t="shared" si="2"/>
        <v>2198.4133999999999</v>
      </c>
      <c r="S38" s="3">
        <f t="shared" si="3"/>
        <v>55.465476352953118</v>
      </c>
    </row>
    <row r="39" spans="1:19" x14ac:dyDescent="0.25">
      <c r="A39">
        <v>36.25</v>
      </c>
      <c r="B39">
        <v>2413.6060000000002</v>
      </c>
      <c r="C39">
        <v>1819.377</v>
      </c>
      <c r="D39">
        <v>2557.7060000000001</v>
      </c>
      <c r="E39">
        <v>2892.973</v>
      </c>
      <c r="F39">
        <v>2708.5650000000001</v>
      </c>
      <c r="H39" s="2">
        <f t="shared" si="0"/>
        <v>2478.4454000000001</v>
      </c>
      <c r="I39" s="2">
        <f t="shared" si="1"/>
        <v>182.98165315806949</v>
      </c>
      <c r="K39">
        <v>36.25</v>
      </c>
      <c r="L39">
        <v>2190.0309999999999</v>
      </c>
      <c r="M39">
        <v>2090.4670000000001</v>
      </c>
      <c r="N39">
        <v>2060.77</v>
      </c>
      <c r="O39">
        <v>2211.0520000000001</v>
      </c>
      <c r="P39">
        <v>1909.3679999999999</v>
      </c>
      <c r="R39" s="3">
        <f t="shared" si="2"/>
        <v>2092.3375999999998</v>
      </c>
      <c r="S39" s="3">
        <f t="shared" si="3"/>
        <v>53.90500728559455</v>
      </c>
    </row>
    <row r="40" spans="1:19" x14ac:dyDescent="0.25">
      <c r="A40">
        <v>37.5</v>
      </c>
      <c r="B40">
        <v>2238.6109999999999</v>
      </c>
      <c r="C40">
        <v>1682.7139999999999</v>
      </c>
      <c r="D40">
        <v>2369.058</v>
      </c>
      <c r="E40">
        <v>2684.63</v>
      </c>
      <c r="F40">
        <v>2522.42</v>
      </c>
      <c r="H40" s="2">
        <f t="shared" si="0"/>
        <v>2299.4865999999997</v>
      </c>
      <c r="I40" s="2">
        <f t="shared" si="1"/>
        <v>171.31684066127406</v>
      </c>
      <c r="K40">
        <v>37.5</v>
      </c>
      <c r="L40">
        <v>2036.1410000000001</v>
      </c>
      <c r="M40">
        <v>1933.7059999999999</v>
      </c>
      <c r="N40">
        <v>1927.1030000000001</v>
      </c>
      <c r="O40">
        <v>2048.9659999999999</v>
      </c>
      <c r="P40">
        <v>1775.9449999999999</v>
      </c>
      <c r="R40" s="3">
        <f t="shared" si="2"/>
        <v>1944.3721999999998</v>
      </c>
      <c r="S40" s="3">
        <f t="shared" si="3"/>
        <v>49.061741939519436</v>
      </c>
    </row>
    <row r="41" spans="1:19" x14ac:dyDescent="0.25">
      <c r="A41">
        <v>38.75</v>
      </c>
      <c r="B41">
        <v>2088.826</v>
      </c>
      <c r="C41">
        <v>1571.47</v>
      </c>
      <c r="D41">
        <v>2214.5680000000002</v>
      </c>
      <c r="E41">
        <v>2475.9389999999999</v>
      </c>
      <c r="F41">
        <v>2359.09</v>
      </c>
      <c r="H41" s="2">
        <f t="shared" si="0"/>
        <v>2141.9785999999999</v>
      </c>
      <c r="I41" s="2">
        <f t="shared" si="1"/>
        <v>156.88234306817372</v>
      </c>
      <c r="K41">
        <v>38.75</v>
      </c>
      <c r="L41">
        <v>1898.1</v>
      </c>
      <c r="M41">
        <v>1804.992</v>
      </c>
      <c r="N41">
        <v>1790.0039999999999</v>
      </c>
      <c r="O41">
        <v>1896.5609999999999</v>
      </c>
      <c r="P41">
        <v>1651.6610000000001</v>
      </c>
      <c r="R41" s="3">
        <f t="shared" si="2"/>
        <v>1808.2635999999998</v>
      </c>
      <c r="S41" s="3">
        <f t="shared" si="3"/>
        <v>45.13064385603198</v>
      </c>
    </row>
    <row r="42" spans="1:19" x14ac:dyDescent="0.25">
      <c r="A42">
        <v>40</v>
      </c>
      <c r="B42">
        <v>2008.8989999999999</v>
      </c>
      <c r="C42">
        <v>1503.527</v>
      </c>
      <c r="D42">
        <v>2123.797</v>
      </c>
      <c r="E42">
        <v>2368.81</v>
      </c>
      <c r="F42">
        <v>2263.6489999999999</v>
      </c>
      <c r="H42" s="2">
        <f t="shared" si="0"/>
        <v>2053.7363999999998</v>
      </c>
      <c r="I42" s="2">
        <f t="shared" si="1"/>
        <v>150.4965011246444</v>
      </c>
      <c r="K42">
        <v>40</v>
      </c>
      <c r="L42">
        <v>1818.268</v>
      </c>
      <c r="M42">
        <v>1733.14</v>
      </c>
      <c r="N42">
        <v>1712.5319999999999</v>
      </c>
      <c r="O42">
        <v>1802.19</v>
      </c>
      <c r="P42">
        <v>1574.1610000000001</v>
      </c>
      <c r="R42" s="3">
        <f t="shared" si="2"/>
        <v>1728.0582000000002</v>
      </c>
      <c r="S42" s="3">
        <f t="shared" si="3"/>
        <v>43.350067781261885</v>
      </c>
    </row>
    <row r="43" spans="1:19" x14ac:dyDescent="0.25">
      <c r="A43">
        <v>41.25</v>
      </c>
      <c r="B43">
        <v>1961.6610000000001</v>
      </c>
      <c r="C43">
        <v>1470.6569999999999</v>
      </c>
      <c r="D43">
        <v>2071.3150000000001</v>
      </c>
      <c r="E43">
        <v>2324.6799999999998</v>
      </c>
      <c r="F43">
        <v>2207.3989999999999</v>
      </c>
      <c r="H43" s="2">
        <f t="shared" si="0"/>
        <v>2007.1424</v>
      </c>
      <c r="I43" s="2">
        <f t="shared" si="1"/>
        <v>147.46797923739211</v>
      </c>
      <c r="K43">
        <v>41.25</v>
      </c>
      <c r="L43">
        <v>1770.3720000000001</v>
      </c>
      <c r="M43">
        <v>1692.1679999999999</v>
      </c>
      <c r="N43">
        <v>1679.319</v>
      </c>
      <c r="O43">
        <v>1755.11</v>
      </c>
      <c r="P43">
        <v>1526.6089999999999</v>
      </c>
      <c r="R43" s="3">
        <f t="shared" si="2"/>
        <v>1684.7156</v>
      </c>
      <c r="S43" s="3">
        <f t="shared" si="3"/>
        <v>43.228895968553267</v>
      </c>
    </row>
    <row r="44" spans="1:19" x14ac:dyDescent="0.25">
      <c r="A44">
        <v>42.5</v>
      </c>
      <c r="B44">
        <v>1925.5820000000001</v>
      </c>
      <c r="C44">
        <v>1455.367</v>
      </c>
      <c r="D44">
        <v>2045.883</v>
      </c>
      <c r="E44">
        <v>2299.6149999999998</v>
      </c>
      <c r="F44">
        <v>2172.2959999999998</v>
      </c>
      <c r="H44" s="2">
        <f t="shared" si="0"/>
        <v>1979.7486000000001</v>
      </c>
      <c r="I44" s="2">
        <f t="shared" si="1"/>
        <v>145.20207590341042</v>
      </c>
      <c r="K44">
        <v>42.5</v>
      </c>
      <c r="L44">
        <v>1748.8150000000001</v>
      </c>
      <c r="M44">
        <v>1673.5630000000001</v>
      </c>
      <c r="N44">
        <v>1660.992</v>
      </c>
      <c r="O44">
        <v>1728.5730000000001</v>
      </c>
      <c r="P44">
        <v>1503.664</v>
      </c>
      <c r="R44" s="3">
        <f t="shared" si="2"/>
        <v>1663.1214</v>
      </c>
      <c r="S44" s="3">
        <f t="shared" si="3"/>
        <v>43.108890494421232</v>
      </c>
    </row>
    <row r="45" spans="1:19" x14ac:dyDescent="0.25">
      <c r="A45">
        <v>43.75</v>
      </c>
      <c r="B45">
        <v>1906.4110000000001</v>
      </c>
      <c r="C45">
        <v>1448.9280000000001</v>
      </c>
      <c r="D45">
        <v>2049.6729999999998</v>
      </c>
      <c r="E45">
        <v>2284.79</v>
      </c>
      <c r="F45">
        <v>2157.1</v>
      </c>
      <c r="H45" s="2">
        <f t="shared" si="0"/>
        <v>1969.3804</v>
      </c>
      <c r="I45" s="2">
        <f t="shared" si="1"/>
        <v>144.22285041095307</v>
      </c>
      <c r="K45">
        <v>43.75</v>
      </c>
      <c r="L45">
        <v>1744.5440000000001</v>
      </c>
      <c r="M45">
        <v>1668.0540000000001</v>
      </c>
      <c r="N45">
        <v>1646.366</v>
      </c>
      <c r="O45">
        <v>1718.7270000000001</v>
      </c>
      <c r="P45">
        <v>1502.307</v>
      </c>
      <c r="R45" s="3">
        <f t="shared" si="2"/>
        <v>1655.9995999999999</v>
      </c>
      <c r="S45" s="3">
        <f t="shared" si="3"/>
        <v>42.210406054194756</v>
      </c>
    </row>
    <row r="46" spans="1:19" x14ac:dyDescent="0.25">
      <c r="A46">
        <v>45</v>
      </c>
      <c r="B46">
        <v>1912.316</v>
      </c>
      <c r="C46">
        <v>1463.221</v>
      </c>
      <c r="D46">
        <v>2062.9679999999998</v>
      </c>
      <c r="E46">
        <v>2296.2269999999999</v>
      </c>
      <c r="F46">
        <v>2167.9</v>
      </c>
      <c r="H46" s="2">
        <f t="shared" si="0"/>
        <v>1980.5264</v>
      </c>
      <c r="I46" s="2">
        <f t="shared" si="1"/>
        <v>143.84538361817508</v>
      </c>
      <c r="K46">
        <v>45</v>
      </c>
      <c r="L46">
        <v>1761.6389999999999</v>
      </c>
      <c r="M46">
        <v>1675.81</v>
      </c>
      <c r="N46">
        <v>1655.3130000000001</v>
      </c>
      <c r="O46">
        <v>1730.5419999999999</v>
      </c>
      <c r="P46">
        <v>1515.6279999999999</v>
      </c>
      <c r="R46" s="3">
        <f t="shared" si="2"/>
        <v>1667.7864000000002</v>
      </c>
      <c r="S46" s="3">
        <f t="shared" si="3"/>
        <v>42.496304788298936</v>
      </c>
    </row>
    <row r="47" spans="1:19" x14ac:dyDescent="0.25">
      <c r="A47">
        <v>46.25</v>
      </c>
      <c r="B47">
        <v>1954.354</v>
      </c>
      <c r="C47">
        <v>1510.912</v>
      </c>
      <c r="D47">
        <v>2099.4749999999999</v>
      </c>
      <c r="E47">
        <v>2366.7249999999999</v>
      </c>
      <c r="F47">
        <v>2232.1350000000002</v>
      </c>
      <c r="H47" s="2">
        <f t="shared" si="0"/>
        <v>2032.7202000000002</v>
      </c>
      <c r="I47" s="2">
        <f t="shared" si="1"/>
        <v>147.34427900240919</v>
      </c>
      <c r="K47">
        <v>46.25</v>
      </c>
      <c r="L47">
        <v>1825.6030000000001</v>
      </c>
      <c r="M47">
        <v>1723.451</v>
      </c>
      <c r="N47">
        <v>1710.7919999999999</v>
      </c>
      <c r="O47">
        <v>1767.587</v>
      </c>
      <c r="P47">
        <v>1564.048</v>
      </c>
      <c r="R47" s="3">
        <f t="shared" si="2"/>
        <v>1718.2962</v>
      </c>
      <c r="S47" s="3">
        <f t="shared" si="3"/>
        <v>43.485471409885854</v>
      </c>
    </row>
    <row r="48" spans="1:19" x14ac:dyDescent="0.25">
      <c r="A48">
        <v>47.5</v>
      </c>
      <c r="B48">
        <v>2043.019</v>
      </c>
      <c r="C48">
        <v>1583.752</v>
      </c>
      <c r="D48">
        <v>2183.991</v>
      </c>
      <c r="E48">
        <v>2467.4659999999999</v>
      </c>
      <c r="F48">
        <v>2335.306</v>
      </c>
      <c r="H48" s="2">
        <f t="shared" si="0"/>
        <v>2122.7067999999999</v>
      </c>
      <c r="I48" s="2">
        <f t="shared" si="1"/>
        <v>152.4197331231758</v>
      </c>
      <c r="K48">
        <v>47.5</v>
      </c>
      <c r="L48">
        <v>1918.9749999999999</v>
      </c>
      <c r="M48">
        <v>1804.876</v>
      </c>
      <c r="N48">
        <v>1793.202</v>
      </c>
      <c r="O48">
        <v>1844.1079999999999</v>
      </c>
      <c r="P48">
        <v>1631.3230000000001</v>
      </c>
      <c r="R48" s="3">
        <f t="shared" si="2"/>
        <v>1798.4968000000001</v>
      </c>
      <c r="S48" s="3">
        <f t="shared" si="3"/>
        <v>47.228797754547983</v>
      </c>
    </row>
    <row r="49" spans="1:19" x14ac:dyDescent="0.25">
      <c r="A49">
        <v>48.75</v>
      </c>
      <c r="B49">
        <v>2132.7579999999998</v>
      </c>
      <c r="C49">
        <v>1656.0920000000001</v>
      </c>
      <c r="D49">
        <v>2279.4830000000002</v>
      </c>
      <c r="E49">
        <v>2571.1709999999998</v>
      </c>
      <c r="F49">
        <v>2411.1579999999999</v>
      </c>
      <c r="H49" s="2">
        <f t="shared" si="0"/>
        <v>2210.1324</v>
      </c>
      <c r="I49" s="2">
        <f t="shared" si="1"/>
        <v>156.28775237893677</v>
      </c>
      <c r="K49">
        <v>48.75</v>
      </c>
      <c r="L49">
        <v>1986.8340000000001</v>
      </c>
      <c r="M49">
        <v>1876.971</v>
      </c>
      <c r="N49">
        <v>1859.154</v>
      </c>
      <c r="O49">
        <v>1921.251</v>
      </c>
      <c r="P49">
        <v>1688.0630000000001</v>
      </c>
      <c r="R49" s="3">
        <f t="shared" si="2"/>
        <v>1866.4546000000003</v>
      </c>
      <c r="S49" s="3">
        <f t="shared" si="3"/>
        <v>49.739974757331737</v>
      </c>
    </row>
    <row r="50" spans="1:19" x14ac:dyDescent="0.25">
      <c r="A50">
        <v>50</v>
      </c>
      <c r="B50">
        <v>2200.1289999999999</v>
      </c>
      <c r="C50">
        <v>1729.0260000000001</v>
      </c>
      <c r="D50">
        <v>2370.5949999999998</v>
      </c>
      <c r="E50">
        <v>2670.3560000000002</v>
      </c>
      <c r="F50">
        <v>2487.0140000000001</v>
      </c>
      <c r="H50" s="2">
        <f t="shared" si="0"/>
        <v>2291.424</v>
      </c>
      <c r="I50" s="2">
        <f t="shared" si="1"/>
        <v>160.1154651172094</v>
      </c>
      <c r="K50">
        <v>50</v>
      </c>
      <c r="L50">
        <v>2046.8879999999999</v>
      </c>
      <c r="M50">
        <v>1938.752</v>
      </c>
      <c r="N50">
        <v>1908.1410000000001</v>
      </c>
      <c r="O50">
        <v>1981.867</v>
      </c>
      <c r="P50">
        <v>1733.905</v>
      </c>
      <c r="R50" s="3">
        <f t="shared" si="2"/>
        <v>1921.9105999999999</v>
      </c>
      <c r="S50" s="3">
        <f t="shared" si="3"/>
        <v>52.4563917369466</v>
      </c>
    </row>
    <row r="51" spans="1:19" x14ac:dyDescent="0.25">
      <c r="A51">
        <v>51.25</v>
      </c>
      <c r="B51">
        <v>2262.7350000000001</v>
      </c>
      <c r="C51">
        <v>1779.595</v>
      </c>
      <c r="D51">
        <v>2451.587</v>
      </c>
      <c r="E51">
        <v>2741.308</v>
      </c>
      <c r="F51">
        <v>2557.58</v>
      </c>
      <c r="H51" s="2">
        <f t="shared" si="0"/>
        <v>2358.5609999999997</v>
      </c>
      <c r="I51" s="2">
        <f t="shared" si="1"/>
        <v>164.18616209626373</v>
      </c>
      <c r="K51">
        <v>51.25</v>
      </c>
      <c r="L51">
        <v>2090.877</v>
      </c>
      <c r="M51">
        <v>1999.412</v>
      </c>
      <c r="N51">
        <v>1941.3009999999999</v>
      </c>
      <c r="O51">
        <v>2027.31</v>
      </c>
      <c r="P51">
        <v>1764.3</v>
      </c>
      <c r="R51" s="3">
        <f t="shared" si="2"/>
        <v>1964.6399999999999</v>
      </c>
      <c r="S51" s="3">
        <f t="shared" si="3"/>
        <v>55.566728162633432</v>
      </c>
    </row>
    <row r="52" spans="1:19" x14ac:dyDescent="0.25">
      <c r="A52">
        <v>52.5</v>
      </c>
      <c r="B52">
        <v>2316.38</v>
      </c>
      <c r="C52">
        <v>1788.7919999999999</v>
      </c>
      <c r="D52">
        <v>2471.7249999999999</v>
      </c>
      <c r="E52">
        <v>2739.0680000000002</v>
      </c>
      <c r="F52">
        <v>2576.5160000000001</v>
      </c>
      <c r="H52" s="2">
        <f t="shared" si="0"/>
        <v>2378.4962</v>
      </c>
      <c r="I52" s="2">
        <f t="shared" si="1"/>
        <v>162.71523270683679</v>
      </c>
      <c r="K52">
        <v>52.5</v>
      </c>
      <c r="L52">
        <v>2105.5039999999999</v>
      </c>
      <c r="M52">
        <v>2014.115</v>
      </c>
      <c r="N52">
        <v>1961.607</v>
      </c>
      <c r="O52">
        <v>2047.94</v>
      </c>
      <c r="P52">
        <v>1780.547</v>
      </c>
      <c r="R52" s="3">
        <f t="shared" si="2"/>
        <v>1981.9425999999999</v>
      </c>
      <c r="S52" s="3">
        <f t="shared" si="3"/>
        <v>55.512099593331889</v>
      </c>
    </row>
    <row r="53" spans="1:19" x14ac:dyDescent="0.25">
      <c r="A53">
        <v>53.75</v>
      </c>
      <c r="B53">
        <v>2309.4670000000001</v>
      </c>
      <c r="C53">
        <v>1786.394</v>
      </c>
      <c r="D53">
        <v>2450.9769999999999</v>
      </c>
      <c r="E53">
        <v>2746.683</v>
      </c>
      <c r="F53">
        <v>2580.2510000000002</v>
      </c>
      <c r="H53" s="2">
        <f t="shared" si="0"/>
        <v>2374.7544000000003</v>
      </c>
      <c r="I53" s="2">
        <f t="shared" si="1"/>
        <v>163.82918325914932</v>
      </c>
      <c r="K53">
        <v>53.75</v>
      </c>
      <c r="L53">
        <v>2111.21</v>
      </c>
      <c r="M53">
        <v>2024.702</v>
      </c>
      <c r="N53">
        <v>1987.05</v>
      </c>
      <c r="O53">
        <v>2042.999</v>
      </c>
      <c r="P53">
        <v>1792.2059999999999</v>
      </c>
      <c r="R53" s="3">
        <f t="shared" si="2"/>
        <v>1991.6333999999999</v>
      </c>
      <c r="S53" s="3">
        <f t="shared" si="3"/>
        <v>53.769329484009766</v>
      </c>
    </row>
    <row r="54" spans="1:19" x14ac:dyDescent="0.25">
      <c r="A54">
        <v>55</v>
      </c>
      <c r="B54">
        <v>2237.942</v>
      </c>
      <c r="C54">
        <v>1762.742</v>
      </c>
      <c r="D54">
        <v>2394.625</v>
      </c>
      <c r="E54">
        <v>2732.43</v>
      </c>
      <c r="F54">
        <v>2550.5390000000002</v>
      </c>
      <c r="H54" s="2">
        <f t="shared" si="0"/>
        <v>2335.6556</v>
      </c>
      <c r="I54" s="2">
        <f t="shared" si="1"/>
        <v>165.05455627113099</v>
      </c>
      <c r="K54">
        <v>55</v>
      </c>
      <c r="L54">
        <v>2082.3989999999999</v>
      </c>
      <c r="M54">
        <v>2022.5719999999999</v>
      </c>
      <c r="N54">
        <v>1974.566</v>
      </c>
      <c r="O54">
        <v>2013.069</v>
      </c>
      <c r="P54">
        <v>1780.0250000000001</v>
      </c>
      <c r="R54" s="3">
        <f t="shared" si="2"/>
        <v>1974.5261999999998</v>
      </c>
      <c r="S54" s="3">
        <f t="shared" si="3"/>
        <v>51.604847492653207</v>
      </c>
    </row>
    <row r="55" spans="1:19" x14ac:dyDescent="0.25">
      <c r="A55">
        <v>56.25</v>
      </c>
      <c r="B55">
        <v>2099.134</v>
      </c>
      <c r="C55">
        <v>1695.758</v>
      </c>
      <c r="D55">
        <v>2263.2040000000002</v>
      </c>
      <c r="E55">
        <v>2645.0410000000002</v>
      </c>
      <c r="F55">
        <v>2455.15</v>
      </c>
      <c r="H55" s="2">
        <f t="shared" si="0"/>
        <v>2231.6573999999996</v>
      </c>
      <c r="I55" s="2">
        <f t="shared" si="1"/>
        <v>162.26224906662833</v>
      </c>
      <c r="K55">
        <v>56.25</v>
      </c>
      <c r="L55">
        <v>1991.5429999999999</v>
      </c>
      <c r="M55">
        <v>1942.7429999999999</v>
      </c>
      <c r="N55">
        <v>1909.8040000000001</v>
      </c>
      <c r="O55">
        <v>1928.5630000000001</v>
      </c>
      <c r="P55">
        <v>1703.9649999999999</v>
      </c>
      <c r="R55" s="3">
        <f t="shared" si="2"/>
        <v>1895.3236000000002</v>
      </c>
      <c r="S55" s="3">
        <f t="shared" si="3"/>
        <v>49.718922918341669</v>
      </c>
    </row>
    <row r="56" spans="1:19" x14ac:dyDescent="0.25">
      <c r="A56">
        <v>57.5</v>
      </c>
      <c r="B56">
        <v>1908.6469999999999</v>
      </c>
      <c r="C56">
        <v>1603.056</v>
      </c>
      <c r="D56">
        <v>2093.2910000000002</v>
      </c>
      <c r="E56">
        <v>2512.5619999999999</v>
      </c>
      <c r="F56">
        <v>2313.1860000000001</v>
      </c>
      <c r="H56" s="2">
        <f t="shared" si="0"/>
        <v>2086.1484</v>
      </c>
      <c r="I56" s="2">
        <f t="shared" si="1"/>
        <v>157.8465490204328</v>
      </c>
      <c r="K56">
        <v>57.5</v>
      </c>
      <c r="L56">
        <v>1871.4359999999999</v>
      </c>
      <c r="M56">
        <v>1803.0060000000001</v>
      </c>
      <c r="N56">
        <v>1808.6659999999999</v>
      </c>
      <c r="O56">
        <v>1809.0909999999999</v>
      </c>
      <c r="P56">
        <v>1596.672</v>
      </c>
      <c r="R56" s="3">
        <f t="shared" si="2"/>
        <v>1777.7742000000003</v>
      </c>
      <c r="S56" s="3">
        <f t="shared" si="3"/>
        <v>46.979904546944312</v>
      </c>
    </row>
    <row r="57" spans="1:19" x14ac:dyDescent="0.25">
      <c r="A57">
        <v>58.75</v>
      </c>
      <c r="B57">
        <v>1706.008</v>
      </c>
      <c r="C57">
        <v>1503.0429999999999</v>
      </c>
      <c r="D57">
        <v>1907.75</v>
      </c>
      <c r="E57">
        <v>2373.5149999999999</v>
      </c>
      <c r="F57">
        <v>2184.9639999999999</v>
      </c>
      <c r="H57" s="2">
        <f t="shared" si="0"/>
        <v>1935.0559999999998</v>
      </c>
      <c r="I57" s="2">
        <f t="shared" si="1"/>
        <v>157.24886951167625</v>
      </c>
      <c r="K57">
        <v>58.75</v>
      </c>
      <c r="L57">
        <v>1749.008</v>
      </c>
      <c r="M57">
        <v>1674.8520000000001</v>
      </c>
      <c r="N57">
        <v>1700.192</v>
      </c>
      <c r="O57">
        <v>1689.172</v>
      </c>
      <c r="P57">
        <v>1494.521</v>
      </c>
      <c r="R57" s="3">
        <f t="shared" si="2"/>
        <v>1661.5490000000002</v>
      </c>
      <c r="S57" s="3">
        <f t="shared" si="3"/>
        <v>43.577924946009091</v>
      </c>
    </row>
    <row r="58" spans="1:19" x14ac:dyDescent="0.25">
      <c r="A58">
        <v>60</v>
      </c>
      <c r="B58">
        <v>1613.5820000000001</v>
      </c>
      <c r="C58">
        <v>1443.827</v>
      </c>
      <c r="D58">
        <v>1823.9380000000001</v>
      </c>
      <c r="E58">
        <v>2278.4360000000001</v>
      </c>
      <c r="F58">
        <v>2087.3850000000002</v>
      </c>
      <c r="H58" s="2">
        <f t="shared" si="0"/>
        <v>1849.4335999999998</v>
      </c>
      <c r="I58" s="2">
        <f t="shared" si="1"/>
        <v>151.89743986868308</v>
      </c>
      <c r="K58">
        <v>60</v>
      </c>
      <c r="L58">
        <v>1662.52</v>
      </c>
      <c r="M58">
        <v>1599.374</v>
      </c>
      <c r="N58">
        <v>1625.0920000000001</v>
      </c>
      <c r="O58">
        <v>1597.4680000000001</v>
      </c>
      <c r="P58">
        <v>1420.9469999999999</v>
      </c>
      <c r="R58" s="3">
        <f t="shared" si="2"/>
        <v>1581.0802000000001</v>
      </c>
      <c r="S58" s="3">
        <f t="shared" si="3"/>
        <v>41.722502569237164</v>
      </c>
    </row>
    <row r="59" spans="1:19" x14ac:dyDescent="0.25">
      <c r="A59">
        <v>61.25</v>
      </c>
      <c r="B59">
        <v>1548.297</v>
      </c>
      <c r="C59">
        <v>1379.7439999999999</v>
      </c>
      <c r="D59">
        <v>1744.086</v>
      </c>
      <c r="E59">
        <v>2154.8780000000002</v>
      </c>
      <c r="F59">
        <v>1982.674</v>
      </c>
      <c r="H59" s="2">
        <f t="shared" si="0"/>
        <v>1761.9358</v>
      </c>
      <c r="I59" s="2">
        <f t="shared" si="1"/>
        <v>140.56309076226265</v>
      </c>
      <c r="K59">
        <v>61.25</v>
      </c>
      <c r="L59">
        <v>1585.7</v>
      </c>
      <c r="M59">
        <v>1548.9169999999999</v>
      </c>
      <c r="N59">
        <v>1561.43</v>
      </c>
      <c r="O59">
        <v>1535.2260000000001</v>
      </c>
      <c r="P59">
        <v>1351.6379999999999</v>
      </c>
      <c r="R59" s="3">
        <f t="shared" si="2"/>
        <v>1516.5822000000003</v>
      </c>
      <c r="S59" s="3">
        <f t="shared" si="3"/>
        <v>42.064423878617447</v>
      </c>
    </row>
    <row r="60" spans="1:19" x14ac:dyDescent="0.25">
      <c r="A60">
        <v>62.5</v>
      </c>
      <c r="B60">
        <v>1502.6210000000001</v>
      </c>
      <c r="C60">
        <v>1322.91</v>
      </c>
      <c r="D60">
        <v>1677.0440000000001</v>
      </c>
      <c r="E60">
        <v>2062.73</v>
      </c>
      <c r="F60">
        <v>1903.722</v>
      </c>
      <c r="H60" s="2">
        <f t="shared" si="0"/>
        <v>1693.8054</v>
      </c>
      <c r="I60" s="2">
        <f t="shared" si="1"/>
        <v>133.14769177781557</v>
      </c>
      <c r="K60">
        <v>62.5</v>
      </c>
      <c r="L60">
        <v>1521.8230000000001</v>
      </c>
      <c r="M60">
        <v>1502.4780000000001</v>
      </c>
      <c r="N60">
        <v>1506.5</v>
      </c>
      <c r="O60">
        <v>1476.4639999999999</v>
      </c>
      <c r="P60">
        <v>1295.6500000000001</v>
      </c>
      <c r="R60" s="3">
        <f t="shared" si="2"/>
        <v>1460.5830000000001</v>
      </c>
      <c r="S60" s="3">
        <f t="shared" si="3"/>
        <v>41.874216508491223</v>
      </c>
    </row>
    <row r="61" spans="1:19" x14ac:dyDescent="0.25">
      <c r="A61">
        <v>63.75</v>
      </c>
      <c r="B61">
        <v>1474.761</v>
      </c>
      <c r="C61">
        <v>1265.085</v>
      </c>
      <c r="D61">
        <v>1640.4680000000001</v>
      </c>
      <c r="E61">
        <v>1954.0060000000001</v>
      </c>
      <c r="F61">
        <v>1798.895</v>
      </c>
      <c r="H61" s="2">
        <f t="shared" si="0"/>
        <v>1626.643</v>
      </c>
      <c r="I61" s="2">
        <f t="shared" si="1"/>
        <v>120.58622333956711</v>
      </c>
      <c r="K61">
        <v>63.75</v>
      </c>
      <c r="L61">
        <v>1469.498</v>
      </c>
      <c r="M61">
        <v>1444.048</v>
      </c>
      <c r="N61">
        <v>1452.5170000000001</v>
      </c>
      <c r="O61">
        <v>1424.384</v>
      </c>
      <c r="P61">
        <v>1255.223</v>
      </c>
      <c r="R61" s="3">
        <f t="shared" si="2"/>
        <v>1409.134</v>
      </c>
      <c r="S61" s="3">
        <f t="shared" si="3"/>
        <v>39.157402238912645</v>
      </c>
    </row>
    <row r="62" spans="1:19" x14ac:dyDescent="0.25">
      <c r="A62">
        <v>65</v>
      </c>
      <c r="B62">
        <v>1452.0429999999999</v>
      </c>
      <c r="C62">
        <v>1210.683</v>
      </c>
      <c r="D62">
        <v>1603.155</v>
      </c>
      <c r="E62">
        <v>1871.2629999999999</v>
      </c>
      <c r="F62">
        <v>1719.431</v>
      </c>
      <c r="H62" s="2">
        <f t="shared" si="0"/>
        <v>1571.3149999999998</v>
      </c>
      <c r="I62" s="2">
        <f t="shared" si="1"/>
        <v>113.4024221892994</v>
      </c>
      <c r="K62">
        <v>65</v>
      </c>
      <c r="L62">
        <v>1426.931</v>
      </c>
      <c r="M62">
        <v>1395.3130000000001</v>
      </c>
      <c r="N62">
        <v>1389.415</v>
      </c>
      <c r="O62">
        <v>1377.441</v>
      </c>
      <c r="P62">
        <v>1208.4010000000001</v>
      </c>
      <c r="R62" s="3">
        <f t="shared" si="2"/>
        <v>1359.5001999999999</v>
      </c>
      <c r="S62" s="3">
        <f t="shared" si="3"/>
        <v>38.650488507132728</v>
      </c>
    </row>
    <row r="63" spans="1:19" x14ac:dyDescent="0.25">
      <c r="A63">
        <v>66.25</v>
      </c>
      <c r="B63">
        <v>1445.07</v>
      </c>
      <c r="C63">
        <v>1164.355</v>
      </c>
      <c r="D63">
        <v>1570.521</v>
      </c>
      <c r="E63">
        <v>1801.1310000000001</v>
      </c>
      <c r="F63">
        <v>1656.1220000000001</v>
      </c>
      <c r="H63" s="2">
        <f t="shared" si="0"/>
        <v>1527.4398000000001</v>
      </c>
      <c r="I63" s="2">
        <f t="shared" si="1"/>
        <v>107.68874762267399</v>
      </c>
      <c r="K63">
        <v>66.25</v>
      </c>
      <c r="L63">
        <v>1392.0930000000001</v>
      </c>
      <c r="M63">
        <v>1368.0820000000001</v>
      </c>
      <c r="N63">
        <v>1333.8219999999999</v>
      </c>
      <c r="O63">
        <v>1337.614</v>
      </c>
      <c r="P63">
        <v>1158.72</v>
      </c>
      <c r="R63" s="3">
        <f t="shared" si="2"/>
        <v>1318.0662000000002</v>
      </c>
      <c r="S63" s="3">
        <f t="shared" si="3"/>
        <v>41.232948318547393</v>
      </c>
    </row>
    <row r="64" spans="1:19" x14ac:dyDescent="0.25">
      <c r="A64">
        <v>67.5</v>
      </c>
      <c r="B64">
        <v>1457.444</v>
      </c>
      <c r="C64">
        <v>1135.009</v>
      </c>
      <c r="D64">
        <v>1562.06</v>
      </c>
      <c r="E64">
        <v>1746.415</v>
      </c>
      <c r="F64">
        <v>1620.124</v>
      </c>
      <c r="H64" s="2">
        <f t="shared" si="0"/>
        <v>1504.2103999999999</v>
      </c>
      <c r="I64" s="2">
        <f t="shared" si="1"/>
        <v>103.4268768447543</v>
      </c>
      <c r="K64">
        <v>67.5</v>
      </c>
      <c r="L64">
        <v>1362.5820000000001</v>
      </c>
      <c r="M64">
        <v>1344.759</v>
      </c>
      <c r="N64">
        <v>1282.7909999999999</v>
      </c>
      <c r="O64">
        <v>1309.93</v>
      </c>
      <c r="P64">
        <v>1126.893</v>
      </c>
      <c r="R64" s="3">
        <f t="shared" si="2"/>
        <v>1285.3910000000001</v>
      </c>
      <c r="S64" s="3">
        <f t="shared" si="3"/>
        <v>41.960426850784067</v>
      </c>
    </row>
    <row r="65" spans="1:19" x14ac:dyDescent="0.25">
      <c r="A65">
        <v>68.75</v>
      </c>
      <c r="B65">
        <v>1476.0250000000001</v>
      </c>
      <c r="C65">
        <v>1120.961</v>
      </c>
      <c r="D65">
        <v>1567.83</v>
      </c>
      <c r="E65">
        <v>1709.4190000000001</v>
      </c>
      <c r="F65">
        <v>1595.682</v>
      </c>
      <c r="H65" s="2">
        <f t="shared" si="0"/>
        <v>1493.9833999999998</v>
      </c>
      <c r="I65" s="2">
        <f t="shared" si="1"/>
        <v>100.41828477752507</v>
      </c>
      <c r="K65">
        <v>68.75</v>
      </c>
      <c r="L65">
        <v>1353.2170000000001</v>
      </c>
      <c r="M65">
        <v>1333.4929999999999</v>
      </c>
      <c r="N65">
        <v>1263.23</v>
      </c>
      <c r="O65">
        <v>1290.431</v>
      </c>
      <c r="P65">
        <v>1115.827</v>
      </c>
      <c r="R65" s="3">
        <f t="shared" si="2"/>
        <v>1271.2396000000001</v>
      </c>
      <c r="S65" s="3">
        <f t="shared" si="3"/>
        <v>41.941220587388727</v>
      </c>
    </row>
    <row r="66" spans="1:19" x14ac:dyDescent="0.25">
      <c r="A66">
        <v>70</v>
      </c>
      <c r="B66">
        <v>1489.4770000000001</v>
      </c>
      <c r="C66">
        <v>1118.777</v>
      </c>
      <c r="D66">
        <v>1556.288</v>
      </c>
      <c r="E66">
        <v>1703.3789999999999</v>
      </c>
      <c r="F66">
        <v>1572.895</v>
      </c>
      <c r="H66" s="2">
        <f t="shared" si="0"/>
        <v>1488.1631999999997</v>
      </c>
      <c r="I66" s="2">
        <f t="shared" si="1"/>
        <v>98.637264179620047</v>
      </c>
      <c r="K66">
        <v>70</v>
      </c>
      <c r="L66">
        <v>1348.3620000000001</v>
      </c>
      <c r="M66">
        <v>1327.0640000000001</v>
      </c>
      <c r="N66">
        <v>1255.74</v>
      </c>
      <c r="O66">
        <v>1283.0719999999999</v>
      </c>
      <c r="P66">
        <v>1109.692</v>
      </c>
      <c r="R66" s="3">
        <f t="shared" si="2"/>
        <v>1264.7860000000001</v>
      </c>
      <c r="S66" s="3">
        <f t="shared" si="3"/>
        <v>42.032043614366415</v>
      </c>
    </row>
    <row r="67" spans="1:19" x14ac:dyDescent="0.25">
      <c r="A67">
        <v>71.25</v>
      </c>
      <c r="B67">
        <v>1492.4939999999999</v>
      </c>
      <c r="C67">
        <v>1108.693</v>
      </c>
      <c r="D67">
        <v>1538.0609999999999</v>
      </c>
      <c r="E67">
        <v>1681.021</v>
      </c>
      <c r="F67">
        <v>1555.665</v>
      </c>
      <c r="H67" s="2">
        <f t="shared" si="0"/>
        <v>1475.1867999999999</v>
      </c>
      <c r="I67" s="2">
        <f t="shared" si="1"/>
        <v>96.802600223548055</v>
      </c>
      <c r="K67">
        <v>71.25</v>
      </c>
      <c r="L67">
        <v>1341.25</v>
      </c>
      <c r="M67">
        <v>1323.0530000000001</v>
      </c>
      <c r="N67">
        <v>1246.249</v>
      </c>
      <c r="O67">
        <v>1276.1379999999999</v>
      </c>
      <c r="P67">
        <v>1098.991</v>
      </c>
      <c r="R67" s="3">
        <f t="shared" si="2"/>
        <v>1257.1361999999999</v>
      </c>
      <c r="S67" s="3">
        <f t="shared" si="3"/>
        <v>42.9590850011962</v>
      </c>
    </row>
    <row r="68" spans="1:19" x14ac:dyDescent="0.25">
      <c r="A68">
        <v>72.5</v>
      </c>
      <c r="B68">
        <v>1470.828</v>
      </c>
      <c r="C68">
        <v>1092.828</v>
      </c>
      <c r="D68">
        <v>1531.3030000000001</v>
      </c>
      <c r="E68">
        <v>1657.3150000000001</v>
      </c>
      <c r="F68">
        <v>1541.56</v>
      </c>
      <c r="H68" s="2">
        <f t="shared" si="0"/>
        <v>1458.7667999999999</v>
      </c>
      <c r="I68" s="2">
        <f t="shared" si="1"/>
        <v>96.331272152609813</v>
      </c>
      <c r="K68">
        <v>72.5</v>
      </c>
      <c r="L68">
        <v>1331.7560000000001</v>
      </c>
      <c r="M68">
        <v>1312.982</v>
      </c>
      <c r="N68">
        <v>1232.4390000000001</v>
      </c>
      <c r="O68">
        <v>1256.027</v>
      </c>
      <c r="P68">
        <v>1082.9110000000001</v>
      </c>
      <c r="R68" s="3">
        <f t="shared" si="2"/>
        <v>1243.2230000000002</v>
      </c>
      <c r="S68" s="3">
        <f t="shared" si="3"/>
        <v>43.979873002317767</v>
      </c>
    </row>
    <row r="69" spans="1:19" x14ac:dyDescent="0.25">
      <c r="A69">
        <v>73.75</v>
      </c>
      <c r="B69">
        <v>1456.5989999999999</v>
      </c>
      <c r="C69">
        <v>1090.06</v>
      </c>
      <c r="D69">
        <v>1525.5930000000001</v>
      </c>
      <c r="E69">
        <v>1648.575</v>
      </c>
      <c r="F69">
        <v>1534.729</v>
      </c>
      <c r="H69" s="2">
        <f t="shared" ref="H69:H96" si="4">AVERAGE(B69:F69)</f>
        <v>1451.1111999999998</v>
      </c>
      <c r="I69" s="2">
        <f t="shared" ref="I69:I96" si="5">STDEV(B69:F69)/SQRT(COUNT(B69:F69))</f>
        <v>95.372824297281667</v>
      </c>
      <c r="K69">
        <v>73.75</v>
      </c>
      <c r="L69">
        <v>1330.6990000000001</v>
      </c>
      <c r="M69">
        <v>1303.2650000000001</v>
      </c>
      <c r="N69">
        <v>1223.3510000000001</v>
      </c>
      <c r="O69">
        <v>1254.2660000000001</v>
      </c>
      <c r="P69">
        <v>1074.788</v>
      </c>
      <c r="R69" s="3">
        <f t="shared" ref="R69:R96" si="6">AVERAGE(L69:P69)</f>
        <v>1237.2738000000002</v>
      </c>
      <c r="S69" s="3">
        <f t="shared" ref="S69:S96" si="7">STDEV(L69:P69)/SQRT(COUNT(L69:P69))</f>
        <v>44.703087642130498</v>
      </c>
    </row>
    <row r="70" spans="1:19" x14ac:dyDescent="0.25">
      <c r="A70">
        <v>75</v>
      </c>
      <c r="B70">
        <v>1522.7570000000001</v>
      </c>
      <c r="C70">
        <v>1145.624</v>
      </c>
      <c r="D70">
        <v>1584.1759999999999</v>
      </c>
      <c r="E70">
        <v>1716.9670000000001</v>
      </c>
      <c r="F70">
        <v>1601.268</v>
      </c>
      <c r="H70" s="2">
        <f t="shared" si="4"/>
        <v>1514.1584000000003</v>
      </c>
      <c r="I70" s="2">
        <f t="shared" si="5"/>
        <v>97.343056984356821</v>
      </c>
      <c r="K70">
        <v>75</v>
      </c>
      <c r="L70">
        <v>1405.3430000000001</v>
      </c>
      <c r="M70">
        <v>1371.289</v>
      </c>
      <c r="N70">
        <v>1282.5440000000001</v>
      </c>
      <c r="O70">
        <v>1301.3610000000001</v>
      </c>
      <c r="P70">
        <v>1123.1079999999999</v>
      </c>
      <c r="R70" s="3">
        <f t="shared" si="6"/>
        <v>1296.729</v>
      </c>
      <c r="S70" s="3">
        <f t="shared" si="7"/>
        <v>48.848293668254179</v>
      </c>
    </row>
    <row r="71" spans="1:19" x14ac:dyDescent="0.25">
      <c r="A71">
        <v>76.25</v>
      </c>
      <c r="B71">
        <v>1699.596</v>
      </c>
      <c r="C71">
        <v>1274.404</v>
      </c>
      <c r="D71">
        <v>1754.579</v>
      </c>
      <c r="E71">
        <v>1899.5060000000001</v>
      </c>
      <c r="F71">
        <v>1760.2070000000001</v>
      </c>
      <c r="H71" s="2">
        <f t="shared" si="4"/>
        <v>1677.6583999999998</v>
      </c>
      <c r="I71" s="2">
        <f t="shared" si="5"/>
        <v>106.07609935918759</v>
      </c>
      <c r="K71">
        <v>76.25</v>
      </c>
      <c r="L71">
        <v>1565.6010000000001</v>
      </c>
      <c r="M71">
        <v>1572.46</v>
      </c>
      <c r="N71">
        <v>1436.691</v>
      </c>
      <c r="O71">
        <v>1456.36</v>
      </c>
      <c r="P71">
        <v>1248.883</v>
      </c>
      <c r="R71" s="3">
        <f t="shared" si="6"/>
        <v>1455.999</v>
      </c>
      <c r="S71" s="3">
        <f t="shared" si="7"/>
        <v>58.671002022293777</v>
      </c>
    </row>
    <row r="72" spans="1:19" x14ac:dyDescent="0.25">
      <c r="A72">
        <v>77.5</v>
      </c>
      <c r="B72">
        <v>1812.0419999999999</v>
      </c>
      <c r="C72">
        <v>1360.8009999999999</v>
      </c>
      <c r="D72">
        <v>1874.3689999999999</v>
      </c>
      <c r="E72">
        <v>2008.116</v>
      </c>
      <c r="F72">
        <v>1860.89</v>
      </c>
      <c r="H72" s="2">
        <f t="shared" si="4"/>
        <v>1783.2435999999998</v>
      </c>
      <c r="I72" s="2">
        <f t="shared" si="5"/>
        <v>110.49603983338126</v>
      </c>
      <c r="K72">
        <v>77.5</v>
      </c>
      <c r="L72">
        <v>1680.761</v>
      </c>
      <c r="M72">
        <v>1714.558</v>
      </c>
      <c r="N72">
        <v>1538.0540000000001</v>
      </c>
      <c r="O72">
        <v>1544.34</v>
      </c>
      <c r="P72">
        <v>1329.0920000000001</v>
      </c>
      <c r="R72" s="3">
        <f t="shared" si="6"/>
        <v>1561.3610000000001</v>
      </c>
      <c r="S72" s="3">
        <f t="shared" si="7"/>
        <v>68.010109491163121</v>
      </c>
    </row>
    <row r="73" spans="1:19" x14ac:dyDescent="0.25">
      <c r="A73">
        <v>78.75</v>
      </c>
      <c r="B73">
        <v>1744.817</v>
      </c>
      <c r="C73">
        <v>1306.0619999999999</v>
      </c>
      <c r="D73">
        <v>1805.2170000000001</v>
      </c>
      <c r="E73">
        <v>1945.8420000000001</v>
      </c>
      <c r="F73">
        <v>1782.298</v>
      </c>
      <c r="H73" s="2">
        <f t="shared" si="4"/>
        <v>1716.8472000000002</v>
      </c>
      <c r="I73" s="2">
        <f t="shared" si="5"/>
        <v>108.18004378137361</v>
      </c>
      <c r="K73">
        <v>78.75</v>
      </c>
      <c r="L73">
        <v>1626.1769999999999</v>
      </c>
      <c r="M73">
        <v>1644.0509999999999</v>
      </c>
      <c r="N73">
        <v>1484.183</v>
      </c>
      <c r="O73">
        <v>1492.816</v>
      </c>
      <c r="P73">
        <v>1277.163</v>
      </c>
      <c r="R73" s="3">
        <f t="shared" si="6"/>
        <v>1504.8779999999999</v>
      </c>
      <c r="S73" s="3">
        <f t="shared" si="7"/>
        <v>65.76871118700744</v>
      </c>
    </row>
    <row r="74" spans="1:19" x14ac:dyDescent="0.25">
      <c r="A74">
        <v>80</v>
      </c>
      <c r="B74">
        <v>1640.817</v>
      </c>
      <c r="C74">
        <v>1218.2650000000001</v>
      </c>
      <c r="D74">
        <v>1693.329</v>
      </c>
      <c r="E74">
        <v>1821.0360000000001</v>
      </c>
      <c r="F74">
        <v>1657.665</v>
      </c>
      <c r="H74" s="2">
        <f t="shared" si="4"/>
        <v>1606.2224000000001</v>
      </c>
      <c r="I74" s="2">
        <f t="shared" si="5"/>
        <v>102.00159659711187</v>
      </c>
      <c r="K74">
        <v>80</v>
      </c>
      <c r="L74">
        <v>1526.9939999999999</v>
      </c>
      <c r="M74">
        <v>1513.3119999999999</v>
      </c>
      <c r="N74">
        <v>1379.057</v>
      </c>
      <c r="O74">
        <v>1401.4190000000001</v>
      </c>
      <c r="P74">
        <v>1202.3779999999999</v>
      </c>
      <c r="R74" s="3">
        <f t="shared" si="6"/>
        <v>1404.6319999999998</v>
      </c>
      <c r="S74" s="3">
        <f t="shared" si="7"/>
        <v>58.461477040013271</v>
      </c>
    </row>
    <row r="75" spans="1:19" x14ac:dyDescent="0.25">
      <c r="A75">
        <v>81.25</v>
      </c>
      <c r="B75">
        <v>1691.8389999999999</v>
      </c>
      <c r="C75">
        <v>1218.662</v>
      </c>
      <c r="D75">
        <v>1692.68</v>
      </c>
      <c r="E75">
        <v>1843.0709999999999</v>
      </c>
      <c r="F75">
        <v>1646.21</v>
      </c>
      <c r="H75" s="2">
        <f t="shared" si="4"/>
        <v>1618.4924000000001</v>
      </c>
      <c r="I75" s="2">
        <f t="shared" si="5"/>
        <v>105.34507236154846</v>
      </c>
      <c r="K75">
        <v>81.25</v>
      </c>
      <c r="L75">
        <v>1558.4090000000001</v>
      </c>
      <c r="M75">
        <v>1524.8219999999999</v>
      </c>
      <c r="N75">
        <v>1402.5909999999999</v>
      </c>
      <c r="O75">
        <v>1435.316</v>
      </c>
      <c r="P75">
        <v>1204.047</v>
      </c>
      <c r="R75" s="3">
        <f t="shared" si="6"/>
        <v>1425.0369999999998</v>
      </c>
      <c r="S75" s="3">
        <f t="shared" si="7"/>
        <v>62.12535612211812</v>
      </c>
    </row>
    <row r="76" spans="1:19" x14ac:dyDescent="0.25">
      <c r="A76">
        <v>82.5</v>
      </c>
      <c r="B76">
        <v>2217.6729999999998</v>
      </c>
      <c r="C76">
        <v>1525.8019999999999</v>
      </c>
      <c r="D76">
        <v>2050.047</v>
      </c>
      <c r="E76">
        <v>2250.7750000000001</v>
      </c>
      <c r="F76">
        <v>1989.3219999999999</v>
      </c>
      <c r="H76" s="2">
        <f t="shared" si="4"/>
        <v>2006.7237999999998</v>
      </c>
      <c r="I76" s="2">
        <f t="shared" si="5"/>
        <v>129.90882441520367</v>
      </c>
      <c r="K76">
        <v>82.5</v>
      </c>
      <c r="L76">
        <v>2008.4749999999999</v>
      </c>
      <c r="M76">
        <v>2004.559</v>
      </c>
      <c r="N76">
        <v>1733.289</v>
      </c>
      <c r="O76">
        <v>1924.46</v>
      </c>
      <c r="P76">
        <v>1545.404</v>
      </c>
      <c r="R76" s="3">
        <f t="shared" si="6"/>
        <v>1843.2374</v>
      </c>
      <c r="S76" s="3">
        <f t="shared" si="7"/>
        <v>89.643354089748314</v>
      </c>
    </row>
    <row r="77" spans="1:19" x14ac:dyDescent="0.25">
      <c r="A77">
        <v>83.75</v>
      </c>
      <c r="B77">
        <v>3077.4659999999999</v>
      </c>
      <c r="C77">
        <v>2130.9830000000002</v>
      </c>
      <c r="D77">
        <v>2737.0680000000002</v>
      </c>
      <c r="E77">
        <v>3042.8150000000001</v>
      </c>
      <c r="F77">
        <v>2684.8220000000001</v>
      </c>
      <c r="H77" s="2">
        <f t="shared" si="4"/>
        <v>2734.6307999999999</v>
      </c>
      <c r="I77" s="2">
        <f t="shared" si="5"/>
        <v>170.20443566999134</v>
      </c>
      <c r="K77">
        <v>83.75</v>
      </c>
      <c r="L77">
        <v>2789.203</v>
      </c>
      <c r="M77">
        <v>2818.5059999999999</v>
      </c>
      <c r="N77">
        <v>2364.607</v>
      </c>
      <c r="O77">
        <v>2719.683</v>
      </c>
      <c r="P77">
        <v>2153.2370000000001</v>
      </c>
      <c r="R77" s="3">
        <f t="shared" si="6"/>
        <v>2569.0472</v>
      </c>
      <c r="S77" s="3">
        <f t="shared" si="7"/>
        <v>131.92485194473335</v>
      </c>
    </row>
    <row r="78" spans="1:19" x14ac:dyDescent="0.25">
      <c r="A78">
        <v>85</v>
      </c>
      <c r="B78">
        <v>3892.0619999999999</v>
      </c>
      <c r="C78">
        <v>2744.8209999999999</v>
      </c>
      <c r="D78">
        <v>3457.114</v>
      </c>
      <c r="E78">
        <v>3746.7539999999999</v>
      </c>
      <c r="F78">
        <v>3295.8409999999999</v>
      </c>
      <c r="H78" s="2">
        <f t="shared" si="4"/>
        <v>3427.3184000000001</v>
      </c>
      <c r="I78" s="2">
        <f t="shared" si="5"/>
        <v>200.2501562777413</v>
      </c>
      <c r="K78">
        <v>85</v>
      </c>
      <c r="L78">
        <v>3534.009</v>
      </c>
      <c r="M78">
        <v>3572.4250000000002</v>
      </c>
      <c r="N78">
        <v>2947.2260000000001</v>
      </c>
      <c r="O78">
        <v>3393.569</v>
      </c>
      <c r="P78">
        <v>2724.0430000000001</v>
      </c>
      <c r="R78" s="3">
        <f t="shared" si="6"/>
        <v>3234.2543999999998</v>
      </c>
      <c r="S78" s="3">
        <f t="shared" si="7"/>
        <v>169.15884425521608</v>
      </c>
    </row>
    <row r="79" spans="1:19" x14ac:dyDescent="0.25">
      <c r="A79">
        <v>86.25</v>
      </c>
      <c r="B79">
        <v>4225.4690000000001</v>
      </c>
      <c r="C79">
        <v>3020.9870000000001</v>
      </c>
      <c r="D79">
        <v>3754.8449999999998</v>
      </c>
      <c r="E79">
        <v>4068.444</v>
      </c>
      <c r="F79">
        <v>3540.0079999999998</v>
      </c>
      <c r="H79" s="2">
        <f t="shared" si="4"/>
        <v>3721.9505999999992</v>
      </c>
      <c r="I79" s="2">
        <f t="shared" si="5"/>
        <v>212.028721539467</v>
      </c>
      <c r="K79">
        <v>86.25</v>
      </c>
      <c r="L79">
        <v>3902.0149999999999</v>
      </c>
      <c r="M79">
        <v>3980.4670000000001</v>
      </c>
      <c r="N79">
        <v>3229.587</v>
      </c>
      <c r="O79">
        <v>3614.77</v>
      </c>
      <c r="P79">
        <v>2978.09</v>
      </c>
      <c r="R79" s="3">
        <f t="shared" si="6"/>
        <v>3540.9857999999999</v>
      </c>
      <c r="S79" s="3">
        <f t="shared" si="7"/>
        <v>192.71102859914339</v>
      </c>
    </row>
    <row r="80" spans="1:19" x14ac:dyDescent="0.25">
      <c r="A80">
        <v>87.5</v>
      </c>
      <c r="B80">
        <v>3951.4630000000002</v>
      </c>
      <c r="C80">
        <v>2867.9920000000002</v>
      </c>
      <c r="D80">
        <v>3517.2530000000002</v>
      </c>
      <c r="E80">
        <v>3873.1010000000001</v>
      </c>
      <c r="F80">
        <v>3304.893</v>
      </c>
      <c r="H80" s="2">
        <f t="shared" si="4"/>
        <v>3502.9404000000004</v>
      </c>
      <c r="I80" s="2">
        <f t="shared" si="5"/>
        <v>197.58270247306405</v>
      </c>
      <c r="K80">
        <v>87.5</v>
      </c>
      <c r="L80">
        <v>3775.8539999999998</v>
      </c>
      <c r="M80">
        <v>3828.136</v>
      </c>
      <c r="N80">
        <v>3086.0920000000001</v>
      </c>
      <c r="O80">
        <v>3347.2049999999999</v>
      </c>
      <c r="P80">
        <v>2799.7190000000001</v>
      </c>
      <c r="R80" s="3">
        <f t="shared" si="6"/>
        <v>3367.4012000000002</v>
      </c>
      <c r="S80" s="3">
        <f t="shared" si="7"/>
        <v>197.60011114050423</v>
      </c>
    </row>
    <row r="81" spans="1:19" x14ac:dyDescent="0.25">
      <c r="A81">
        <v>88.75</v>
      </c>
      <c r="B81">
        <v>3378.6909999999998</v>
      </c>
      <c r="C81">
        <v>2438.9749999999999</v>
      </c>
      <c r="D81">
        <v>3032.3739999999998</v>
      </c>
      <c r="E81">
        <v>3371.46</v>
      </c>
      <c r="F81">
        <v>2787.2750000000001</v>
      </c>
      <c r="H81" s="2">
        <f t="shared" si="4"/>
        <v>3001.7550000000001</v>
      </c>
      <c r="I81" s="2">
        <f t="shared" si="5"/>
        <v>179.22375080914881</v>
      </c>
      <c r="K81">
        <v>88.75</v>
      </c>
      <c r="L81">
        <v>3316.06</v>
      </c>
      <c r="M81">
        <v>3299.308</v>
      </c>
      <c r="N81">
        <v>2659.3510000000001</v>
      </c>
      <c r="O81">
        <v>2819.7310000000002</v>
      </c>
      <c r="P81">
        <v>2357.1970000000001</v>
      </c>
      <c r="R81" s="3">
        <f t="shared" si="6"/>
        <v>2890.3294000000001</v>
      </c>
      <c r="S81" s="3">
        <f t="shared" si="7"/>
        <v>185.88643714822149</v>
      </c>
    </row>
    <row r="82" spans="1:19" x14ac:dyDescent="0.25">
      <c r="A82">
        <v>90</v>
      </c>
      <c r="B82">
        <v>3036.2620000000002</v>
      </c>
      <c r="C82">
        <v>2149.8539999999998</v>
      </c>
      <c r="D82">
        <v>2699.1680000000001</v>
      </c>
      <c r="E82">
        <v>2945.2069999999999</v>
      </c>
      <c r="F82">
        <v>2445.71</v>
      </c>
      <c r="H82" s="2">
        <f t="shared" si="4"/>
        <v>2655.2402000000002</v>
      </c>
      <c r="I82" s="2">
        <f t="shared" si="5"/>
        <v>162.86591488902695</v>
      </c>
      <c r="K82">
        <v>90</v>
      </c>
      <c r="L82">
        <v>2897.9160000000002</v>
      </c>
      <c r="M82">
        <v>2887.0059999999999</v>
      </c>
      <c r="N82">
        <v>2311.7420000000002</v>
      </c>
      <c r="O82">
        <v>2501.8910000000001</v>
      </c>
      <c r="P82">
        <v>2044.5889999999999</v>
      </c>
      <c r="R82" s="3">
        <f t="shared" si="6"/>
        <v>2528.6288</v>
      </c>
      <c r="S82" s="3">
        <f t="shared" si="7"/>
        <v>165.35667139713527</v>
      </c>
    </row>
    <row r="83" spans="1:19" x14ac:dyDescent="0.25">
      <c r="A83">
        <v>91.25</v>
      </c>
      <c r="B83">
        <v>3089.922</v>
      </c>
      <c r="C83">
        <v>2197.2660000000001</v>
      </c>
      <c r="D83">
        <v>2671.8319999999999</v>
      </c>
      <c r="E83">
        <v>2862.1410000000001</v>
      </c>
      <c r="F83">
        <v>2398.1570000000002</v>
      </c>
      <c r="H83" s="2">
        <f t="shared" si="4"/>
        <v>2643.8635999999997</v>
      </c>
      <c r="I83" s="2">
        <f t="shared" si="5"/>
        <v>159.25082426304886</v>
      </c>
      <c r="K83">
        <v>91.25</v>
      </c>
      <c r="L83">
        <v>2888.8090000000002</v>
      </c>
      <c r="M83">
        <v>2857.51</v>
      </c>
      <c r="N83">
        <v>2289.431</v>
      </c>
      <c r="O83">
        <v>2570.3009999999999</v>
      </c>
      <c r="P83">
        <v>2092.4549999999999</v>
      </c>
      <c r="R83" s="3">
        <f t="shared" si="6"/>
        <v>2539.7012</v>
      </c>
      <c r="S83" s="3">
        <f t="shared" si="7"/>
        <v>155.96143330336525</v>
      </c>
    </row>
    <row r="84" spans="1:19" x14ac:dyDescent="0.25">
      <c r="A84">
        <v>92.5</v>
      </c>
      <c r="B84">
        <v>3325.3290000000002</v>
      </c>
      <c r="C84">
        <v>2383.7620000000002</v>
      </c>
      <c r="D84">
        <v>2811.4749999999999</v>
      </c>
      <c r="E84">
        <v>3006.607</v>
      </c>
      <c r="F84">
        <v>2528.0509999999999</v>
      </c>
      <c r="H84" s="2">
        <f t="shared" si="4"/>
        <v>2811.0448000000001</v>
      </c>
      <c r="I84" s="2">
        <f t="shared" si="5"/>
        <v>168.13522526894835</v>
      </c>
      <c r="K84">
        <v>92.5</v>
      </c>
      <c r="L84">
        <v>3180.06</v>
      </c>
      <c r="M84">
        <v>3170.6950000000002</v>
      </c>
      <c r="N84">
        <v>2438.2269999999999</v>
      </c>
      <c r="O84">
        <v>2810.819</v>
      </c>
      <c r="P84">
        <v>2267.2800000000002</v>
      </c>
      <c r="R84" s="3">
        <f t="shared" si="6"/>
        <v>2773.4162000000001</v>
      </c>
      <c r="S84" s="3">
        <f t="shared" si="7"/>
        <v>186.16044789412152</v>
      </c>
    </row>
    <row r="85" spans="1:19" x14ac:dyDescent="0.25">
      <c r="A85">
        <v>93.75</v>
      </c>
      <c r="B85">
        <v>3564.2220000000002</v>
      </c>
      <c r="C85">
        <v>2589.4299999999998</v>
      </c>
      <c r="D85">
        <v>3079.721</v>
      </c>
      <c r="E85">
        <v>3266.1860000000001</v>
      </c>
      <c r="F85">
        <v>2819.8130000000001</v>
      </c>
      <c r="H85" s="2">
        <f t="shared" si="4"/>
        <v>3063.8743999999997</v>
      </c>
      <c r="I85" s="2">
        <f t="shared" si="5"/>
        <v>169.73394986171897</v>
      </c>
      <c r="K85">
        <v>93.75</v>
      </c>
      <c r="L85">
        <v>3488.4920000000002</v>
      </c>
      <c r="M85">
        <v>3548.4540000000002</v>
      </c>
      <c r="N85">
        <v>2632.3919999999998</v>
      </c>
      <c r="O85">
        <v>3057.136</v>
      </c>
      <c r="P85">
        <v>2461.018</v>
      </c>
      <c r="R85" s="3">
        <f t="shared" si="6"/>
        <v>3037.4983999999999</v>
      </c>
      <c r="S85" s="3">
        <f t="shared" si="7"/>
        <v>219.23701040782174</v>
      </c>
    </row>
    <row r="86" spans="1:19" x14ac:dyDescent="0.25">
      <c r="A86">
        <v>95</v>
      </c>
      <c r="B86">
        <v>3762.2310000000002</v>
      </c>
      <c r="C86">
        <v>2733.8780000000002</v>
      </c>
      <c r="D86">
        <v>3397.7710000000002</v>
      </c>
      <c r="E86">
        <v>3611.52</v>
      </c>
      <c r="F86">
        <v>3177.9340000000002</v>
      </c>
      <c r="H86" s="2">
        <f t="shared" si="4"/>
        <v>3336.6668000000004</v>
      </c>
      <c r="I86" s="2">
        <f t="shared" si="5"/>
        <v>180.12958284673746</v>
      </c>
      <c r="K86">
        <v>95</v>
      </c>
      <c r="L86">
        <v>3683.4609999999998</v>
      </c>
      <c r="M86">
        <v>3770.6709999999998</v>
      </c>
      <c r="N86">
        <v>2844.1990000000001</v>
      </c>
      <c r="O86">
        <v>3228.252</v>
      </c>
      <c r="P86">
        <v>2610.8870000000002</v>
      </c>
      <c r="R86" s="3">
        <f t="shared" si="6"/>
        <v>3227.4940000000001</v>
      </c>
      <c r="S86" s="3">
        <f t="shared" si="7"/>
        <v>226.94349323741264</v>
      </c>
    </row>
    <row r="87" spans="1:19" x14ac:dyDescent="0.25">
      <c r="A87">
        <v>96.25</v>
      </c>
      <c r="B87">
        <v>3885.5439999999999</v>
      </c>
      <c r="C87">
        <v>2846.252</v>
      </c>
      <c r="D87">
        <v>3691.5149999999999</v>
      </c>
      <c r="E87">
        <v>3971.8739999999998</v>
      </c>
      <c r="F87">
        <v>3534.76</v>
      </c>
      <c r="H87" s="2">
        <f t="shared" si="4"/>
        <v>3585.989</v>
      </c>
      <c r="I87" s="2">
        <f t="shared" si="5"/>
        <v>199.95142004196919</v>
      </c>
      <c r="K87">
        <v>96.25</v>
      </c>
      <c r="L87">
        <v>3719.864</v>
      </c>
      <c r="M87">
        <v>3812.413</v>
      </c>
      <c r="N87">
        <v>3033.0450000000001</v>
      </c>
      <c r="O87">
        <v>3328.7649999999999</v>
      </c>
      <c r="P87">
        <v>2701.52</v>
      </c>
      <c r="R87" s="3">
        <f t="shared" si="6"/>
        <v>3319.1214</v>
      </c>
      <c r="S87" s="3">
        <f t="shared" si="7"/>
        <v>208.24209817243823</v>
      </c>
    </row>
    <row r="88" spans="1:19" x14ac:dyDescent="0.25">
      <c r="A88">
        <v>97.5</v>
      </c>
      <c r="B88">
        <v>4050.7330000000002</v>
      </c>
      <c r="C88">
        <v>2975.759</v>
      </c>
      <c r="D88">
        <v>4035.7869999999998</v>
      </c>
      <c r="E88">
        <v>4303.1310000000003</v>
      </c>
      <c r="F88">
        <v>3924.4929999999999</v>
      </c>
      <c r="H88" s="2">
        <f t="shared" si="4"/>
        <v>3857.9805999999999</v>
      </c>
      <c r="I88" s="2">
        <f t="shared" si="5"/>
        <v>229.09237580801425</v>
      </c>
      <c r="K88">
        <v>97.5</v>
      </c>
      <c r="L88">
        <v>3727.4789999999998</v>
      </c>
      <c r="M88">
        <v>3740.28</v>
      </c>
      <c r="N88">
        <v>3284.7190000000001</v>
      </c>
      <c r="O88">
        <v>3415.1849999999999</v>
      </c>
      <c r="P88">
        <v>2849.3420000000001</v>
      </c>
      <c r="R88" s="3">
        <f t="shared" si="6"/>
        <v>3403.4009999999994</v>
      </c>
      <c r="S88" s="3">
        <f t="shared" si="7"/>
        <v>164.27411025265056</v>
      </c>
    </row>
    <row r="89" spans="1:19" x14ac:dyDescent="0.25">
      <c r="A89">
        <v>98.75</v>
      </c>
      <c r="B89">
        <v>4285.817</v>
      </c>
      <c r="C89">
        <v>3160.8939999999998</v>
      </c>
      <c r="D89">
        <v>4336.6809999999996</v>
      </c>
      <c r="E89">
        <v>4630.3320000000003</v>
      </c>
      <c r="F89">
        <v>4253.5360000000001</v>
      </c>
      <c r="H89" s="2">
        <f t="shared" si="4"/>
        <v>4133.4520000000002</v>
      </c>
      <c r="I89" s="2">
        <f t="shared" si="5"/>
        <v>252.16027487354074</v>
      </c>
      <c r="K89">
        <v>98.75</v>
      </c>
      <c r="L89">
        <v>3844.3519999999999</v>
      </c>
      <c r="M89">
        <v>3854.2979999999998</v>
      </c>
      <c r="N89">
        <v>3497.8649999999998</v>
      </c>
      <c r="O89">
        <v>3608.9630000000002</v>
      </c>
      <c r="P89">
        <v>3079.308</v>
      </c>
      <c r="R89" s="3">
        <f t="shared" si="6"/>
        <v>3576.9571999999998</v>
      </c>
      <c r="S89" s="3">
        <f t="shared" si="7"/>
        <v>142.01277618700365</v>
      </c>
    </row>
    <row r="90" spans="1:19" x14ac:dyDescent="0.25">
      <c r="A90">
        <v>100</v>
      </c>
      <c r="B90">
        <v>4402.37</v>
      </c>
      <c r="C90">
        <v>3240.2170000000001</v>
      </c>
      <c r="D90">
        <v>4437.326</v>
      </c>
      <c r="E90">
        <v>4752.4939999999997</v>
      </c>
      <c r="F90">
        <v>4370.4679999999998</v>
      </c>
      <c r="H90" s="2">
        <f t="shared" si="4"/>
        <v>4240.5749999999998</v>
      </c>
      <c r="I90" s="2">
        <f t="shared" si="5"/>
        <v>259.28150340893933</v>
      </c>
      <c r="K90">
        <v>100</v>
      </c>
      <c r="L90">
        <v>3934.3939999999998</v>
      </c>
      <c r="M90">
        <v>4003.8670000000002</v>
      </c>
      <c r="N90">
        <v>3635.9740000000002</v>
      </c>
      <c r="O90">
        <v>3717.0909999999999</v>
      </c>
      <c r="P90">
        <v>3189.9059999999999</v>
      </c>
      <c r="R90" s="3">
        <f t="shared" si="6"/>
        <v>3696.2464</v>
      </c>
      <c r="S90" s="3">
        <f t="shared" si="7"/>
        <v>143.49086611230695</v>
      </c>
    </row>
    <row r="91" spans="1:19" x14ac:dyDescent="0.25">
      <c r="A91">
        <v>101.25</v>
      </c>
      <c r="B91">
        <v>4250.241</v>
      </c>
      <c r="C91">
        <v>3092.1860000000001</v>
      </c>
      <c r="D91">
        <v>4218.2219999999998</v>
      </c>
      <c r="E91">
        <v>4552.4979999999996</v>
      </c>
      <c r="F91">
        <v>4171.0510000000004</v>
      </c>
      <c r="H91" s="2">
        <f t="shared" si="4"/>
        <v>4056.8396000000002</v>
      </c>
      <c r="I91" s="2">
        <f t="shared" si="5"/>
        <v>250.2724956847234</v>
      </c>
      <c r="K91">
        <v>101.25</v>
      </c>
      <c r="L91">
        <v>3803.8319999999999</v>
      </c>
      <c r="M91">
        <v>3895.1689999999999</v>
      </c>
      <c r="N91">
        <v>3529.3879999999999</v>
      </c>
      <c r="O91">
        <v>3583.2040000000002</v>
      </c>
      <c r="P91">
        <v>3077.2449999999999</v>
      </c>
      <c r="R91" s="3">
        <f t="shared" si="6"/>
        <v>3577.7676000000001</v>
      </c>
      <c r="S91" s="3">
        <f t="shared" si="7"/>
        <v>142.25712195197818</v>
      </c>
    </row>
    <row r="92" spans="1:19" x14ac:dyDescent="0.25">
      <c r="A92">
        <v>102.5</v>
      </c>
      <c r="B92">
        <v>3897.3009999999999</v>
      </c>
      <c r="C92">
        <v>2808.2779999999998</v>
      </c>
      <c r="D92">
        <v>3790.511</v>
      </c>
      <c r="E92">
        <v>4123.3810000000003</v>
      </c>
      <c r="F92">
        <v>3758.9029999999998</v>
      </c>
      <c r="H92" s="2">
        <f t="shared" si="4"/>
        <v>3675.6747999999998</v>
      </c>
      <c r="I92" s="2">
        <f t="shared" si="5"/>
        <v>226.0586769846293</v>
      </c>
      <c r="K92">
        <v>102.5</v>
      </c>
      <c r="L92">
        <v>3500.15</v>
      </c>
      <c r="M92">
        <v>3570.3290000000002</v>
      </c>
      <c r="N92">
        <v>3237.1</v>
      </c>
      <c r="O92">
        <v>3268.6489999999999</v>
      </c>
      <c r="P92">
        <v>2817.9810000000002</v>
      </c>
      <c r="R92" s="3">
        <f t="shared" si="6"/>
        <v>3278.8417999999997</v>
      </c>
      <c r="S92" s="3">
        <f t="shared" si="7"/>
        <v>131.94336951260564</v>
      </c>
    </row>
    <row r="93" spans="1:19" x14ac:dyDescent="0.25">
      <c r="A93">
        <v>103.75</v>
      </c>
      <c r="B93">
        <v>3459.105</v>
      </c>
      <c r="C93">
        <v>2477.2640000000001</v>
      </c>
      <c r="D93">
        <v>3296.2579999999998</v>
      </c>
      <c r="E93">
        <v>3631.0030000000002</v>
      </c>
      <c r="F93">
        <v>3277.9380000000001</v>
      </c>
      <c r="H93" s="2">
        <f t="shared" si="4"/>
        <v>3228.3136000000004</v>
      </c>
      <c r="I93" s="2">
        <f t="shared" si="5"/>
        <v>198.31514659919335</v>
      </c>
      <c r="K93">
        <v>103.75</v>
      </c>
      <c r="L93">
        <v>3125.02</v>
      </c>
      <c r="M93">
        <v>3146.433</v>
      </c>
      <c r="N93">
        <v>2855.6239999999998</v>
      </c>
      <c r="O93">
        <v>2871.453</v>
      </c>
      <c r="P93">
        <v>2487.8270000000002</v>
      </c>
      <c r="R93" s="3">
        <f t="shared" si="6"/>
        <v>2897.2714000000001</v>
      </c>
      <c r="S93" s="3">
        <f t="shared" si="7"/>
        <v>119.16306896710907</v>
      </c>
    </row>
    <row r="94" spans="1:19" x14ac:dyDescent="0.25">
      <c r="A94">
        <v>105</v>
      </c>
      <c r="B94">
        <v>3096.5940000000001</v>
      </c>
      <c r="C94">
        <v>2213.386</v>
      </c>
      <c r="D94">
        <v>2914.549</v>
      </c>
      <c r="E94">
        <v>3205.8919999999998</v>
      </c>
      <c r="F94">
        <v>2875.4839999999999</v>
      </c>
      <c r="H94" s="2">
        <f t="shared" si="4"/>
        <v>2861.1809999999996</v>
      </c>
      <c r="I94" s="2">
        <f t="shared" si="5"/>
        <v>172.76226951334101</v>
      </c>
      <c r="K94">
        <v>105</v>
      </c>
      <c r="L94">
        <v>2751.212</v>
      </c>
      <c r="M94">
        <v>2729.9009999999998</v>
      </c>
      <c r="N94">
        <v>2515.0619999999999</v>
      </c>
      <c r="O94">
        <v>2534.9940000000001</v>
      </c>
      <c r="P94">
        <v>2182.2339999999999</v>
      </c>
      <c r="R94" s="3">
        <f t="shared" si="6"/>
        <v>2542.6806000000001</v>
      </c>
      <c r="S94" s="3">
        <f t="shared" si="7"/>
        <v>102.29380364890142</v>
      </c>
    </row>
    <row r="95" spans="1:19" x14ac:dyDescent="0.25">
      <c r="A95">
        <v>106.25</v>
      </c>
      <c r="B95">
        <v>2903.9929999999999</v>
      </c>
      <c r="C95">
        <v>2068.7800000000002</v>
      </c>
      <c r="D95">
        <v>2714.1840000000002</v>
      </c>
      <c r="E95">
        <v>2958.1129999999998</v>
      </c>
      <c r="F95">
        <v>2668.7750000000001</v>
      </c>
      <c r="H95" s="2">
        <f t="shared" si="4"/>
        <v>2662.7689999999998</v>
      </c>
      <c r="I95" s="2">
        <f t="shared" si="5"/>
        <v>158.25921819818279</v>
      </c>
      <c r="K95">
        <v>106.25</v>
      </c>
      <c r="L95">
        <v>2502.6280000000002</v>
      </c>
      <c r="M95">
        <v>2503.7370000000001</v>
      </c>
      <c r="N95">
        <v>2320.366</v>
      </c>
      <c r="O95">
        <v>2353.4119999999998</v>
      </c>
      <c r="P95">
        <v>2017.3130000000001</v>
      </c>
      <c r="R95" s="3">
        <f t="shared" si="6"/>
        <v>2339.4911999999999</v>
      </c>
      <c r="S95" s="3">
        <f t="shared" si="7"/>
        <v>88.867500480996995</v>
      </c>
    </row>
    <row r="96" spans="1:19" x14ac:dyDescent="0.25">
      <c r="A96">
        <v>107.5</v>
      </c>
      <c r="B96">
        <v>2760.2919999999999</v>
      </c>
      <c r="C96">
        <v>1956.4390000000001</v>
      </c>
      <c r="D96">
        <v>2560.5369999999998</v>
      </c>
      <c r="E96">
        <v>2778.181</v>
      </c>
      <c r="F96">
        <v>2510.92</v>
      </c>
      <c r="H96" s="2">
        <f t="shared" si="4"/>
        <v>2513.2737999999999</v>
      </c>
      <c r="I96" s="2">
        <f t="shared" si="5"/>
        <v>148.91241732689679</v>
      </c>
      <c r="K96">
        <v>107.5</v>
      </c>
      <c r="L96">
        <v>2346.0729999999999</v>
      </c>
      <c r="M96">
        <v>2376.6779999999999</v>
      </c>
      <c r="N96">
        <v>2193.8969999999999</v>
      </c>
      <c r="O96">
        <v>2226.0129999999999</v>
      </c>
      <c r="P96">
        <v>1907.9359999999999</v>
      </c>
      <c r="R96" s="3">
        <f t="shared" si="6"/>
        <v>2210.1194</v>
      </c>
      <c r="S96" s="3">
        <f t="shared" si="7"/>
        <v>83.083009275422853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BRIGHT!OCT_RAW___\CO14\_dark_profiles_CO14_DARK</vt:lpstr>
      <vt:lpstr>BRIGHT!OCT_RAW___\CO14\_light_profiles_CO14_LIGHT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2019-11-17T03:41:47Z</dcterms:modified>
</cp:coreProperties>
</file>