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AD727\"/>
    </mc:Choice>
  </mc:AlternateContent>
  <xr:revisionPtr revIDLastSave="0" documentId="13_ncr:1_{2154FD1D-36F8-437E-B003-91D8B943DEA0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BRIGHT" sheetId="1" r:id="rId1"/>
  </sheets>
  <definedNames>
    <definedName name="OCT_RAW___\AD02_fovea_offcenter\_dark_profiles_AD02_DARK" localSheetId="0">BRIGHT!$A$2:$F$96</definedName>
    <definedName name="OCT_RAW___\AD02_fovea_offcenter\_fovea_dark_profiles_AD02_DARK" localSheetId="0">BRIGHT!#REF!</definedName>
    <definedName name="OCT_RAW___\AD02_fovea_offcenter\_fovea_light_profiles_AD02_LIGHT" localSheetId="0">BRIGHT!#REF!</definedName>
    <definedName name="OCT_RAW___\AD02_fovea_offcenter\_light_profiles_AD02_LIGHT" localSheetId="0">BRIGHT!$K$2:$P$96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083893-9772-49BF-9D0D-A171EB950D03}" name="[[[OCT RAW]]]\AD02_fovea_offcenter\_dark_profiles_AD02_DARK" type="6" refreshedVersion="6" background="1" saveData="1">
    <textPr codePage="437" sourceFile="E:\[Documents]\[[[OCT RAW]]]\AD02_fovea_offcenter\_dark_profiles_AD02_DARK.txt" space="1" consecutive="1">
      <textFields count="6">
        <textField/>
        <textField/>
        <textField/>
        <textField/>
        <textField/>
        <textField/>
      </textFields>
    </textPr>
  </connection>
  <connection id="2" xr16:uid="{CF8D6EB4-38EF-4905-B4FC-09A0B7206FCB}" name="[[[OCT RAW]]]\AD02_fovea_offcenter\_light_profiles_AD02_LIGHT" type="6" refreshedVersion="6" background="1" saveData="1">
    <textPr codePage="437" sourceFile="E:\[Documents]\[[[OCT RAW]]]\AD02_fovea_offcenter\_light_profiles_AD02_LIGHT.txt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<sst xmlns="http://schemas.openxmlformats.org/spreadsheetml/2006/main" count="12" uniqueCount="8">
  <si>
    <t>angle</t>
  </si>
  <si>
    <t>whole</t>
  </si>
  <si>
    <t>RPEtoOLM</t>
  </si>
  <si>
    <t>RNFL</t>
  </si>
  <si>
    <t>DARK 500 microns to 2750 microns</t>
  </si>
  <si>
    <t>LIGHT 500 microns to 2750 microns</t>
  </si>
  <si>
    <t>AD727_DARK</t>
  </si>
  <si>
    <t>AD727_LIGHT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</si>
</sst>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BRIGHT!$H$7:$H$96</c:f>
              <c:numCache>
                <c:formatCode>General</c:formatCode>
                <c:ptCount val="90"/>
                <c:pt idx="0">
                  <c:v>541.38980000000015</c:v>
                </c:pt>
                <c:pt idx="1">
                  <c:v>810.9122000000001</c:v>
                </c:pt>
                <c:pt idx="2">
                  <c:v>1433.3021999999999</c:v>
                </c:pt>
                <c:pt idx="3">
                  <c:v>2113.9892</c:v>
                </c:pt>
                <c:pt idx="4">
                  <c:v>2790.8417999999997</c:v>
                </c:pt>
                <c:pt idx="5">
                  <c:v>3250.0201999999999</c:v>
                </c:pt>
                <c:pt idx="6">
                  <c:v>3462.0565999999999</c:v>
                </c:pt>
                <c:pt idx="7">
                  <c:v>3536.8737999999998</c:v>
                </c:pt>
                <c:pt idx="8">
                  <c:v>3538.2067999999999</c:v>
                </c:pt>
                <c:pt idx="9">
                  <c:v>3449.4504000000002</c:v>
                </c:pt>
                <c:pt idx="10">
                  <c:v>3244.3705999999997</c:v>
                </c:pt>
                <c:pt idx="11">
                  <c:v>2884.2882</c:v>
                </c:pt>
                <c:pt idx="12">
                  <c:v>2597.0047999999997</c:v>
                </c:pt>
                <c:pt idx="13">
                  <c:v>2458.2336</c:v>
                </c:pt>
                <c:pt idx="14">
                  <c:v>2404.8452000000002</c:v>
                </c:pt>
                <c:pt idx="15">
                  <c:v>2415.2539999999999</c:v>
                </c:pt>
                <c:pt idx="16">
                  <c:v>2449.5021999999999</c:v>
                </c:pt>
                <c:pt idx="17">
                  <c:v>2484.7772</c:v>
                </c:pt>
                <c:pt idx="18">
                  <c:v>2494.2121999999999</c:v>
                </c:pt>
                <c:pt idx="19">
                  <c:v>2462.6171999999997</c:v>
                </c:pt>
                <c:pt idx="20">
                  <c:v>2420.3620000000001</c:v>
                </c:pt>
                <c:pt idx="21">
                  <c:v>2396.5644000000002</c:v>
                </c:pt>
                <c:pt idx="22">
                  <c:v>2396.4957999999997</c:v>
                </c:pt>
                <c:pt idx="23">
                  <c:v>2422.9738000000002</c:v>
                </c:pt>
                <c:pt idx="24">
                  <c:v>2457.4821999999999</c:v>
                </c:pt>
                <c:pt idx="25">
                  <c:v>2479.172</c:v>
                </c:pt>
                <c:pt idx="26">
                  <c:v>2484.3712</c:v>
                </c:pt>
                <c:pt idx="27">
                  <c:v>2498.2241999999997</c:v>
                </c:pt>
                <c:pt idx="28">
                  <c:v>2513.0800000000004</c:v>
                </c:pt>
                <c:pt idx="29">
                  <c:v>2509.1233999999995</c:v>
                </c:pt>
                <c:pt idx="30">
                  <c:v>2494.23</c:v>
                </c:pt>
                <c:pt idx="31">
                  <c:v>2458.3674000000001</c:v>
                </c:pt>
                <c:pt idx="32">
                  <c:v>2349.0208000000002</c:v>
                </c:pt>
                <c:pt idx="33">
                  <c:v>2193.3488000000002</c:v>
                </c:pt>
                <c:pt idx="34">
                  <c:v>2041.1313999999998</c:v>
                </c:pt>
                <c:pt idx="35">
                  <c:v>1946.6911999999998</c:v>
                </c:pt>
                <c:pt idx="36">
                  <c:v>1903.8628000000001</c:v>
                </c:pt>
                <c:pt idx="37">
                  <c:v>1895.4824000000001</c:v>
                </c:pt>
                <c:pt idx="38">
                  <c:v>1904.6053999999999</c:v>
                </c:pt>
                <c:pt idx="39">
                  <c:v>1932.3703999999998</c:v>
                </c:pt>
                <c:pt idx="40">
                  <c:v>1989.6378</c:v>
                </c:pt>
                <c:pt idx="41">
                  <c:v>2046.6991999999998</c:v>
                </c:pt>
                <c:pt idx="42">
                  <c:v>2099.2894000000001</c:v>
                </c:pt>
                <c:pt idx="43">
                  <c:v>2182.2625999999996</c:v>
                </c:pt>
                <c:pt idx="44">
                  <c:v>2273.1242000000002</c:v>
                </c:pt>
                <c:pt idx="45">
                  <c:v>2316.2765999999997</c:v>
                </c:pt>
                <c:pt idx="46">
                  <c:v>2320.598</c:v>
                </c:pt>
                <c:pt idx="47">
                  <c:v>2284.4612000000002</c:v>
                </c:pt>
                <c:pt idx="48">
                  <c:v>2189.1336000000001</c:v>
                </c:pt>
                <c:pt idx="49">
                  <c:v>2067.3433999999997</c:v>
                </c:pt>
                <c:pt idx="50">
                  <c:v>1954.6112000000001</c:v>
                </c:pt>
                <c:pt idx="51">
                  <c:v>1852.5028000000002</c:v>
                </c:pt>
                <c:pt idx="52">
                  <c:v>1756.6227999999999</c:v>
                </c:pt>
                <c:pt idx="53">
                  <c:v>1671.5906</c:v>
                </c:pt>
                <c:pt idx="54">
                  <c:v>1602.4353999999998</c:v>
                </c:pt>
                <c:pt idx="55">
                  <c:v>1554.1969999999999</c:v>
                </c:pt>
                <c:pt idx="56">
                  <c:v>1521.3871999999999</c:v>
                </c:pt>
                <c:pt idx="57">
                  <c:v>1500.0315999999998</c:v>
                </c:pt>
                <c:pt idx="58">
                  <c:v>1490.4087999999999</c:v>
                </c:pt>
                <c:pt idx="59">
                  <c:v>1479.9245999999998</c:v>
                </c:pt>
                <c:pt idx="60">
                  <c:v>1463.2447999999999</c:v>
                </c:pt>
                <c:pt idx="61">
                  <c:v>1452.6313999999998</c:v>
                </c:pt>
                <c:pt idx="62">
                  <c:v>1471.7667999999999</c:v>
                </c:pt>
                <c:pt idx="63">
                  <c:v>1557.6387999999999</c:v>
                </c:pt>
                <c:pt idx="64">
                  <c:v>1669.8872000000003</c:v>
                </c:pt>
                <c:pt idx="65">
                  <c:v>1708.0920000000001</c:v>
                </c:pt>
                <c:pt idx="66">
                  <c:v>1667.9887999999999</c:v>
                </c:pt>
                <c:pt idx="67">
                  <c:v>1647.1982</c:v>
                </c:pt>
                <c:pt idx="68">
                  <c:v>1822.5534</c:v>
                </c:pt>
                <c:pt idx="69">
                  <c:v>2304.8966</c:v>
                </c:pt>
                <c:pt idx="70">
                  <c:v>2935.3434000000002</c:v>
                </c:pt>
                <c:pt idx="71">
                  <c:v>3372.5335999999998</c:v>
                </c:pt>
                <c:pt idx="72">
                  <c:v>3415.1243999999997</c:v>
                </c:pt>
                <c:pt idx="73">
                  <c:v>3114.5090000000005</c:v>
                </c:pt>
                <c:pt idx="74">
                  <c:v>2739.1570000000002</c:v>
                </c:pt>
                <c:pt idx="75">
                  <c:v>2588.8524000000002</c:v>
                </c:pt>
                <c:pt idx="76">
                  <c:v>2647.1639999999998</c:v>
                </c:pt>
                <c:pt idx="77">
                  <c:v>2756.3847999999998</c:v>
                </c:pt>
                <c:pt idx="78">
                  <c:v>2904.4371999999998</c:v>
                </c:pt>
                <c:pt idx="79">
                  <c:v>3181.8662000000004</c:v>
                </c:pt>
                <c:pt idx="80">
                  <c:v>3562.9996000000001</c:v>
                </c:pt>
                <c:pt idx="81">
                  <c:v>3904.4402</c:v>
                </c:pt>
                <c:pt idx="82">
                  <c:v>4108.1508000000003</c:v>
                </c:pt>
                <c:pt idx="83">
                  <c:v>4146.8292000000001</c:v>
                </c:pt>
                <c:pt idx="84">
                  <c:v>4022.6149999999993</c:v>
                </c:pt>
                <c:pt idx="85">
                  <c:v>3703.5677999999998</c:v>
                </c:pt>
                <c:pt idx="86">
                  <c:v>3246.8310000000001</c:v>
                </c:pt>
                <c:pt idx="87">
                  <c:v>2869.2060000000001</c:v>
                </c:pt>
                <c:pt idx="88">
                  <c:v>2632.4693999999995</c:v>
                </c:pt>
                <c:pt idx="89">
                  <c:v>2452.1817999999998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528.4896</c:v>
                </c:pt>
                <c:pt idx="1">
                  <c:v>662.40560000000005</c:v>
                </c:pt>
                <c:pt idx="2">
                  <c:v>1248.9192</c:v>
                </c:pt>
                <c:pt idx="3">
                  <c:v>1940.6111999999998</c:v>
                </c:pt>
                <c:pt idx="4">
                  <c:v>2602.3923999999997</c:v>
                </c:pt>
                <c:pt idx="5">
                  <c:v>3033.6263999999996</c:v>
                </c:pt>
                <c:pt idx="6">
                  <c:v>3230.6193999999996</c:v>
                </c:pt>
                <c:pt idx="7">
                  <c:v>3303.5029999999997</c:v>
                </c:pt>
                <c:pt idx="8">
                  <c:v>3304.1109999999994</c:v>
                </c:pt>
                <c:pt idx="9">
                  <c:v>3218.7113999999997</c:v>
                </c:pt>
                <c:pt idx="10">
                  <c:v>3022.2637999999997</c:v>
                </c:pt>
                <c:pt idx="11">
                  <c:v>2679.7822000000001</c:v>
                </c:pt>
                <c:pt idx="12">
                  <c:v>2397.8267999999998</c:v>
                </c:pt>
                <c:pt idx="13">
                  <c:v>2262.1977999999999</c:v>
                </c:pt>
                <c:pt idx="14">
                  <c:v>2224.1385999999998</c:v>
                </c:pt>
                <c:pt idx="15">
                  <c:v>2224.9658000000004</c:v>
                </c:pt>
                <c:pt idx="16">
                  <c:v>2252.8328000000001</c:v>
                </c:pt>
                <c:pt idx="17">
                  <c:v>2284.6465999999996</c:v>
                </c:pt>
                <c:pt idx="18">
                  <c:v>2296.8607999999999</c:v>
                </c:pt>
                <c:pt idx="19">
                  <c:v>2273.3365999999996</c:v>
                </c:pt>
                <c:pt idx="20">
                  <c:v>2231.6505999999999</c:v>
                </c:pt>
                <c:pt idx="21">
                  <c:v>2215.0636</c:v>
                </c:pt>
                <c:pt idx="22">
                  <c:v>2224.9232000000002</c:v>
                </c:pt>
                <c:pt idx="23">
                  <c:v>2245.672</c:v>
                </c:pt>
                <c:pt idx="24">
                  <c:v>2274.4355999999998</c:v>
                </c:pt>
                <c:pt idx="25">
                  <c:v>2295.2179999999998</c:v>
                </c:pt>
                <c:pt idx="26">
                  <c:v>2307.558</c:v>
                </c:pt>
                <c:pt idx="27">
                  <c:v>2328.9802</c:v>
                </c:pt>
                <c:pt idx="28">
                  <c:v>2349.3172000000004</c:v>
                </c:pt>
                <c:pt idx="29">
                  <c:v>2354.4859999999999</c:v>
                </c:pt>
                <c:pt idx="30">
                  <c:v>2346.54</c:v>
                </c:pt>
                <c:pt idx="31">
                  <c:v>2301.1734000000001</c:v>
                </c:pt>
                <c:pt idx="32">
                  <c:v>2198.7248</c:v>
                </c:pt>
                <c:pt idx="33">
                  <c:v>2052.3012000000003</c:v>
                </c:pt>
                <c:pt idx="34">
                  <c:v>1903.4461999999999</c:v>
                </c:pt>
                <c:pt idx="35">
                  <c:v>1816.2437999999997</c:v>
                </c:pt>
                <c:pt idx="36">
                  <c:v>1776.7084000000002</c:v>
                </c:pt>
                <c:pt idx="37">
                  <c:v>1764.6786</c:v>
                </c:pt>
                <c:pt idx="38">
                  <c:v>1772.5192</c:v>
                </c:pt>
                <c:pt idx="39">
                  <c:v>1805.7066</c:v>
                </c:pt>
                <c:pt idx="40">
                  <c:v>1860.4344000000001</c:v>
                </c:pt>
                <c:pt idx="41">
                  <c:v>1919.2220000000002</c:v>
                </c:pt>
                <c:pt idx="42">
                  <c:v>1968.6826000000001</c:v>
                </c:pt>
                <c:pt idx="43">
                  <c:v>2040.0043999999998</c:v>
                </c:pt>
                <c:pt idx="44">
                  <c:v>2108.4147999999996</c:v>
                </c:pt>
                <c:pt idx="45">
                  <c:v>2144.7930000000006</c:v>
                </c:pt>
                <c:pt idx="46">
                  <c:v>2163.9629999999997</c:v>
                </c:pt>
                <c:pt idx="47">
                  <c:v>2134.1831999999999</c:v>
                </c:pt>
                <c:pt idx="48">
                  <c:v>2044.8691999999999</c:v>
                </c:pt>
                <c:pt idx="49">
                  <c:v>1922.2915999999998</c:v>
                </c:pt>
                <c:pt idx="50">
                  <c:v>1817.6799999999998</c:v>
                </c:pt>
                <c:pt idx="51">
                  <c:v>1730.3449999999998</c:v>
                </c:pt>
                <c:pt idx="52">
                  <c:v>1649.3380000000002</c:v>
                </c:pt>
                <c:pt idx="53">
                  <c:v>1571.3682000000001</c:v>
                </c:pt>
                <c:pt idx="54">
                  <c:v>1508.1948</c:v>
                </c:pt>
                <c:pt idx="55">
                  <c:v>1464.7962</c:v>
                </c:pt>
                <c:pt idx="56">
                  <c:v>1433.6466</c:v>
                </c:pt>
                <c:pt idx="57">
                  <c:v>1408.5340000000001</c:v>
                </c:pt>
                <c:pt idx="58">
                  <c:v>1387.3134000000002</c:v>
                </c:pt>
                <c:pt idx="59">
                  <c:v>1378.4253999999999</c:v>
                </c:pt>
                <c:pt idx="60">
                  <c:v>1370.6304</c:v>
                </c:pt>
                <c:pt idx="61">
                  <c:v>1364.8780000000002</c:v>
                </c:pt>
                <c:pt idx="62">
                  <c:v>1392.2872000000002</c:v>
                </c:pt>
                <c:pt idx="63">
                  <c:v>1477.6110000000001</c:v>
                </c:pt>
                <c:pt idx="64">
                  <c:v>1582.248</c:v>
                </c:pt>
                <c:pt idx="65">
                  <c:v>1615.0839999999998</c:v>
                </c:pt>
                <c:pt idx="66">
                  <c:v>1582.1576</c:v>
                </c:pt>
                <c:pt idx="67">
                  <c:v>1584.1302000000001</c:v>
                </c:pt>
                <c:pt idx="68">
                  <c:v>1809.3988000000002</c:v>
                </c:pt>
                <c:pt idx="69">
                  <c:v>2381.5613999999996</c:v>
                </c:pt>
                <c:pt idx="70">
                  <c:v>3062.2676000000001</c:v>
                </c:pt>
                <c:pt idx="71">
                  <c:v>3510.4110000000001</c:v>
                </c:pt>
                <c:pt idx="72">
                  <c:v>3559.9991999999997</c:v>
                </c:pt>
                <c:pt idx="73">
                  <c:v>3238.6136000000001</c:v>
                </c:pt>
                <c:pt idx="74">
                  <c:v>2820.4702000000002</c:v>
                </c:pt>
                <c:pt idx="75">
                  <c:v>2603.0808000000002</c:v>
                </c:pt>
                <c:pt idx="76">
                  <c:v>2636.0816</c:v>
                </c:pt>
                <c:pt idx="77">
                  <c:v>2747.2813999999998</c:v>
                </c:pt>
                <c:pt idx="78">
                  <c:v>2858.1275999999998</c:v>
                </c:pt>
                <c:pt idx="79">
                  <c:v>3063.2102</c:v>
                </c:pt>
                <c:pt idx="80">
                  <c:v>3409.0370000000003</c:v>
                </c:pt>
                <c:pt idx="81">
                  <c:v>3749.7731999999996</c:v>
                </c:pt>
                <c:pt idx="82">
                  <c:v>3948.2707999999998</c:v>
                </c:pt>
                <c:pt idx="83">
                  <c:v>4022.2158000000004</c:v>
                </c:pt>
                <c:pt idx="84">
                  <c:v>3958.54</c:v>
                </c:pt>
                <c:pt idx="85">
                  <c:v>3717.7309999999998</c:v>
                </c:pt>
                <c:pt idx="86">
                  <c:v>3314.9115999999995</c:v>
                </c:pt>
                <c:pt idx="87">
                  <c:v>2939.1525999999999</c:v>
                </c:pt>
                <c:pt idx="88">
                  <c:v>2695.3148000000001</c:v>
                </c:pt>
                <c:pt idx="89">
                  <c:v>2512.8157999999994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7</xdr:row>
      <xdr:rowOff>4762</xdr:rowOff>
    </xdr:from>
    <xdr:to>
      <xdr:col>13</xdr:col>
      <xdr:colOff>342900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AD02_fovea_offcenter\_light_profiles_AD02_LIGHT" connectionId="2" xr16:uid="{599D52F6-C594-452F-90C1-98F24CFBB82B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AD02_fovea_offcenter\_dark_profiles_AD02_DARK" connectionId="1" xr16:uid="{8BCA3477-5C6D-48A7-A28E-7BEB133C4E93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D5" sqref="D5"/>
    </sheetView>
  </sheetViews>
  <sheetFormatPr defaultRowHeight="15" x14ac:dyDescent="0.25"/>
  <cols>
    <col min="1" max="1" width="11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1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4" t="s">
        <v>4</v>
      </c>
      <c r="B1" s="4"/>
      <c r="C1" s="4"/>
      <c r="D1" s="4"/>
      <c r="E1" s="4"/>
      <c r="F1" s="4"/>
      <c r="K1" s="5" t="s">
        <v>5</v>
      </c>
      <c r="L1" s="5"/>
      <c r="M1" s="5"/>
      <c r="N1" s="5"/>
      <c r="O1" s="5"/>
      <c r="P1" s="5"/>
    </row>
    <row r="2" spans="1:19" x14ac:dyDescent="0.25">
      <c r="A2" t="s">
        <v>6</v>
      </c>
      <c r="B2">
        <v>1</v>
      </c>
      <c r="C2">
        <v>2</v>
      </c>
      <c r="D2">
        <v>3</v>
      </c>
      <c r="E2">
        <v>4</v>
      </c>
      <c r="F2">
        <v>5</v>
      </c>
      <c r="K2" t="s">
        <v>7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-3.8559999999999999</v>
      </c>
      <c r="C3">
        <v>-5.157</v>
      </c>
      <c r="D3">
        <v>-5.7329999999999997</v>
      </c>
      <c r="E3">
        <v>-7.02</v>
      </c>
      <c r="F3">
        <v>-1.22</v>
      </c>
      <c r="K3" t="s">
        <v>0</v>
      </c>
      <c r="L3">
        <v>-3.2250000000000001</v>
      </c>
      <c r="M3">
        <v>-4.4160000000000004</v>
      </c>
      <c r="N3">
        <v>-4.1589999999999998</v>
      </c>
      <c r="O3">
        <v>-4.3680000000000003</v>
      </c>
      <c r="P3">
        <v>-3.149</v>
      </c>
    </row>
    <row r="4" spans="1:19" x14ac:dyDescent="0.25">
      <c r="A4" t="s">
        <v>1</v>
      </c>
      <c r="B4">
        <v>328.137</v>
      </c>
      <c r="C4">
        <v>329.76900000000001</v>
      </c>
      <c r="D4">
        <v>329.55099999999999</v>
      </c>
      <c r="E4">
        <v>333.94600000000003</v>
      </c>
      <c r="F4">
        <v>329.59</v>
      </c>
      <c r="H4" s="2">
        <f>AVERAGE(B4:F4)</f>
        <v>330.19859999999994</v>
      </c>
      <c r="I4" s="2">
        <f>STDEV(B4:F4)/SQRT(COUNT(B4:F4))</f>
        <v>0.98151763101842016</v>
      </c>
      <c r="K4" t="s">
        <v>1</v>
      </c>
      <c r="L4">
        <v>327.93</v>
      </c>
      <c r="M4">
        <v>330.28500000000003</v>
      </c>
      <c r="N4">
        <v>328.428</v>
      </c>
      <c r="O4">
        <v>328.27</v>
      </c>
      <c r="P4">
        <v>328.54300000000001</v>
      </c>
      <c r="R4" s="3">
        <f>AVERAGE(L4:P4)</f>
        <v>328.69120000000004</v>
      </c>
      <c r="S4" s="3">
        <f>STDEV(L4:P4)/SQRT(COUNT(L4:P4))</f>
        <v>0.41159876093108472</v>
      </c>
    </row>
    <row r="5" spans="1:19" x14ac:dyDescent="0.25">
      <c r="A5" t="s">
        <v>2</v>
      </c>
      <c r="B5">
        <v>66.715999999999994</v>
      </c>
      <c r="C5">
        <v>66.372</v>
      </c>
      <c r="D5">
        <v>67.180999999999997</v>
      </c>
      <c r="E5">
        <v>66.754999999999995</v>
      </c>
      <c r="F5">
        <v>66.632999999999996</v>
      </c>
      <c r="H5" s="2">
        <f t="shared" ref="H5:H68" si="0">AVERAGE(B5:F5)</f>
        <v>66.731399999999994</v>
      </c>
      <c r="I5" s="2">
        <f t="shared" ref="I5:I68" si="1">STDEV(B5:F5)/SQRT(COUNT(B5:F5))</f>
        <v>0.13072589643984059</v>
      </c>
      <c r="K5" t="s">
        <v>2</v>
      </c>
      <c r="L5">
        <v>66.025999999999996</v>
      </c>
      <c r="M5">
        <v>66.332999999999998</v>
      </c>
      <c r="N5">
        <v>66.278999999999996</v>
      </c>
      <c r="O5">
        <v>66.096000000000004</v>
      </c>
      <c r="P5">
        <v>66.944000000000003</v>
      </c>
      <c r="R5" s="3">
        <f t="shared" ref="R5:R68" si="2">AVERAGE(L5:P5)</f>
        <v>66.335599999999999</v>
      </c>
      <c r="S5" s="3">
        <f t="shared" ref="S5:S68" si="3">STDEV(L5:P5)/SQRT(COUNT(L5:P5))</f>
        <v>0.16226848122787188</v>
      </c>
    </row>
    <row r="6" spans="1:19" x14ac:dyDescent="0.25">
      <c r="A6" t="s">
        <v>3</v>
      </c>
      <c r="B6">
        <v>33.438000000000002</v>
      </c>
      <c r="C6">
        <v>34.536999999999999</v>
      </c>
      <c r="D6">
        <v>33.433</v>
      </c>
      <c r="E6">
        <v>33.768000000000001</v>
      </c>
      <c r="F6">
        <v>34.048999999999999</v>
      </c>
      <c r="H6" s="2">
        <f t="shared" si="0"/>
        <v>33.844999999999999</v>
      </c>
      <c r="I6" s="2">
        <f t="shared" si="1"/>
        <v>0.20758155023989924</v>
      </c>
      <c r="K6" t="s">
        <v>3</v>
      </c>
      <c r="L6">
        <v>33.883000000000003</v>
      </c>
      <c r="M6">
        <v>35.006999999999998</v>
      </c>
      <c r="N6">
        <v>36.058</v>
      </c>
      <c r="O6">
        <v>35.094000000000001</v>
      </c>
      <c r="P6">
        <v>34.094999999999999</v>
      </c>
      <c r="R6" s="3">
        <f t="shared" si="2"/>
        <v>34.827399999999997</v>
      </c>
      <c r="S6" s="3">
        <f t="shared" si="3"/>
        <v>0.39025691537754942</v>
      </c>
    </row>
    <row r="7" spans="1:19" x14ac:dyDescent="0.25">
      <c r="A7">
        <v>-3.75</v>
      </c>
      <c r="B7">
        <v>473.565</v>
      </c>
      <c r="C7">
        <v>464.01100000000002</v>
      </c>
      <c r="D7">
        <v>553.47400000000005</v>
      </c>
      <c r="E7">
        <v>754.93600000000004</v>
      </c>
      <c r="F7">
        <v>460.96300000000002</v>
      </c>
      <c r="H7" s="2">
        <f t="shared" si="0"/>
        <v>541.38980000000015</v>
      </c>
      <c r="I7" s="2">
        <f t="shared" si="1"/>
        <v>56.037558729302155</v>
      </c>
      <c r="K7">
        <v>-3.75</v>
      </c>
      <c r="L7">
        <v>479.95499999999998</v>
      </c>
      <c r="M7">
        <v>504.88499999999999</v>
      </c>
      <c r="N7">
        <v>545.15700000000004</v>
      </c>
      <c r="O7">
        <v>633.69799999999998</v>
      </c>
      <c r="P7">
        <v>478.75299999999999</v>
      </c>
      <c r="R7" s="3">
        <f t="shared" si="2"/>
        <v>528.4896</v>
      </c>
      <c r="S7" s="3">
        <f t="shared" si="3"/>
        <v>28.925009568883517</v>
      </c>
    </row>
    <row r="8" spans="1:19" x14ac:dyDescent="0.25">
      <c r="A8">
        <v>-2.5</v>
      </c>
      <c r="B8">
        <v>706.18799999999999</v>
      </c>
      <c r="C8">
        <v>687.72699999999998</v>
      </c>
      <c r="D8">
        <v>666.55200000000002</v>
      </c>
      <c r="E8">
        <v>1093.7760000000001</v>
      </c>
      <c r="F8">
        <v>900.31799999999998</v>
      </c>
      <c r="H8" s="2">
        <f t="shared" si="0"/>
        <v>810.9122000000001</v>
      </c>
      <c r="I8" s="2">
        <f t="shared" si="1"/>
        <v>82.154411121010142</v>
      </c>
      <c r="K8">
        <v>-2.5</v>
      </c>
      <c r="L8">
        <v>580.14800000000002</v>
      </c>
      <c r="M8">
        <v>534.58600000000001</v>
      </c>
      <c r="N8">
        <v>715.83600000000001</v>
      </c>
      <c r="O8">
        <v>733.91899999999998</v>
      </c>
      <c r="P8">
        <v>747.53899999999999</v>
      </c>
      <c r="R8" s="3">
        <f t="shared" si="2"/>
        <v>662.40560000000005</v>
      </c>
      <c r="S8" s="3">
        <f t="shared" si="3"/>
        <v>43.772612853929473</v>
      </c>
    </row>
    <row r="9" spans="1:19" x14ac:dyDescent="0.25">
      <c r="A9">
        <v>-1.25</v>
      </c>
      <c r="B9">
        <v>1182.6949999999999</v>
      </c>
      <c r="C9">
        <v>1340.771</v>
      </c>
      <c r="D9">
        <v>1243.3009999999999</v>
      </c>
      <c r="E9">
        <v>1784.914</v>
      </c>
      <c r="F9">
        <v>1614.83</v>
      </c>
      <c r="H9" s="2">
        <f t="shared" si="0"/>
        <v>1433.3021999999999</v>
      </c>
      <c r="I9" s="2">
        <f t="shared" si="1"/>
        <v>114.90205562538893</v>
      </c>
      <c r="K9">
        <v>-1.25</v>
      </c>
      <c r="L9">
        <v>1121.3389999999999</v>
      </c>
      <c r="M9">
        <v>1123.5920000000001</v>
      </c>
      <c r="N9">
        <v>1254.529</v>
      </c>
      <c r="O9">
        <v>1371.93</v>
      </c>
      <c r="P9">
        <v>1373.2059999999999</v>
      </c>
      <c r="R9" s="3">
        <f t="shared" si="2"/>
        <v>1248.9192</v>
      </c>
      <c r="S9" s="3">
        <f t="shared" si="3"/>
        <v>55.943699340855161</v>
      </c>
    </row>
    <row r="10" spans="1:19" x14ac:dyDescent="0.25">
      <c r="A10">
        <v>0</v>
      </c>
      <c r="B10">
        <v>1796.8219999999999</v>
      </c>
      <c r="C10">
        <v>2005.0139999999999</v>
      </c>
      <c r="D10">
        <v>1866.827</v>
      </c>
      <c r="E10">
        <v>2495.7660000000001</v>
      </c>
      <c r="F10">
        <v>2405.5169999999998</v>
      </c>
      <c r="H10" s="2">
        <f t="shared" si="0"/>
        <v>2113.9892</v>
      </c>
      <c r="I10" s="2">
        <f t="shared" si="1"/>
        <v>142.1797741014521</v>
      </c>
      <c r="K10">
        <v>0</v>
      </c>
      <c r="L10">
        <v>1772.3879999999999</v>
      </c>
      <c r="M10">
        <v>1846.1030000000001</v>
      </c>
      <c r="N10">
        <v>1901.7349999999999</v>
      </c>
      <c r="O10">
        <v>2081.2260000000001</v>
      </c>
      <c r="P10">
        <v>2101.6039999999998</v>
      </c>
      <c r="R10" s="3">
        <f t="shared" si="2"/>
        <v>1940.6111999999998</v>
      </c>
      <c r="S10" s="3">
        <f t="shared" si="3"/>
        <v>64.974382429846912</v>
      </c>
    </row>
    <row r="11" spans="1:19" x14ac:dyDescent="0.25">
      <c r="A11">
        <v>1.25</v>
      </c>
      <c r="B11">
        <v>2394.0770000000002</v>
      </c>
      <c r="C11">
        <v>2655.549</v>
      </c>
      <c r="D11">
        <v>2453.1179999999999</v>
      </c>
      <c r="E11">
        <v>3133.9870000000001</v>
      </c>
      <c r="F11">
        <v>3317.4780000000001</v>
      </c>
      <c r="H11" s="2">
        <f t="shared" si="0"/>
        <v>2790.8417999999997</v>
      </c>
      <c r="I11" s="2">
        <f t="shared" si="1"/>
        <v>185.05109142758462</v>
      </c>
      <c r="K11">
        <v>1.25</v>
      </c>
      <c r="L11">
        <v>2333.2919999999999</v>
      </c>
      <c r="M11">
        <v>2503.5129999999999</v>
      </c>
      <c r="N11">
        <v>2570.8069999999998</v>
      </c>
      <c r="O11">
        <v>2774.0549999999998</v>
      </c>
      <c r="P11">
        <v>2830.2950000000001</v>
      </c>
      <c r="R11" s="3">
        <f t="shared" si="2"/>
        <v>2602.3923999999997</v>
      </c>
      <c r="S11" s="3">
        <f t="shared" si="3"/>
        <v>90.718642473088195</v>
      </c>
    </row>
    <row r="12" spans="1:19" x14ac:dyDescent="0.25">
      <c r="A12">
        <v>2.5</v>
      </c>
      <c r="B12">
        <v>2806.3580000000002</v>
      </c>
      <c r="C12">
        <v>3118.4810000000002</v>
      </c>
      <c r="D12">
        <v>2858.277</v>
      </c>
      <c r="E12">
        <v>3564.123</v>
      </c>
      <c r="F12">
        <v>3902.8620000000001</v>
      </c>
      <c r="H12" s="2">
        <f t="shared" si="0"/>
        <v>3250.0201999999999</v>
      </c>
      <c r="I12" s="2">
        <f t="shared" si="1"/>
        <v>211.24209196876546</v>
      </c>
      <c r="K12">
        <v>2.5</v>
      </c>
      <c r="L12">
        <v>2712.761</v>
      </c>
      <c r="M12">
        <v>2928.5390000000002</v>
      </c>
      <c r="N12">
        <v>2982.9209999999998</v>
      </c>
      <c r="O12">
        <v>3228.9879999999998</v>
      </c>
      <c r="P12">
        <v>3314.9229999999998</v>
      </c>
      <c r="R12" s="3">
        <f t="shared" si="2"/>
        <v>3033.6263999999996</v>
      </c>
      <c r="S12" s="3">
        <f t="shared" si="3"/>
        <v>108.13485471188274</v>
      </c>
    </row>
    <row r="13" spans="1:19" x14ac:dyDescent="0.25">
      <c r="A13">
        <v>3.75</v>
      </c>
      <c r="B13">
        <v>2995.259</v>
      </c>
      <c r="C13">
        <v>3325.4879999999998</v>
      </c>
      <c r="D13">
        <v>3041.357</v>
      </c>
      <c r="E13">
        <v>3818.529</v>
      </c>
      <c r="F13">
        <v>4129.6499999999996</v>
      </c>
      <c r="H13" s="2">
        <f t="shared" si="0"/>
        <v>3462.0565999999999</v>
      </c>
      <c r="I13" s="2">
        <f t="shared" si="1"/>
        <v>222.06898196249904</v>
      </c>
      <c r="K13">
        <v>3.75</v>
      </c>
      <c r="L13">
        <v>2915.0949999999998</v>
      </c>
      <c r="M13">
        <v>3108.3989999999999</v>
      </c>
      <c r="N13">
        <v>3166.9229999999998</v>
      </c>
      <c r="O13">
        <v>3441.72</v>
      </c>
      <c r="P13">
        <v>3520.96</v>
      </c>
      <c r="R13" s="3">
        <f t="shared" si="2"/>
        <v>3230.6193999999996</v>
      </c>
      <c r="S13" s="3">
        <f t="shared" si="3"/>
        <v>111.22316122849595</v>
      </c>
    </row>
    <row r="14" spans="1:19" x14ac:dyDescent="0.25">
      <c r="A14">
        <v>5</v>
      </c>
      <c r="B14">
        <v>3058.89</v>
      </c>
      <c r="C14">
        <v>3400.52</v>
      </c>
      <c r="D14">
        <v>3120.502</v>
      </c>
      <c r="E14">
        <v>3902.2109999999998</v>
      </c>
      <c r="F14">
        <v>4202.2460000000001</v>
      </c>
      <c r="H14" s="2">
        <f t="shared" si="0"/>
        <v>3536.8737999999998</v>
      </c>
      <c r="I14" s="2">
        <f t="shared" si="1"/>
        <v>223.22833398885575</v>
      </c>
      <c r="K14">
        <v>5</v>
      </c>
      <c r="L14">
        <v>2994.8760000000002</v>
      </c>
      <c r="M14">
        <v>3180.442</v>
      </c>
      <c r="N14">
        <v>3240.8620000000001</v>
      </c>
      <c r="O14">
        <v>3524.6779999999999</v>
      </c>
      <c r="P14">
        <v>3576.6570000000002</v>
      </c>
      <c r="R14" s="3">
        <f t="shared" si="2"/>
        <v>3303.5029999999997</v>
      </c>
      <c r="S14" s="3">
        <f t="shared" si="3"/>
        <v>109.05274367754345</v>
      </c>
    </row>
    <row r="15" spans="1:19" x14ac:dyDescent="0.25">
      <c r="A15">
        <v>6.25</v>
      </c>
      <c r="B15">
        <v>3091.5889999999999</v>
      </c>
      <c r="C15">
        <v>3411.34</v>
      </c>
      <c r="D15">
        <v>3111.9949999999999</v>
      </c>
      <c r="E15">
        <v>3913.232</v>
      </c>
      <c r="F15">
        <v>4162.8779999999997</v>
      </c>
      <c r="H15" s="2">
        <f t="shared" si="0"/>
        <v>3538.2067999999999</v>
      </c>
      <c r="I15" s="2">
        <f t="shared" si="1"/>
        <v>215.41554626149792</v>
      </c>
      <c r="K15">
        <v>6.25</v>
      </c>
      <c r="L15">
        <v>2988.498</v>
      </c>
      <c r="M15">
        <v>3192.0709999999999</v>
      </c>
      <c r="N15">
        <v>3252.72</v>
      </c>
      <c r="O15">
        <v>3518.808</v>
      </c>
      <c r="P15">
        <v>3568.4580000000001</v>
      </c>
      <c r="R15" s="3">
        <f t="shared" si="2"/>
        <v>3304.1109999999994</v>
      </c>
      <c r="S15" s="3">
        <f t="shared" si="3"/>
        <v>107.41966776805819</v>
      </c>
    </row>
    <row r="16" spans="1:19" x14ac:dyDescent="0.25">
      <c r="A16">
        <v>7.5</v>
      </c>
      <c r="B16">
        <v>3001.21</v>
      </c>
      <c r="C16">
        <v>3358.15</v>
      </c>
      <c r="D16">
        <v>3010.1849999999999</v>
      </c>
      <c r="E16">
        <v>3816.6320000000001</v>
      </c>
      <c r="F16">
        <v>4061.0749999999998</v>
      </c>
      <c r="H16" s="2">
        <f t="shared" si="0"/>
        <v>3449.4504000000002</v>
      </c>
      <c r="I16" s="2">
        <f t="shared" si="1"/>
        <v>213.43808113516198</v>
      </c>
      <c r="K16">
        <v>7.5</v>
      </c>
      <c r="L16">
        <v>2903.1239999999998</v>
      </c>
      <c r="M16">
        <v>3111.0970000000002</v>
      </c>
      <c r="N16">
        <v>3173.65</v>
      </c>
      <c r="O16">
        <v>3439.7469999999998</v>
      </c>
      <c r="P16">
        <v>3465.9389999999999</v>
      </c>
      <c r="R16" s="3">
        <f t="shared" si="2"/>
        <v>3218.7113999999997</v>
      </c>
      <c r="S16" s="3">
        <f t="shared" si="3"/>
        <v>105.63735574246449</v>
      </c>
    </row>
    <row r="17" spans="1:19" x14ac:dyDescent="0.25">
      <c r="A17">
        <v>8.75</v>
      </c>
      <c r="B17">
        <v>2807.2080000000001</v>
      </c>
      <c r="C17">
        <v>3175.9059999999999</v>
      </c>
      <c r="D17">
        <v>2853.2660000000001</v>
      </c>
      <c r="E17">
        <v>3593.8960000000002</v>
      </c>
      <c r="F17">
        <v>3791.5770000000002</v>
      </c>
      <c r="H17" s="2">
        <f t="shared" si="0"/>
        <v>3244.3705999999997</v>
      </c>
      <c r="I17" s="2">
        <f t="shared" si="1"/>
        <v>196.26056632436507</v>
      </c>
      <c r="K17">
        <v>8.75</v>
      </c>
      <c r="L17">
        <v>2724.578</v>
      </c>
      <c r="M17">
        <v>2910.922</v>
      </c>
      <c r="N17">
        <v>2982.81</v>
      </c>
      <c r="O17">
        <v>3232.8270000000002</v>
      </c>
      <c r="P17">
        <v>3260.1819999999998</v>
      </c>
      <c r="R17" s="3">
        <f t="shared" si="2"/>
        <v>3022.2637999999997</v>
      </c>
      <c r="S17" s="3">
        <f t="shared" si="3"/>
        <v>100.87426960548464</v>
      </c>
    </row>
    <row r="18" spans="1:19" x14ac:dyDescent="0.25">
      <c r="A18">
        <v>10</v>
      </c>
      <c r="B18">
        <v>2474.8870000000002</v>
      </c>
      <c r="C18">
        <v>2838.3</v>
      </c>
      <c r="D18">
        <v>2541.0720000000001</v>
      </c>
      <c r="E18">
        <v>3257.0810000000001</v>
      </c>
      <c r="F18">
        <v>3310.1010000000001</v>
      </c>
      <c r="H18" s="2">
        <f t="shared" si="0"/>
        <v>2884.2882</v>
      </c>
      <c r="I18" s="2">
        <f t="shared" si="1"/>
        <v>174.32908957182178</v>
      </c>
      <c r="K18">
        <v>10</v>
      </c>
      <c r="L18">
        <v>2402.2190000000001</v>
      </c>
      <c r="M18">
        <v>2592.5520000000001</v>
      </c>
      <c r="N18">
        <v>2646.4949999999999</v>
      </c>
      <c r="O18">
        <v>2866.2510000000002</v>
      </c>
      <c r="P18">
        <v>2891.3939999999998</v>
      </c>
      <c r="R18" s="3">
        <f t="shared" si="2"/>
        <v>2679.7822000000001</v>
      </c>
      <c r="S18" s="3">
        <f t="shared" si="3"/>
        <v>90.914422052499447</v>
      </c>
    </row>
    <row r="19" spans="1:19" x14ac:dyDescent="0.25">
      <c r="A19">
        <v>11.25</v>
      </c>
      <c r="B19">
        <v>2202.069</v>
      </c>
      <c r="C19">
        <v>2581.5889999999999</v>
      </c>
      <c r="D19">
        <v>2298.6819999999998</v>
      </c>
      <c r="E19">
        <v>2989.4569999999999</v>
      </c>
      <c r="F19">
        <v>2913.2269999999999</v>
      </c>
      <c r="H19" s="2">
        <f t="shared" si="0"/>
        <v>2597.0047999999997</v>
      </c>
      <c r="I19" s="2">
        <f t="shared" si="1"/>
        <v>157.9910812465076</v>
      </c>
      <c r="K19">
        <v>11.25</v>
      </c>
      <c r="L19">
        <v>2128.5700000000002</v>
      </c>
      <c r="M19">
        <v>2339.567</v>
      </c>
      <c r="N19">
        <v>2383.855</v>
      </c>
      <c r="O19">
        <v>2584.433</v>
      </c>
      <c r="P19">
        <v>2552.7089999999998</v>
      </c>
      <c r="R19" s="3">
        <f t="shared" si="2"/>
        <v>2397.8267999999998</v>
      </c>
      <c r="S19" s="3">
        <f t="shared" si="3"/>
        <v>82.127647474160568</v>
      </c>
    </row>
    <row r="20" spans="1:19" x14ac:dyDescent="0.25">
      <c r="A20">
        <v>12.5</v>
      </c>
      <c r="B20">
        <v>2074.6419999999998</v>
      </c>
      <c r="C20">
        <v>2448.9699999999998</v>
      </c>
      <c r="D20">
        <v>2187.2339999999999</v>
      </c>
      <c r="E20">
        <v>2857.0709999999999</v>
      </c>
      <c r="F20">
        <v>2723.2510000000002</v>
      </c>
      <c r="H20" s="2">
        <f t="shared" si="0"/>
        <v>2458.2336</v>
      </c>
      <c r="I20" s="2">
        <f t="shared" si="1"/>
        <v>149.99576777649497</v>
      </c>
      <c r="K20">
        <v>12.5</v>
      </c>
      <c r="L20">
        <v>2005.1079999999999</v>
      </c>
      <c r="M20">
        <v>2217.17</v>
      </c>
      <c r="N20">
        <v>2246.665</v>
      </c>
      <c r="O20">
        <v>2444.3150000000001</v>
      </c>
      <c r="P20">
        <v>2397.7310000000002</v>
      </c>
      <c r="R20" s="3">
        <f t="shared" si="2"/>
        <v>2262.1977999999999</v>
      </c>
      <c r="S20" s="3">
        <f t="shared" si="3"/>
        <v>77.427339729193889</v>
      </c>
    </row>
    <row r="21" spans="1:19" x14ac:dyDescent="0.25">
      <c r="A21">
        <v>13.75</v>
      </c>
      <c r="B21">
        <v>2034.1420000000001</v>
      </c>
      <c r="C21">
        <v>2400.9520000000002</v>
      </c>
      <c r="D21">
        <v>2139.4740000000002</v>
      </c>
      <c r="E21">
        <v>2793.855</v>
      </c>
      <c r="F21">
        <v>2655.8029999999999</v>
      </c>
      <c r="H21" s="2">
        <f t="shared" si="0"/>
        <v>2404.8452000000002</v>
      </c>
      <c r="I21" s="2">
        <f t="shared" si="1"/>
        <v>145.28701510506707</v>
      </c>
      <c r="K21">
        <v>13.75</v>
      </c>
      <c r="L21">
        <v>1973.1559999999999</v>
      </c>
      <c r="M21">
        <v>2188.7860000000001</v>
      </c>
      <c r="N21">
        <v>2213.6309999999999</v>
      </c>
      <c r="O21">
        <v>2398.5059999999999</v>
      </c>
      <c r="P21">
        <v>2346.614</v>
      </c>
      <c r="R21" s="3">
        <f t="shared" si="2"/>
        <v>2224.1385999999998</v>
      </c>
      <c r="S21" s="3">
        <f t="shared" si="3"/>
        <v>74.079921461621424</v>
      </c>
    </row>
    <row r="22" spans="1:19" x14ac:dyDescent="0.25">
      <c r="A22">
        <v>15</v>
      </c>
      <c r="B22">
        <v>2052.2289999999998</v>
      </c>
      <c r="C22">
        <v>2411.3829999999998</v>
      </c>
      <c r="D22">
        <v>2140.364</v>
      </c>
      <c r="E22">
        <v>2786.01</v>
      </c>
      <c r="F22">
        <v>2686.2840000000001</v>
      </c>
      <c r="H22" s="2">
        <f t="shared" si="0"/>
        <v>2415.2539999999999</v>
      </c>
      <c r="I22" s="2">
        <f t="shared" si="1"/>
        <v>144.61741247201354</v>
      </c>
      <c r="K22">
        <v>15</v>
      </c>
      <c r="L22">
        <v>1965.866</v>
      </c>
      <c r="M22">
        <v>2192.1080000000002</v>
      </c>
      <c r="N22">
        <v>2217.931</v>
      </c>
      <c r="O22">
        <v>2405.482</v>
      </c>
      <c r="P22">
        <v>2343.442</v>
      </c>
      <c r="R22" s="3">
        <f t="shared" si="2"/>
        <v>2224.9658000000004</v>
      </c>
      <c r="S22" s="3">
        <f t="shared" si="3"/>
        <v>75.790678259532683</v>
      </c>
    </row>
    <row r="23" spans="1:19" x14ac:dyDescent="0.25">
      <c r="A23">
        <v>16.25</v>
      </c>
      <c r="B23">
        <v>2075.46</v>
      </c>
      <c r="C23">
        <v>2456.056</v>
      </c>
      <c r="D23">
        <v>2173.2510000000002</v>
      </c>
      <c r="E23">
        <v>2814.8539999999998</v>
      </c>
      <c r="F23">
        <v>2727.89</v>
      </c>
      <c r="H23" s="2">
        <f t="shared" si="0"/>
        <v>2449.5021999999999</v>
      </c>
      <c r="I23" s="2">
        <f t="shared" si="1"/>
        <v>146.15863815197659</v>
      </c>
      <c r="K23">
        <v>16.25</v>
      </c>
      <c r="L23">
        <v>1985.3579999999999</v>
      </c>
      <c r="M23">
        <v>2222.9070000000002</v>
      </c>
      <c r="N23">
        <v>2236.1729999999998</v>
      </c>
      <c r="O23">
        <v>2446.098</v>
      </c>
      <c r="P23">
        <v>2373.6280000000002</v>
      </c>
      <c r="R23" s="3">
        <f t="shared" si="2"/>
        <v>2252.8328000000001</v>
      </c>
      <c r="S23" s="3">
        <f t="shared" si="3"/>
        <v>78.948967362087785</v>
      </c>
    </row>
    <row r="24" spans="1:19" x14ac:dyDescent="0.25">
      <c r="A24">
        <v>17.5</v>
      </c>
      <c r="B24">
        <v>2091.9659999999999</v>
      </c>
      <c r="C24">
        <v>2505.779</v>
      </c>
      <c r="D24">
        <v>2207.3890000000001</v>
      </c>
      <c r="E24">
        <v>2846.2139999999999</v>
      </c>
      <c r="F24">
        <v>2772.538</v>
      </c>
      <c r="H24" s="2">
        <f t="shared" si="0"/>
        <v>2484.7772</v>
      </c>
      <c r="I24" s="2">
        <f t="shared" si="1"/>
        <v>149.18591863155123</v>
      </c>
      <c r="K24">
        <v>17.5</v>
      </c>
      <c r="L24">
        <v>2016.547</v>
      </c>
      <c r="M24">
        <v>2250.6840000000002</v>
      </c>
      <c r="N24">
        <v>2264.64</v>
      </c>
      <c r="O24">
        <v>2479.1570000000002</v>
      </c>
      <c r="P24">
        <v>2412.2049999999999</v>
      </c>
      <c r="R24" s="3">
        <f t="shared" si="2"/>
        <v>2284.6465999999996</v>
      </c>
      <c r="S24" s="3">
        <f t="shared" si="3"/>
        <v>79.855043322635552</v>
      </c>
    </row>
    <row r="25" spans="1:19" x14ac:dyDescent="0.25">
      <c r="A25">
        <v>18.75</v>
      </c>
      <c r="B25">
        <v>2094.0050000000001</v>
      </c>
      <c r="C25">
        <v>2509.2240000000002</v>
      </c>
      <c r="D25">
        <v>2215.3049999999998</v>
      </c>
      <c r="E25">
        <v>2851.5259999999998</v>
      </c>
      <c r="F25">
        <v>2801.0010000000002</v>
      </c>
      <c r="H25" s="2">
        <f t="shared" si="0"/>
        <v>2494.2121999999999</v>
      </c>
      <c r="I25" s="2">
        <f t="shared" si="1"/>
        <v>151.65304196731546</v>
      </c>
      <c r="K25">
        <v>18.75</v>
      </c>
      <c r="L25">
        <v>2037.058</v>
      </c>
      <c r="M25">
        <v>2249.9839999999999</v>
      </c>
      <c r="N25">
        <v>2277.0309999999999</v>
      </c>
      <c r="O25">
        <v>2484.1990000000001</v>
      </c>
      <c r="P25">
        <v>2436.0320000000002</v>
      </c>
      <c r="R25" s="3">
        <f t="shared" si="2"/>
        <v>2296.8607999999999</v>
      </c>
      <c r="S25" s="3">
        <f t="shared" si="3"/>
        <v>78.91526288456501</v>
      </c>
    </row>
    <row r="26" spans="1:19" x14ac:dyDescent="0.25">
      <c r="A26">
        <v>20</v>
      </c>
      <c r="B26">
        <v>2071.355</v>
      </c>
      <c r="C26">
        <v>2464.6640000000002</v>
      </c>
      <c r="D26">
        <v>2190.9659999999999</v>
      </c>
      <c r="E26">
        <v>2817.6930000000002</v>
      </c>
      <c r="F26">
        <v>2768.4079999999999</v>
      </c>
      <c r="H26" s="2">
        <f t="shared" si="0"/>
        <v>2462.6171999999997</v>
      </c>
      <c r="I26" s="2">
        <f t="shared" si="1"/>
        <v>149.4107610098427</v>
      </c>
      <c r="K26">
        <v>20</v>
      </c>
      <c r="L26">
        <v>2019.5909999999999</v>
      </c>
      <c r="M26">
        <v>2216.3339999999998</v>
      </c>
      <c r="N26">
        <v>2256.4769999999999</v>
      </c>
      <c r="O26">
        <v>2448.096</v>
      </c>
      <c r="P26">
        <v>2426.1849999999999</v>
      </c>
      <c r="R26" s="3">
        <f t="shared" si="2"/>
        <v>2273.3365999999996</v>
      </c>
      <c r="S26" s="3">
        <f t="shared" si="3"/>
        <v>78.046093210743109</v>
      </c>
    </row>
    <row r="27" spans="1:19" x14ac:dyDescent="0.25">
      <c r="A27">
        <v>21.25</v>
      </c>
      <c r="B27">
        <v>2054.1419999999998</v>
      </c>
      <c r="C27">
        <v>2407.5819999999999</v>
      </c>
      <c r="D27">
        <v>2156.085</v>
      </c>
      <c r="E27">
        <v>2764.4409999999998</v>
      </c>
      <c r="F27">
        <v>2719.56</v>
      </c>
      <c r="H27" s="2">
        <f t="shared" si="0"/>
        <v>2420.3620000000001</v>
      </c>
      <c r="I27" s="2">
        <f t="shared" si="1"/>
        <v>143.53267066664651</v>
      </c>
      <c r="K27">
        <v>21.25</v>
      </c>
      <c r="L27">
        <v>1994.509</v>
      </c>
      <c r="M27">
        <v>2174.2220000000002</v>
      </c>
      <c r="N27">
        <v>2216.5770000000002</v>
      </c>
      <c r="O27">
        <v>2394.761</v>
      </c>
      <c r="P27">
        <v>2378.1840000000002</v>
      </c>
      <c r="R27" s="3">
        <f t="shared" si="2"/>
        <v>2231.6505999999999</v>
      </c>
      <c r="S27" s="3">
        <f t="shared" si="3"/>
        <v>73.429706478100542</v>
      </c>
    </row>
    <row r="28" spans="1:19" x14ac:dyDescent="0.25">
      <c r="A28">
        <v>22.5</v>
      </c>
      <c r="B28">
        <v>2056.46</v>
      </c>
      <c r="C28">
        <v>2374.357</v>
      </c>
      <c r="D28">
        <v>2142.9209999999998</v>
      </c>
      <c r="E28">
        <v>2727.2310000000002</v>
      </c>
      <c r="F28">
        <v>2681.8530000000001</v>
      </c>
      <c r="H28" s="2">
        <f t="shared" si="0"/>
        <v>2396.5644000000002</v>
      </c>
      <c r="I28" s="2">
        <f t="shared" si="1"/>
        <v>136.24043664110874</v>
      </c>
      <c r="K28">
        <v>22.5</v>
      </c>
      <c r="L28">
        <v>1994.038</v>
      </c>
      <c r="M28">
        <v>2162.806</v>
      </c>
      <c r="N28">
        <v>2197.4029999999998</v>
      </c>
      <c r="O28">
        <v>2369.808</v>
      </c>
      <c r="P28">
        <v>2351.2629999999999</v>
      </c>
      <c r="R28" s="3">
        <f t="shared" si="2"/>
        <v>2215.0636</v>
      </c>
      <c r="S28" s="3">
        <f t="shared" si="3"/>
        <v>68.699044861337043</v>
      </c>
    </row>
    <row r="29" spans="1:19" x14ac:dyDescent="0.25">
      <c r="A29">
        <v>23.75</v>
      </c>
      <c r="B29">
        <v>2072.8209999999999</v>
      </c>
      <c r="C29">
        <v>2373.357</v>
      </c>
      <c r="D29">
        <v>2150.64</v>
      </c>
      <c r="E29">
        <v>2711.5360000000001</v>
      </c>
      <c r="F29">
        <v>2674.125</v>
      </c>
      <c r="H29" s="2">
        <f t="shared" si="0"/>
        <v>2396.4957999999997</v>
      </c>
      <c r="I29" s="2">
        <f t="shared" si="1"/>
        <v>130.78114445951334</v>
      </c>
      <c r="K29">
        <v>23.75</v>
      </c>
      <c r="L29">
        <v>2006.4549999999999</v>
      </c>
      <c r="M29">
        <v>2187.1880000000001</v>
      </c>
      <c r="N29">
        <v>2201.85</v>
      </c>
      <c r="O29">
        <v>2384.6509999999998</v>
      </c>
      <c r="P29">
        <v>2344.4720000000002</v>
      </c>
      <c r="R29" s="3">
        <f t="shared" si="2"/>
        <v>2224.9232000000002</v>
      </c>
      <c r="S29" s="3">
        <f t="shared" si="3"/>
        <v>66.891538314946843</v>
      </c>
    </row>
    <row r="30" spans="1:19" x14ac:dyDescent="0.25">
      <c r="A30">
        <v>25</v>
      </c>
      <c r="B30">
        <v>2111.2289999999998</v>
      </c>
      <c r="C30">
        <v>2396.8609999999999</v>
      </c>
      <c r="D30">
        <v>2170.2020000000002</v>
      </c>
      <c r="E30">
        <v>2745.1019999999999</v>
      </c>
      <c r="F30">
        <v>2691.4749999999999</v>
      </c>
      <c r="H30" s="2">
        <f t="shared" si="0"/>
        <v>2422.9738000000002</v>
      </c>
      <c r="I30" s="2">
        <f t="shared" si="1"/>
        <v>129.92685503058971</v>
      </c>
      <c r="K30">
        <v>25</v>
      </c>
      <c r="L30">
        <v>2021.143</v>
      </c>
      <c r="M30">
        <v>2219.654</v>
      </c>
      <c r="N30">
        <v>2224.6660000000002</v>
      </c>
      <c r="O30">
        <v>2405.8530000000001</v>
      </c>
      <c r="P30">
        <v>2357.0439999999999</v>
      </c>
      <c r="R30" s="3">
        <f t="shared" si="2"/>
        <v>2245.672</v>
      </c>
      <c r="S30" s="3">
        <f t="shared" si="3"/>
        <v>66.93023806397224</v>
      </c>
    </row>
    <row r="31" spans="1:19" x14ac:dyDescent="0.25">
      <c r="A31">
        <v>26.25</v>
      </c>
      <c r="B31">
        <v>2146.1309999999999</v>
      </c>
      <c r="C31">
        <v>2426.9870000000001</v>
      </c>
      <c r="D31">
        <v>2191.8890000000001</v>
      </c>
      <c r="E31">
        <v>2793.4879999999998</v>
      </c>
      <c r="F31">
        <v>2728.9160000000002</v>
      </c>
      <c r="H31" s="2">
        <f t="shared" si="0"/>
        <v>2457.4821999999999</v>
      </c>
      <c r="I31" s="2">
        <f t="shared" si="1"/>
        <v>133.22640133749803</v>
      </c>
      <c r="K31">
        <v>26.25</v>
      </c>
      <c r="L31">
        <v>2043.89</v>
      </c>
      <c r="M31">
        <v>2251.4259999999999</v>
      </c>
      <c r="N31">
        <v>2263.7570000000001</v>
      </c>
      <c r="O31">
        <v>2431.085</v>
      </c>
      <c r="P31">
        <v>2382.02</v>
      </c>
      <c r="R31" s="3">
        <f t="shared" si="2"/>
        <v>2274.4355999999998</v>
      </c>
      <c r="S31" s="3">
        <f t="shared" si="3"/>
        <v>67.04781335479926</v>
      </c>
    </row>
    <row r="32" spans="1:19" x14ac:dyDescent="0.25">
      <c r="A32">
        <v>27.5</v>
      </c>
      <c r="B32">
        <v>2168.2159999999999</v>
      </c>
      <c r="C32">
        <v>2438.8470000000002</v>
      </c>
      <c r="D32">
        <v>2204.0100000000002</v>
      </c>
      <c r="E32">
        <v>2821.1109999999999</v>
      </c>
      <c r="F32">
        <v>2763.6759999999999</v>
      </c>
      <c r="H32" s="2">
        <f t="shared" si="0"/>
        <v>2479.172</v>
      </c>
      <c r="I32" s="2">
        <f t="shared" si="1"/>
        <v>136.36324129727993</v>
      </c>
      <c r="K32">
        <v>27.5</v>
      </c>
      <c r="L32">
        <v>2069.38</v>
      </c>
      <c r="M32">
        <v>2270.915</v>
      </c>
      <c r="N32">
        <v>2285.1880000000001</v>
      </c>
      <c r="O32">
        <v>2446.2689999999998</v>
      </c>
      <c r="P32">
        <v>2404.3380000000002</v>
      </c>
      <c r="R32" s="3">
        <f t="shared" si="2"/>
        <v>2295.2179999999998</v>
      </c>
      <c r="S32" s="3">
        <f t="shared" si="3"/>
        <v>65.733407774890196</v>
      </c>
    </row>
    <row r="33" spans="1:19" x14ac:dyDescent="0.25">
      <c r="A33">
        <v>28.75</v>
      </c>
      <c r="B33">
        <v>2185.9490000000001</v>
      </c>
      <c r="C33">
        <v>2434.62</v>
      </c>
      <c r="D33">
        <v>2204.3270000000002</v>
      </c>
      <c r="E33">
        <v>2824.8310000000001</v>
      </c>
      <c r="F33">
        <v>2772.1289999999999</v>
      </c>
      <c r="H33" s="2">
        <f t="shared" si="0"/>
        <v>2484.3712</v>
      </c>
      <c r="I33" s="2">
        <f t="shared" si="1"/>
        <v>135.77061025582799</v>
      </c>
      <c r="K33">
        <v>28.75</v>
      </c>
      <c r="L33">
        <v>2083.2040000000002</v>
      </c>
      <c r="M33">
        <v>2280.672</v>
      </c>
      <c r="N33">
        <v>2300.576</v>
      </c>
      <c r="O33">
        <v>2462.7579999999998</v>
      </c>
      <c r="P33">
        <v>2410.58</v>
      </c>
      <c r="R33" s="3">
        <f t="shared" si="2"/>
        <v>2307.558</v>
      </c>
      <c r="S33" s="3">
        <f t="shared" si="3"/>
        <v>65.50072332425033</v>
      </c>
    </row>
    <row r="34" spans="1:19" x14ac:dyDescent="0.25">
      <c r="A34">
        <v>30</v>
      </c>
      <c r="B34">
        <v>2203.2350000000001</v>
      </c>
      <c r="C34">
        <v>2449.6010000000001</v>
      </c>
      <c r="D34">
        <v>2224.8539999999998</v>
      </c>
      <c r="E34">
        <v>2832.0239999999999</v>
      </c>
      <c r="F34">
        <v>2781.4070000000002</v>
      </c>
      <c r="H34" s="2">
        <f t="shared" si="0"/>
        <v>2498.2241999999997</v>
      </c>
      <c r="I34" s="2">
        <f t="shared" si="1"/>
        <v>133.3658342002947</v>
      </c>
      <c r="K34">
        <v>30</v>
      </c>
      <c r="L34">
        <v>2101.1849999999999</v>
      </c>
      <c r="M34">
        <v>2293.5160000000001</v>
      </c>
      <c r="N34">
        <v>2322.9520000000002</v>
      </c>
      <c r="O34">
        <v>2496.1660000000002</v>
      </c>
      <c r="P34">
        <v>2431.0819999999999</v>
      </c>
      <c r="R34" s="3">
        <f t="shared" si="2"/>
        <v>2328.9802</v>
      </c>
      <c r="S34" s="3">
        <f t="shared" si="3"/>
        <v>67.661130313053462</v>
      </c>
    </row>
    <row r="35" spans="1:19" x14ac:dyDescent="0.25">
      <c r="A35">
        <v>31.25</v>
      </c>
      <c r="B35">
        <v>2219.1889999999999</v>
      </c>
      <c r="C35">
        <v>2474.663</v>
      </c>
      <c r="D35">
        <v>2251.2739999999999</v>
      </c>
      <c r="E35">
        <v>2841.7069999999999</v>
      </c>
      <c r="F35">
        <v>2778.567</v>
      </c>
      <c r="H35" s="2">
        <f t="shared" si="0"/>
        <v>2513.0800000000004</v>
      </c>
      <c r="I35" s="2">
        <f t="shared" si="1"/>
        <v>129.39652617129852</v>
      </c>
      <c r="K35">
        <v>31.25</v>
      </c>
      <c r="L35">
        <v>2111.5419999999999</v>
      </c>
      <c r="M35">
        <v>2314.7890000000002</v>
      </c>
      <c r="N35">
        <v>2338.672</v>
      </c>
      <c r="O35">
        <v>2515.1370000000002</v>
      </c>
      <c r="P35">
        <v>2466.4459999999999</v>
      </c>
      <c r="R35" s="3">
        <f t="shared" si="2"/>
        <v>2349.3172000000004</v>
      </c>
      <c r="S35" s="3">
        <f t="shared" si="3"/>
        <v>70.376815953408993</v>
      </c>
    </row>
    <row r="36" spans="1:19" x14ac:dyDescent="0.25">
      <c r="A36">
        <v>32.5</v>
      </c>
      <c r="B36">
        <v>2231.0830000000001</v>
      </c>
      <c r="C36">
        <v>2478.3739999999998</v>
      </c>
      <c r="D36">
        <v>2249.5239999999999</v>
      </c>
      <c r="E36">
        <v>2822.123</v>
      </c>
      <c r="F36">
        <v>2764.5129999999999</v>
      </c>
      <c r="H36" s="2">
        <f t="shared" si="0"/>
        <v>2509.1233999999995</v>
      </c>
      <c r="I36" s="2">
        <f t="shared" si="1"/>
        <v>124.26512694662165</v>
      </c>
      <c r="K36">
        <v>32.5</v>
      </c>
      <c r="L36">
        <v>2122.248</v>
      </c>
      <c r="M36">
        <v>2324.04</v>
      </c>
      <c r="N36">
        <v>2334.3180000000002</v>
      </c>
      <c r="O36">
        <v>2506.201</v>
      </c>
      <c r="P36">
        <v>2485.623</v>
      </c>
      <c r="R36" s="3">
        <f t="shared" si="2"/>
        <v>2354.4859999999999</v>
      </c>
      <c r="S36" s="3">
        <f t="shared" si="3"/>
        <v>69.095061248254197</v>
      </c>
    </row>
    <row r="37" spans="1:19" x14ac:dyDescent="0.25">
      <c r="A37">
        <v>33.75</v>
      </c>
      <c r="B37">
        <v>2219.8589999999999</v>
      </c>
      <c r="C37">
        <v>2466.549</v>
      </c>
      <c r="D37">
        <v>2242.4989999999998</v>
      </c>
      <c r="E37">
        <v>2793.8470000000002</v>
      </c>
      <c r="F37">
        <v>2748.3960000000002</v>
      </c>
      <c r="H37" s="2">
        <f t="shared" si="0"/>
        <v>2494.23</v>
      </c>
      <c r="I37" s="2">
        <f t="shared" si="1"/>
        <v>121.19919183063894</v>
      </c>
      <c r="K37">
        <v>33.75</v>
      </c>
      <c r="L37">
        <v>2125.1469999999999</v>
      </c>
      <c r="M37">
        <v>2315.8789999999999</v>
      </c>
      <c r="N37">
        <v>2319.1799999999998</v>
      </c>
      <c r="O37">
        <v>2493.0740000000001</v>
      </c>
      <c r="P37">
        <v>2479.42</v>
      </c>
      <c r="R37" s="3">
        <f t="shared" si="2"/>
        <v>2346.54</v>
      </c>
      <c r="S37" s="3">
        <f t="shared" si="3"/>
        <v>67.019711475803931</v>
      </c>
    </row>
    <row r="38" spans="1:19" x14ac:dyDescent="0.25">
      <c r="A38">
        <v>35</v>
      </c>
      <c r="B38">
        <v>2187.8009999999999</v>
      </c>
      <c r="C38">
        <v>2426.8919999999998</v>
      </c>
      <c r="D38">
        <v>2218.9520000000002</v>
      </c>
      <c r="E38">
        <v>2741.6170000000002</v>
      </c>
      <c r="F38">
        <v>2716.5749999999998</v>
      </c>
      <c r="H38" s="2">
        <f t="shared" si="0"/>
        <v>2458.3674000000001</v>
      </c>
      <c r="I38" s="2">
        <f t="shared" si="1"/>
        <v>117.98688740050734</v>
      </c>
      <c r="K38">
        <v>35</v>
      </c>
      <c r="L38">
        <v>2088.9279999999999</v>
      </c>
      <c r="M38">
        <v>2262.279</v>
      </c>
      <c r="N38">
        <v>2273.9319999999998</v>
      </c>
      <c r="O38">
        <v>2444.0160000000001</v>
      </c>
      <c r="P38">
        <v>2436.712</v>
      </c>
      <c r="R38" s="3">
        <f t="shared" si="2"/>
        <v>2301.1734000000001</v>
      </c>
      <c r="S38" s="3">
        <f t="shared" si="3"/>
        <v>65.604000835010083</v>
      </c>
    </row>
    <row r="39" spans="1:19" x14ac:dyDescent="0.25">
      <c r="A39">
        <v>36.25</v>
      </c>
      <c r="B39">
        <v>2104.3139999999999</v>
      </c>
      <c r="C39">
        <v>2322.8180000000002</v>
      </c>
      <c r="D39">
        <v>2117.1979999999999</v>
      </c>
      <c r="E39">
        <v>2608.9589999999998</v>
      </c>
      <c r="F39">
        <v>2591.8150000000001</v>
      </c>
      <c r="H39" s="2">
        <f t="shared" si="0"/>
        <v>2349.0208000000002</v>
      </c>
      <c r="I39" s="2">
        <f t="shared" si="1"/>
        <v>109.73301842809211</v>
      </c>
      <c r="K39">
        <v>36.25</v>
      </c>
      <c r="L39">
        <v>1997.875</v>
      </c>
      <c r="M39">
        <v>2161.3069999999998</v>
      </c>
      <c r="N39">
        <v>2176.9270000000001</v>
      </c>
      <c r="O39">
        <v>2330.3850000000002</v>
      </c>
      <c r="P39">
        <v>2327.13</v>
      </c>
      <c r="R39" s="3">
        <f t="shared" si="2"/>
        <v>2198.7248</v>
      </c>
      <c r="S39" s="3">
        <f t="shared" si="3"/>
        <v>61.659622790283144</v>
      </c>
    </row>
    <row r="40" spans="1:19" x14ac:dyDescent="0.25">
      <c r="A40">
        <v>37.5</v>
      </c>
      <c r="B40">
        <v>1962.454</v>
      </c>
      <c r="C40">
        <v>2176.846</v>
      </c>
      <c r="D40">
        <v>1970.0989999999999</v>
      </c>
      <c r="E40">
        <v>2442.0740000000001</v>
      </c>
      <c r="F40">
        <v>2415.2710000000002</v>
      </c>
      <c r="H40" s="2">
        <f t="shared" si="0"/>
        <v>2193.3488000000002</v>
      </c>
      <c r="I40" s="2">
        <f t="shared" si="1"/>
        <v>103.57096896399111</v>
      </c>
      <c r="K40">
        <v>37.5</v>
      </c>
      <c r="L40">
        <v>1855.3810000000001</v>
      </c>
      <c r="M40">
        <v>2020.434</v>
      </c>
      <c r="N40">
        <v>2031.7180000000001</v>
      </c>
      <c r="O40">
        <v>2179.0430000000001</v>
      </c>
      <c r="P40">
        <v>2174.9299999999998</v>
      </c>
      <c r="R40" s="3">
        <f t="shared" si="2"/>
        <v>2052.3012000000003</v>
      </c>
      <c r="S40" s="3">
        <f t="shared" si="3"/>
        <v>59.715181563317699</v>
      </c>
    </row>
    <row r="41" spans="1:19" x14ac:dyDescent="0.25">
      <c r="A41">
        <v>38.75</v>
      </c>
      <c r="B41">
        <v>1822.444</v>
      </c>
      <c r="C41">
        <v>2020.325</v>
      </c>
      <c r="D41">
        <v>1834.201</v>
      </c>
      <c r="E41">
        <v>2276.1460000000002</v>
      </c>
      <c r="F41">
        <v>2252.5410000000002</v>
      </c>
      <c r="H41" s="2">
        <f t="shared" si="0"/>
        <v>2041.1313999999998</v>
      </c>
      <c r="I41" s="2">
        <f t="shared" si="1"/>
        <v>97.724909012288194</v>
      </c>
      <c r="K41">
        <v>38.75</v>
      </c>
      <c r="L41">
        <v>1730.0550000000001</v>
      </c>
      <c r="M41">
        <v>1879.222</v>
      </c>
      <c r="N41">
        <v>1874.4169999999999</v>
      </c>
      <c r="O41">
        <v>2015.21</v>
      </c>
      <c r="P41">
        <v>2018.327</v>
      </c>
      <c r="R41" s="3">
        <f t="shared" si="2"/>
        <v>1903.4461999999999</v>
      </c>
      <c r="S41" s="3">
        <f t="shared" si="3"/>
        <v>53.470907863435414</v>
      </c>
    </row>
    <row r="42" spans="1:19" x14ac:dyDescent="0.25">
      <c r="A42">
        <v>40</v>
      </c>
      <c r="B42">
        <v>1738.4159999999999</v>
      </c>
      <c r="C42">
        <v>1923.4169999999999</v>
      </c>
      <c r="D42">
        <v>1749.4749999999999</v>
      </c>
      <c r="E42">
        <v>2165.1950000000002</v>
      </c>
      <c r="F42">
        <v>2156.953</v>
      </c>
      <c r="H42" s="2">
        <f t="shared" si="0"/>
        <v>1946.6911999999998</v>
      </c>
      <c r="I42" s="2">
        <f t="shared" si="1"/>
        <v>93.479519686613742</v>
      </c>
      <c r="K42">
        <v>40</v>
      </c>
      <c r="L42">
        <v>1656.5619999999999</v>
      </c>
      <c r="M42">
        <v>1798.9280000000001</v>
      </c>
      <c r="N42">
        <v>1787.5029999999999</v>
      </c>
      <c r="O42">
        <v>1916.249</v>
      </c>
      <c r="P42">
        <v>1921.9770000000001</v>
      </c>
      <c r="R42" s="3">
        <f t="shared" si="2"/>
        <v>1816.2437999999997</v>
      </c>
      <c r="S42" s="3">
        <f t="shared" si="3"/>
        <v>48.890028316007374</v>
      </c>
    </row>
    <row r="43" spans="1:19" x14ac:dyDescent="0.25">
      <c r="A43">
        <v>41.25</v>
      </c>
      <c r="B43">
        <v>1702.8150000000001</v>
      </c>
      <c r="C43">
        <v>1874.0250000000001</v>
      </c>
      <c r="D43">
        <v>1713.9069999999999</v>
      </c>
      <c r="E43">
        <v>2119.9009999999998</v>
      </c>
      <c r="F43">
        <v>2108.6660000000002</v>
      </c>
      <c r="H43" s="2">
        <f t="shared" si="0"/>
        <v>1903.8628000000001</v>
      </c>
      <c r="I43" s="2">
        <f t="shared" si="1"/>
        <v>91.107237016825394</v>
      </c>
      <c r="K43">
        <v>41.25</v>
      </c>
      <c r="L43">
        <v>1617.7470000000001</v>
      </c>
      <c r="M43">
        <v>1751.008</v>
      </c>
      <c r="N43">
        <v>1750.7909999999999</v>
      </c>
      <c r="O43">
        <v>1884.2729999999999</v>
      </c>
      <c r="P43">
        <v>1879.723</v>
      </c>
      <c r="R43" s="3">
        <f t="shared" si="2"/>
        <v>1776.7084000000002</v>
      </c>
      <c r="S43" s="3">
        <f t="shared" si="3"/>
        <v>49.387802066502189</v>
      </c>
    </row>
    <row r="44" spans="1:19" x14ac:dyDescent="0.25">
      <c r="A44">
        <v>42.5</v>
      </c>
      <c r="B44">
        <v>1703.0609999999999</v>
      </c>
      <c r="C44">
        <v>1871.9290000000001</v>
      </c>
      <c r="D44">
        <v>1702.3689999999999</v>
      </c>
      <c r="E44">
        <v>2112.5390000000002</v>
      </c>
      <c r="F44">
        <v>2087.5140000000001</v>
      </c>
      <c r="H44" s="2">
        <f t="shared" si="0"/>
        <v>1895.4824000000001</v>
      </c>
      <c r="I44" s="2">
        <f t="shared" si="1"/>
        <v>89.124420360303091</v>
      </c>
      <c r="K44">
        <v>42.5</v>
      </c>
      <c r="L44">
        <v>1608.4010000000001</v>
      </c>
      <c r="M44">
        <v>1727.7070000000001</v>
      </c>
      <c r="N44">
        <v>1742.625</v>
      </c>
      <c r="O44">
        <v>1873.1210000000001</v>
      </c>
      <c r="P44">
        <v>1871.539</v>
      </c>
      <c r="R44" s="3">
        <f t="shared" si="2"/>
        <v>1764.6786</v>
      </c>
      <c r="S44" s="3">
        <f t="shared" si="3"/>
        <v>49.726676918531354</v>
      </c>
    </row>
    <row r="45" spans="1:19" x14ac:dyDescent="0.25">
      <c r="A45">
        <v>43.75</v>
      </c>
      <c r="B45">
        <v>1711.4839999999999</v>
      </c>
      <c r="C45">
        <v>1885.0260000000001</v>
      </c>
      <c r="D45">
        <v>1704.2560000000001</v>
      </c>
      <c r="E45">
        <v>2131.473</v>
      </c>
      <c r="F45">
        <v>2090.788</v>
      </c>
      <c r="H45" s="2">
        <f t="shared" si="0"/>
        <v>1904.6053999999999</v>
      </c>
      <c r="I45" s="2">
        <f t="shared" si="1"/>
        <v>90.540592718183589</v>
      </c>
      <c r="K45">
        <v>43.75</v>
      </c>
      <c r="L45">
        <v>1614.277</v>
      </c>
      <c r="M45">
        <v>1746.405</v>
      </c>
      <c r="N45">
        <v>1749.5509999999999</v>
      </c>
      <c r="O45">
        <v>1882.9079999999999</v>
      </c>
      <c r="P45">
        <v>1869.4549999999999</v>
      </c>
      <c r="R45" s="3">
        <f t="shared" si="2"/>
        <v>1772.5192</v>
      </c>
      <c r="S45" s="3">
        <f t="shared" si="3"/>
        <v>48.904151153455238</v>
      </c>
    </row>
    <row r="46" spans="1:19" x14ac:dyDescent="0.25">
      <c r="A46">
        <v>45</v>
      </c>
      <c r="B46">
        <v>1724.4449999999999</v>
      </c>
      <c r="C46">
        <v>1904.8620000000001</v>
      </c>
      <c r="D46">
        <v>1729.6769999999999</v>
      </c>
      <c r="E46">
        <v>2193.9679999999998</v>
      </c>
      <c r="F46">
        <v>2108.9</v>
      </c>
      <c r="H46" s="2">
        <f t="shared" si="0"/>
        <v>1932.3703999999998</v>
      </c>
      <c r="I46" s="2">
        <f t="shared" si="1"/>
        <v>96.091181291833436</v>
      </c>
      <c r="K46">
        <v>45</v>
      </c>
      <c r="L46">
        <v>1630.91</v>
      </c>
      <c r="M46">
        <v>1794.489</v>
      </c>
      <c r="N46">
        <v>1785.9349999999999</v>
      </c>
      <c r="O46">
        <v>1930.1410000000001</v>
      </c>
      <c r="P46">
        <v>1887.058</v>
      </c>
      <c r="R46" s="3">
        <f t="shared" si="2"/>
        <v>1805.7066</v>
      </c>
      <c r="S46" s="3">
        <f t="shared" si="3"/>
        <v>51.561891098562313</v>
      </c>
    </row>
    <row r="47" spans="1:19" x14ac:dyDescent="0.25">
      <c r="A47">
        <v>46.25</v>
      </c>
      <c r="B47">
        <v>1774.973</v>
      </c>
      <c r="C47">
        <v>1958.693</v>
      </c>
      <c r="D47">
        <v>1782.6279999999999</v>
      </c>
      <c r="E47">
        <v>2261.779</v>
      </c>
      <c r="F47">
        <v>2170.116</v>
      </c>
      <c r="H47" s="2">
        <f t="shared" si="0"/>
        <v>1989.6378</v>
      </c>
      <c r="I47" s="2">
        <f t="shared" si="1"/>
        <v>99.127399772918494</v>
      </c>
      <c r="K47">
        <v>46.25</v>
      </c>
      <c r="L47">
        <v>1679.684</v>
      </c>
      <c r="M47">
        <v>1854.915</v>
      </c>
      <c r="N47">
        <v>1851.788</v>
      </c>
      <c r="O47">
        <v>1986.8409999999999</v>
      </c>
      <c r="P47">
        <v>1928.944</v>
      </c>
      <c r="R47" s="3">
        <f t="shared" si="2"/>
        <v>1860.4344000000001</v>
      </c>
      <c r="S47" s="3">
        <f t="shared" si="3"/>
        <v>51.695321318858234</v>
      </c>
    </row>
    <row r="48" spans="1:19" x14ac:dyDescent="0.25">
      <c r="A48">
        <v>47.5</v>
      </c>
      <c r="B48">
        <v>1838.5219999999999</v>
      </c>
      <c r="C48">
        <v>2022.0340000000001</v>
      </c>
      <c r="D48">
        <v>1830.4580000000001</v>
      </c>
      <c r="E48">
        <v>2306.7460000000001</v>
      </c>
      <c r="F48">
        <v>2235.7359999999999</v>
      </c>
      <c r="H48" s="2">
        <f t="shared" si="0"/>
        <v>2046.6991999999998</v>
      </c>
      <c r="I48" s="2">
        <f t="shared" si="1"/>
        <v>98.505234686487597</v>
      </c>
      <c r="K48">
        <v>47.5</v>
      </c>
      <c r="L48">
        <v>1739.069</v>
      </c>
      <c r="M48">
        <v>1911.904</v>
      </c>
      <c r="N48">
        <v>1917.175</v>
      </c>
      <c r="O48">
        <v>2030.4059999999999</v>
      </c>
      <c r="P48">
        <v>1997.556</v>
      </c>
      <c r="R48" s="3">
        <f t="shared" si="2"/>
        <v>1919.2220000000002</v>
      </c>
      <c r="S48" s="3">
        <f t="shared" si="3"/>
        <v>50.502942564765469</v>
      </c>
    </row>
    <row r="49" spans="1:19" x14ac:dyDescent="0.25">
      <c r="A49">
        <v>48.75</v>
      </c>
      <c r="B49">
        <v>1901.393</v>
      </c>
      <c r="C49">
        <v>2068.7130000000002</v>
      </c>
      <c r="D49">
        <v>1890.0550000000001</v>
      </c>
      <c r="E49">
        <v>2364.1109999999999</v>
      </c>
      <c r="F49">
        <v>2272.1750000000002</v>
      </c>
      <c r="H49" s="2">
        <f t="shared" si="0"/>
        <v>2099.2894000000001</v>
      </c>
      <c r="I49" s="2">
        <f t="shared" si="1"/>
        <v>95.889740334198422</v>
      </c>
      <c r="K49">
        <v>48.75</v>
      </c>
      <c r="L49">
        <v>1779.4359999999999</v>
      </c>
      <c r="M49">
        <v>1963.4739999999999</v>
      </c>
      <c r="N49">
        <v>1971.2860000000001</v>
      </c>
      <c r="O49">
        <v>2076.7579999999998</v>
      </c>
      <c r="P49">
        <v>2052.4589999999998</v>
      </c>
      <c r="R49" s="3">
        <f t="shared" si="2"/>
        <v>1968.6826000000001</v>
      </c>
      <c r="S49" s="3">
        <f t="shared" si="3"/>
        <v>52.224017510720081</v>
      </c>
    </row>
    <row r="50" spans="1:19" x14ac:dyDescent="0.25">
      <c r="A50">
        <v>50</v>
      </c>
      <c r="B50">
        <v>1972.5119999999999</v>
      </c>
      <c r="C50">
        <v>2175.9949999999999</v>
      </c>
      <c r="D50">
        <v>1974.7639999999999</v>
      </c>
      <c r="E50">
        <v>2447.136</v>
      </c>
      <c r="F50">
        <v>2340.9059999999999</v>
      </c>
      <c r="H50" s="2">
        <f t="shared" si="0"/>
        <v>2182.2625999999996</v>
      </c>
      <c r="I50" s="2">
        <f t="shared" si="1"/>
        <v>95.502856607328766</v>
      </c>
      <c r="K50">
        <v>50</v>
      </c>
      <c r="L50">
        <v>1839.6420000000001</v>
      </c>
      <c r="M50">
        <v>2031.96</v>
      </c>
      <c r="N50">
        <v>2044.21</v>
      </c>
      <c r="O50">
        <v>2163.5250000000001</v>
      </c>
      <c r="P50">
        <v>2120.6849999999999</v>
      </c>
      <c r="R50" s="3">
        <f t="shared" si="2"/>
        <v>2040.0043999999998</v>
      </c>
      <c r="S50" s="3">
        <f t="shared" si="3"/>
        <v>55.675034179244101</v>
      </c>
    </row>
    <row r="51" spans="1:19" x14ac:dyDescent="0.25">
      <c r="A51">
        <v>51.25</v>
      </c>
      <c r="B51">
        <v>2063.11</v>
      </c>
      <c r="C51">
        <v>2294.3490000000002</v>
      </c>
      <c r="D51">
        <v>2049.7089999999998</v>
      </c>
      <c r="E51">
        <v>2500.9250000000002</v>
      </c>
      <c r="F51">
        <v>2457.5279999999998</v>
      </c>
      <c r="H51" s="2">
        <f t="shared" si="0"/>
        <v>2273.1242000000002</v>
      </c>
      <c r="I51" s="2">
        <f t="shared" si="1"/>
        <v>94.965460527183254</v>
      </c>
      <c r="K51">
        <v>51.25</v>
      </c>
      <c r="L51">
        <v>1916.8610000000001</v>
      </c>
      <c r="M51">
        <v>2100.1019999999999</v>
      </c>
      <c r="N51">
        <v>2104.6489999999999</v>
      </c>
      <c r="O51">
        <v>2222.6320000000001</v>
      </c>
      <c r="P51">
        <v>2197.83</v>
      </c>
      <c r="R51" s="3">
        <f t="shared" si="2"/>
        <v>2108.4147999999996</v>
      </c>
      <c r="S51" s="3">
        <f t="shared" si="3"/>
        <v>53.766527205502101</v>
      </c>
    </row>
    <row r="52" spans="1:19" x14ac:dyDescent="0.25">
      <c r="A52">
        <v>52.5</v>
      </c>
      <c r="B52">
        <v>2098.2089999999998</v>
      </c>
      <c r="C52">
        <v>2318.7910000000002</v>
      </c>
      <c r="D52">
        <v>2106.3069999999998</v>
      </c>
      <c r="E52">
        <v>2535.5259999999998</v>
      </c>
      <c r="F52">
        <v>2522.5500000000002</v>
      </c>
      <c r="H52" s="2">
        <f t="shared" si="0"/>
        <v>2316.2765999999997</v>
      </c>
      <c r="I52" s="2">
        <f t="shared" si="1"/>
        <v>95.463618266122765</v>
      </c>
      <c r="K52">
        <v>52.5</v>
      </c>
      <c r="L52">
        <v>1956.95</v>
      </c>
      <c r="M52">
        <v>2136.855</v>
      </c>
      <c r="N52">
        <v>2140.0590000000002</v>
      </c>
      <c r="O52">
        <v>2252.2510000000002</v>
      </c>
      <c r="P52">
        <v>2237.85</v>
      </c>
      <c r="R52" s="3">
        <f t="shared" si="2"/>
        <v>2144.7930000000006</v>
      </c>
      <c r="S52" s="3">
        <f t="shared" si="3"/>
        <v>52.714913573864465</v>
      </c>
    </row>
    <row r="53" spans="1:19" x14ac:dyDescent="0.25">
      <c r="A53">
        <v>53.75</v>
      </c>
      <c r="B53">
        <v>2087.194</v>
      </c>
      <c r="C53">
        <v>2317.9090000000001</v>
      </c>
      <c r="D53">
        <v>2118.4229999999998</v>
      </c>
      <c r="E53">
        <v>2568.1590000000001</v>
      </c>
      <c r="F53">
        <v>2511.3049999999998</v>
      </c>
      <c r="H53" s="2">
        <f t="shared" si="0"/>
        <v>2320.598</v>
      </c>
      <c r="I53" s="2">
        <f t="shared" si="1"/>
        <v>98.238230117403901</v>
      </c>
      <c r="K53">
        <v>53.75</v>
      </c>
      <c r="L53">
        <v>1958.1969999999999</v>
      </c>
      <c r="M53">
        <v>2168.875</v>
      </c>
      <c r="N53">
        <v>2142.569</v>
      </c>
      <c r="O53">
        <v>2291.4270000000001</v>
      </c>
      <c r="P53">
        <v>2258.7469999999998</v>
      </c>
      <c r="R53" s="3">
        <f t="shared" si="2"/>
        <v>2163.9629999999997</v>
      </c>
      <c r="S53" s="3">
        <f t="shared" si="3"/>
        <v>58.332047661641383</v>
      </c>
    </row>
    <row r="54" spans="1:19" x14ac:dyDescent="0.25">
      <c r="A54">
        <v>55</v>
      </c>
      <c r="B54">
        <v>2053.395</v>
      </c>
      <c r="C54">
        <v>2298.3310000000001</v>
      </c>
      <c r="D54">
        <v>2096.8130000000001</v>
      </c>
      <c r="E54">
        <v>2533.6179999999999</v>
      </c>
      <c r="F54">
        <v>2440.1489999999999</v>
      </c>
      <c r="H54" s="2">
        <f t="shared" si="0"/>
        <v>2284.4612000000002</v>
      </c>
      <c r="I54" s="2">
        <f t="shared" si="1"/>
        <v>93.571793066286787</v>
      </c>
      <c r="K54">
        <v>55</v>
      </c>
      <c r="L54">
        <v>1918.6690000000001</v>
      </c>
      <c r="M54">
        <v>2151.2559999999999</v>
      </c>
      <c r="N54">
        <v>2102.6280000000002</v>
      </c>
      <c r="O54">
        <v>2267.0340000000001</v>
      </c>
      <c r="P54">
        <v>2231.3290000000002</v>
      </c>
      <c r="R54" s="3">
        <f t="shared" si="2"/>
        <v>2134.1831999999999</v>
      </c>
      <c r="S54" s="3">
        <f t="shared" si="3"/>
        <v>61.163805909540983</v>
      </c>
    </row>
    <row r="55" spans="1:19" x14ac:dyDescent="0.25">
      <c r="A55">
        <v>56.25</v>
      </c>
      <c r="B55">
        <v>1953.605</v>
      </c>
      <c r="C55">
        <v>2215.8510000000001</v>
      </c>
      <c r="D55">
        <v>2047.3330000000001</v>
      </c>
      <c r="E55">
        <v>2425.3820000000001</v>
      </c>
      <c r="F55">
        <v>2303.4969999999998</v>
      </c>
      <c r="H55" s="2">
        <f t="shared" si="0"/>
        <v>2189.1336000000001</v>
      </c>
      <c r="I55" s="2">
        <f t="shared" si="1"/>
        <v>85.20189105976462</v>
      </c>
      <c r="K55">
        <v>56.25</v>
      </c>
      <c r="L55">
        <v>1828.538</v>
      </c>
      <c r="M55">
        <v>2050.9110000000001</v>
      </c>
      <c r="N55">
        <v>2031.893</v>
      </c>
      <c r="O55">
        <v>2175.846</v>
      </c>
      <c r="P55">
        <v>2137.1579999999999</v>
      </c>
      <c r="R55" s="3">
        <f t="shared" si="2"/>
        <v>2044.8691999999999</v>
      </c>
      <c r="S55" s="3">
        <f t="shared" si="3"/>
        <v>60.281099007400307</v>
      </c>
    </row>
    <row r="56" spans="1:19" x14ac:dyDescent="0.25">
      <c r="A56">
        <v>57.5</v>
      </c>
      <c r="B56">
        <v>1822.2639999999999</v>
      </c>
      <c r="C56">
        <v>2106.58</v>
      </c>
      <c r="D56">
        <v>1968.981</v>
      </c>
      <c r="E56">
        <v>2317.627</v>
      </c>
      <c r="F56">
        <v>2121.2649999999999</v>
      </c>
      <c r="H56" s="2">
        <f t="shared" si="0"/>
        <v>2067.3433999999997</v>
      </c>
      <c r="I56" s="2">
        <f t="shared" si="1"/>
        <v>82.712757236474715</v>
      </c>
      <c r="K56">
        <v>57.5</v>
      </c>
      <c r="L56">
        <v>1708.376</v>
      </c>
      <c r="M56">
        <v>1934.4480000000001</v>
      </c>
      <c r="N56">
        <v>1931.1089999999999</v>
      </c>
      <c r="O56">
        <v>2057.7159999999999</v>
      </c>
      <c r="P56">
        <v>1979.809</v>
      </c>
      <c r="R56" s="3">
        <f t="shared" si="2"/>
        <v>1922.2915999999998</v>
      </c>
      <c r="S56" s="3">
        <f t="shared" si="3"/>
        <v>58.152140091831512</v>
      </c>
    </row>
    <row r="57" spans="1:19" x14ac:dyDescent="0.25">
      <c r="A57">
        <v>58.75</v>
      </c>
      <c r="B57">
        <v>1711.6949999999999</v>
      </c>
      <c r="C57">
        <v>2016.394</v>
      </c>
      <c r="D57">
        <v>1892.645</v>
      </c>
      <c r="E57">
        <v>2197.3510000000001</v>
      </c>
      <c r="F57">
        <v>1954.971</v>
      </c>
      <c r="H57" s="2">
        <f t="shared" si="0"/>
        <v>1954.6112000000001</v>
      </c>
      <c r="I57" s="2">
        <f t="shared" si="1"/>
        <v>79.242647766464771</v>
      </c>
      <c r="K57">
        <v>58.75</v>
      </c>
      <c r="L57">
        <v>1610.0129999999999</v>
      </c>
      <c r="M57">
        <v>1852.0920000000001</v>
      </c>
      <c r="N57">
        <v>1826.19</v>
      </c>
      <c r="O57">
        <v>1947.6890000000001</v>
      </c>
      <c r="P57">
        <v>1852.4159999999999</v>
      </c>
      <c r="R57" s="3">
        <f t="shared" si="2"/>
        <v>1817.6799999999998</v>
      </c>
      <c r="S57" s="3">
        <f t="shared" si="3"/>
        <v>55.897727373302061</v>
      </c>
    </row>
    <row r="58" spans="1:19" x14ac:dyDescent="0.25">
      <c r="A58">
        <v>60</v>
      </c>
      <c r="B58">
        <v>1620.586</v>
      </c>
      <c r="C58">
        <v>1924.954</v>
      </c>
      <c r="D58">
        <v>1812.4829999999999</v>
      </c>
      <c r="E58">
        <v>2065.4079999999999</v>
      </c>
      <c r="F58">
        <v>1839.0830000000001</v>
      </c>
      <c r="H58" s="2">
        <f t="shared" si="0"/>
        <v>1852.5028000000002</v>
      </c>
      <c r="I58" s="2">
        <f t="shared" si="1"/>
        <v>72.850833253573683</v>
      </c>
      <c r="K58">
        <v>60</v>
      </c>
      <c r="L58">
        <v>1529.0239999999999</v>
      </c>
      <c r="M58">
        <v>1764.135</v>
      </c>
      <c r="N58">
        <v>1726.423</v>
      </c>
      <c r="O58">
        <v>1859.8240000000001</v>
      </c>
      <c r="P58">
        <v>1772.319</v>
      </c>
      <c r="R58" s="3">
        <f t="shared" si="2"/>
        <v>1730.3449999999998</v>
      </c>
      <c r="S58" s="3">
        <f t="shared" si="3"/>
        <v>54.869809249714024</v>
      </c>
    </row>
    <row r="59" spans="1:19" x14ac:dyDescent="0.25">
      <c r="A59">
        <v>61.25</v>
      </c>
      <c r="B59">
        <v>1553.519</v>
      </c>
      <c r="C59">
        <v>1821.43</v>
      </c>
      <c r="D59">
        <v>1712.124</v>
      </c>
      <c r="E59">
        <v>1939.902</v>
      </c>
      <c r="F59">
        <v>1756.1389999999999</v>
      </c>
      <c r="H59" s="2">
        <f t="shared" si="0"/>
        <v>1756.6227999999999</v>
      </c>
      <c r="I59" s="2">
        <f t="shared" si="1"/>
        <v>63.648554250194877</v>
      </c>
      <c r="K59">
        <v>61.25</v>
      </c>
      <c r="L59">
        <v>1465.5450000000001</v>
      </c>
      <c r="M59">
        <v>1672.4670000000001</v>
      </c>
      <c r="N59">
        <v>1633.636</v>
      </c>
      <c r="O59">
        <v>1770.3240000000001</v>
      </c>
      <c r="P59">
        <v>1704.7180000000001</v>
      </c>
      <c r="R59" s="3">
        <f t="shared" si="2"/>
        <v>1649.3380000000002</v>
      </c>
      <c r="S59" s="3">
        <f t="shared" si="3"/>
        <v>51.120410253635484</v>
      </c>
    </row>
    <row r="60" spans="1:19" x14ac:dyDescent="0.25">
      <c r="A60">
        <v>62.5</v>
      </c>
      <c r="B60">
        <v>1506.836</v>
      </c>
      <c r="C60">
        <v>1717.624</v>
      </c>
      <c r="D60">
        <v>1603.4860000000001</v>
      </c>
      <c r="E60">
        <v>1824.2670000000001</v>
      </c>
      <c r="F60">
        <v>1705.74</v>
      </c>
      <c r="H60" s="2">
        <f t="shared" si="0"/>
        <v>1671.5906</v>
      </c>
      <c r="I60" s="2">
        <f t="shared" si="1"/>
        <v>54.026684756331285</v>
      </c>
      <c r="K60">
        <v>62.5</v>
      </c>
      <c r="L60">
        <v>1414.9269999999999</v>
      </c>
      <c r="M60">
        <v>1585.825</v>
      </c>
      <c r="N60">
        <v>1551.9649999999999</v>
      </c>
      <c r="O60">
        <v>1679.087</v>
      </c>
      <c r="P60">
        <v>1625.037</v>
      </c>
      <c r="R60" s="3">
        <f t="shared" si="2"/>
        <v>1571.3682000000001</v>
      </c>
      <c r="S60" s="3">
        <f t="shared" si="3"/>
        <v>44.465161790327507</v>
      </c>
    </row>
    <row r="61" spans="1:19" x14ac:dyDescent="0.25">
      <c r="A61">
        <v>63.75</v>
      </c>
      <c r="B61">
        <v>1467.2360000000001</v>
      </c>
      <c r="C61">
        <v>1637.6320000000001</v>
      </c>
      <c r="D61">
        <v>1499.6579999999999</v>
      </c>
      <c r="E61">
        <v>1737.5540000000001</v>
      </c>
      <c r="F61">
        <v>1670.097</v>
      </c>
      <c r="H61" s="2">
        <f t="shared" si="0"/>
        <v>1602.4353999999998</v>
      </c>
      <c r="I61" s="2">
        <f t="shared" si="1"/>
        <v>51.437340786242054</v>
      </c>
      <c r="K61">
        <v>63.75</v>
      </c>
      <c r="L61">
        <v>1365.047</v>
      </c>
      <c r="M61">
        <v>1514.126</v>
      </c>
      <c r="N61">
        <v>1497.2539999999999</v>
      </c>
      <c r="O61">
        <v>1602.922</v>
      </c>
      <c r="P61">
        <v>1561.625</v>
      </c>
      <c r="R61" s="3">
        <f t="shared" si="2"/>
        <v>1508.1948</v>
      </c>
      <c r="S61" s="3">
        <f t="shared" si="3"/>
        <v>40.295286061027035</v>
      </c>
    </row>
    <row r="62" spans="1:19" x14ac:dyDescent="0.25">
      <c r="A62">
        <v>65</v>
      </c>
      <c r="B62">
        <v>1443.7660000000001</v>
      </c>
      <c r="C62">
        <v>1574.742</v>
      </c>
      <c r="D62">
        <v>1424.74</v>
      </c>
      <c r="E62">
        <v>1681.1220000000001</v>
      </c>
      <c r="F62">
        <v>1646.615</v>
      </c>
      <c r="H62" s="2">
        <f t="shared" si="0"/>
        <v>1554.1969999999999</v>
      </c>
      <c r="I62" s="2">
        <f t="shared" si="1"/>
        <v>51.974638038181659</v>
      </c>
      <c r="K62">
        <v>65</v>
      </c>
      <c r="L62">
        <v>1335.9849999999999</v>
      </c>
      <c r="M62">
        <v>1470.193</v>
      </c>
      <c r="N62">
        <v>1444.17</v>
      </c>
      <c r="O62">
        <v>1557.6130000000001</v>
      </c>
      <c r="P62">
        <v>1516.02</v>
      </c>
      <c r="R62" s="3">
        <f t="shared" si="2"/>
        <v>1464.7962</v>
      </c>
      <c r="S62" s="3">
        <f t="shared" si="3"/>
        <v>37.606998597867417</v>
      </c>
    </row>
    <row r="63" spans="1:19" x14ac:dyDescent="0.25">
      <c r="A63">
        <v>66.25</v>
      </c>
      <c r="B63">
        <v>1429.6030000000001</v>
      </c>
      <c r="C63">
        <v>1525.348</v>
      </c>
      <c r="D63">
        <v>1372.193</v>
      </c>
      <c r="E63">
        <v>1644.857</v>
      </c>
      <c r="F63">
        <v>1634.9349999999999</v>
      </c>
      <c r="H63" s="2">
        <f t="shared" si="0"/>
        <v>1521.3871999999999</v>
      </c>
      <c r="I63" s="2">
        <f t="shared" si="1"/>
        <v>54.238745845013767</v>
      </c>
      <c r="K63">
        <v>66.25</v>
      </c>
      <c r="L63">
        <v>1314.4290000000001</v>
      </c>
      <c r="M63">
        <v>1429.0119999999999</v>
      </c>
      <c r="N63">
        <v>1408.6669999999999</v>
      </c>
      <c r="O63">
        <v>1523.258</v>
      </c>
      <c r="P63">
        <v>1492.867</v>
      </c>
      <c r="R63" s="3">
        <f t="shared" si="2"/>
        <v>1433.6466</v>
      </c>
      <c r="S63" s="3">
        <f t="shared" si="3"/>
        <v>36.328745415442015</v>
      </c>
    </row>
    <row r="64" spans="1:19" x14ac:dyDescent="0.25">
      <c r="A64">
        <v>67.5</v>
      </c>
      <c r="B64">
        <v>1415.5229999999999</v>
      </c>
      <c r="C64">
        <v>1488.625</v>
      </c>
      <c r="D64">
        <v>1352.5429999999999</v>
      </c>
      <c r="E64">
        <v>1614.433</v>
      </c>
      <c r="F64">
        <v>1629.0340000000001</v>
      </c>
      <c r="H64" s="2">
        <f t="shared" si="0"/>
        <v>1500.0315999999998</v>
      </c>
      <c r="I64" s="2">
        <f t="shared" si="1"/>
        <v>54.200553804919771</v>
      </c>
      <c r="K64">
        <v>67.5</v>
      </c>
      <c r="L64">
        <v>1286.8620000000001</v>
      </c>
      <c r="M64">
        <v>1399.5229999999999</v>
      </c>
      <c r="N64">
        <v>1388.655</v>
      </c>
      <c r="O64">
        <v>1483.423</v>
      </c>
      <c r="P64">
        <v>1484.2070000000001</v>
      </c>
      <c r="R64" s="3">
        <f t="shared" si="2"/>
        <v>1408.5340000000001</v>
      </c>
      <c r="S64" s="3">
        <f t="shared" si="3"/>
        <v>36.47959264849321</v>
      </c>
    </row>
    <row r="65" spans="1:19" x14ac:dyDescent="0.25">
      <c r="A65">
        <v>68.75</v>
      </c>
      <c r="B65">
        <v>1409.6659999999999</v>
      </c>
      <c r="C65">
        <v>1473.78</v>
      </c>
      <c r="D65">
        <v>1343.998</v>
      </c>
      <c r="E65">
        <v>1599.1010000000001</v>
      </c>
      <c r="F65">
        <v>1625.499</v>
      </c>
      <c r="H65" s="2">
        <f t="shared" si="0"/>
        <v>1490.4087999999999</v>
      </c>
      <c r="I65" s="2">
        <f t="shared" si="1"/>
        <v>53.988607860732998</v>
      </c>
      <c r="K65">
        <v>68.75</v>
      </c>
      <c r="L65">
        <v>1277.5219999999999</v>
      </c>
      <c r="M65">
        <v>1380.412</v>
      </c>
      <c r="N65">
        <v>1367.421</v>
      </c>
      <c r="O65">
        <v>1439.2819999999999</v>
      </c>
      <c r="P65">
        <v>1471.93</v>
      </c>
      <c r="R65" s="3">
        <f t="shared" si="2"/>
        <v>1387.3134000000002</v>
      </c>
      <c r="S65" s="3">
        <f t="shared" si="3"/>
        <v>33.435155746010821</v>
      </c>
    </row>
    <row r="66" spans="1:19" x14ac:dyDescent="0.25">
      <c r="A66">
        <v>70</v>
      </c>
      <c r="B66">
        <v>1409.4</v>
      </c>
      <c r="C66">
        <v>1454.2739999999999</v>
      </c>
      <c r="D66">
        <v>1338.0830000000001</v>
      </c>
      <c r="E66">
        <v>1584.616</v>
      </c>
      <c r="F66">
        <v>1613.25</v>
      </c>
      <c r="H66" s="2">
        <f t="shared" si="0"/>
        <v>1479.9245999999998</v>
      </c>
      <c r="I66" s="2">
        <f t="shared" si="1"/>
        <v>52.195145126342908</v>
      </c>
      <c r="K66">
        <v>70</v>
      </c>
      <c r="L66">
        <v>1278.19</v>
      </c>
      <c r="M66">
        <v>1375.1310000000001</v>
      </c>
      <c r="N66">
        <v>1354.365</v>
      </c>
      <c r="O66">
        <v>1420.374</v>
      </c>
      <c r="P66">
        <v>1464.067</v>
      </c>
      <c r="R66" s="3">
        <f t="shared" si="2"/>
        <v>1378.4253999999999</v>
      </c>
      <c r="S66" s="3">
        <f t="shared" si="3"/>
        <v>31.409441275832968</v>
      </c>
    </row>
    <row r="67" spans="1:19" x14ac:dyDescent="0.25">
      <c r="A67">
        <v>71.25</v>
      </c>
      <c r="B67">
        <v>1397.796</v>
      </c>
      <c r="C67">
        <v>1431.288</v>
      </c>
      <c r="D67">
        <v>1322.605</v>
      </c>
      <c r="E67">
        <v>1558.952</v>
      </c>
      <c r="F67">
        <v>1605.5830000000001</v>
      </c>
      <c r="H67" s="2">
        <f t="shared" si="0"/>
        <v>1463.2447999999999</v>
      </c>
      <c r="I67" s="2">
        <f t="shared" si="1"/>
        <v>52.203623984738833</v>
      </c>
      <c r="K67">
        <v>71.25</v>
      </c>
      <c r="L67">
        <v>1275.578</v>
      </c>
      <c r="M67">
        <v>1368.0119999999999</v>
      </c>
      <c r="N67">
        <v>1346.5429999999999</v>
      </c>
      <c r="O67">
        <v>1416.153</v>
      </c>
      <c r="P67">
        <v>1446.866</v>
      </c>
      <c r="R67" s="3">
        <f t="shared" si="2"/>
        <v>1370.6304</v>
      </c>
      <c r="S67" s="3">
        <f t="shared" si="3"/>
        <v>29.585631158722986</v>
      </c>
    </row>
    <row r="68" spans="1:19" x14ac:dyDescent="0.25">
      <c r="A68">
        <v>72.5</v>
      </c>
      <c r="B68">
        <v>1375.799</v>
      </c>
      <c r="C68">
        <v>1419.1179999999999</v>
      </c>
      <c r="D68">
        <v>1311.1489999999999</v>
      </c>
      <c r="E68">
        <v>1564.931</v>
      </c>
      <c r="F68">
        <v>1592.16</v>
      </c>
      <c r="H68" s="2">
        <f t="shared" si="0"/>
        <v>1452.6313999999998</v>
      </c>
      <c r="I68" s="2">
        <f t="shared" si="1"/>
        <v>54.370518462306428</v>
      </c>
      <c r="K68">
        <v>72.5</v>
      </c>
      <c r="L68">
        <v>1249.242</v>
      </c>
      <c r="M68">
        <v>1360.9059999999999</v>
      </c>
      <c r="N68">
        <v>1345.6959999999999</v>
      </c>
      <c r="O68">
        <v>1433.0640000000001</v>
      </c>
      <c r="P68">
        <v>1435.482</v>
      </c>
      <c r="R68" s="3">
        <f t="shared" si="2"/>
        <v>1364.8780000000002</v>
      </c>
      <c r="S68" s="3">
        <f t="shared" si="3"/>
        <v>34.197708853079632</v>
      </c>
    </row>
    <row r="69" spans="1:19" x14ac:dyDescent="0.25">
      <c r="A69">
        <v>73.75</v>
      </c>
      <c r="B69">
        <v>1378.585</v>
      </c>
      <c r="C69">
        <v>1449.078</v>
      </c>
      <c r="D69">
        <v>1328.117</v>
      </c>
      <c r="E69">
        <v>1607.856</v>
      </c>
      <c r="F69">
        <v>1595.1980000000001</v>
      </c>
      <c r="H69" s="2">
        <f t="shared" ref="H69:H96" si="4">AVERAGE(B69:F69)</f>
        <v>1471.7667999999999</v>
      </c>
      <c r="I69" s="2">
        <f t="shared" ref="I69:I96" si="5">STDEV(B69:F69)/SQRT(COUNT(B69:F69))</f>
        <v>56.386357404428971</v>
      </c>
      <c r="K69">
        <v>73.75</v>
      </c>
      <c r="L69">
        <v>1260.51</v>
      </c>
      <c r="M69">
        <v>1393.0309999999999</v>
      </c>
      <c r="N69">
        <v>1386.2280000000001</v>
      </c>
      <c r="O69">
        <v>1477.547</v>
      </c>
      <c r="P69">
        <v>1444.12</v>
      </c>
      <c r="R69" s="3">
        <f t="shared" ref="R69:R96" si="6">AVERAGE(L69:P69)</f>
        <v>1392.2872000000002</v>
      </c>
      <c r="S69" s="3">
        <f t="shared" ref="S69:S96" si="7">STDEV(L69:P69)/SQRT(COUNT(L69:P69))</f>
        <v>36.985382406296672</v>
      </c>
    </row>
    <row r="70" spans="1:19" x14ac:dyDescent="0.25">
      <c r="A70">
        <v>75</v>
      </c>
      <c r="B70">
        <v>1464.357</v>
      </c>
      <c r="C70">
        <v>1546.403</v>
      </c>
      <c r="D70">
        <v>1409.8969999999999</v>
      </c>
      <c r="E70">
        <v>1690.19</v>
      </c>
      <c r="F70">
        <v>1677.347</v>
      </c>
      <c r="H70" s="2">
        <f t="shared" si="4"/>
        <v>1557.6387999999999</v>
      </c>
      <c r="I70" s="2">
        <f t="shared" si="5"/>
        <v>55.926402820492591</v>
      </c>
      <c r="K70">
        <v>75</v>
      </c>
      <c r="L70">
        <v>1356.2550000000001</v>
      </c>
      <c r="M70">
        <v>1478.229</v>
      </c>
      <c r="N70">
        <v>1477.2919999999999</v>
      </c>
      <c r="O70">
        <v>1562.549</v>
      </c>
      <c r="P70">
        <v>1513.73</v>
      </c>
      <c r="R70" s="3">
        <f t="shared" si="6"/>
        <v>1477.6110000000001</v>
      </c>
      <c r="S70" s="3">
        <f t="shared" si="7"/>
        <v>34.093113986551572</v>
      </c>
    </row>
    <row r="71" spans="1:19" x14ac:dyDescent="0.25">
      <c r="A71">
        <v>76.25</v>
      </c>
      <c r="B71">
        <v>1607.7850000000001</v>
      </c>
      <c r="C71">
        <v>1651.3050000000001</v>
      </c>
      <c r="D71">
        <v>1511.376</v>
      </c>
      <c r="E71">
        <v>1763.4659999999999</v>
      </c>
      <c r="F71">
        <v>1815.5039999999999</v>
      </c>
      <c r="H71" s="2">
        <f t="shared" si="4"/>
        <v>1669.8872000000003</v>
      </c>
      <c r="I71" s="2">
        <f t="shared" si="5"/>
        <v>54.446775009544844</v>
      </c>
      <c r="K71">
        <v>76.25</v>
      </c>
      <c r="L71">
        <v>1480.9949999999999</v>
      </c>
      <c r="M71">
        <v>1560.4159999999999</v>
      </c>
      <c r="N71">
        <v>1570.2570000000001</v>
      </c>
      <c r="O71">
        <v>1653.5170000000001</v>
      </c>
      <c r="P71">
        <v>1646.0550000000001</v>
      </c>
      <c r="R71" s="3">
        <f t="shared" si="6"/>
        <v>1582.248</v>
      </c>
      <c r="S71" s="3">
        <f t="shared" si="7"/>
        <v>31.64110769552801</v>
      </c>
    </row>
    <row r="72" spans="1:19" x14ac:dyDescent="0.25">
      <c r="A72">
        <v>77.5</v>
      </c>
      <c r="B72">
        <v>1656.57</v>
      </c>
      <c r="C72">
        <v>1673.3869999999999</v>
      </c>
      <c r="D72">
        <v>1548.53</v>
      </c>
      <c r="E72">
        <v>1795.0250000000001</v>
      </c>
      <c r="F72">
        <v>1866.9480000000001</v>
      </c>
      <c r="H72" s="2">
        <f t="shared" si="4"/>
        <v>1708.0920000000001</v>
      </c>
      <c r="I72" s="2">
        <f t="shared" si="5"/>
        <v>55.727713293297825</v>
      </c>
      <c r="K72">
        <v>77.5</v>
      </c>
      <c r="L72">
        <v>1528.2249999999999</v>
      </c>
      <c r="M72">
        <v>1581.1890000000001</v>
      </c>
      <c r="N72">
        <v>1586.038</v>
      </c>
      <c r="O72">
        <v>1668.2729999999999</v>
      </c>
      <c r="P72">
        <v>1711.6949999999999</v>
      </c>
      <c r="R72" s="3">
        <f t="shared" si="6"/>
        <v>1615.0839999999998</v>
      </c>
      <c r="S72" s="3">
        <f t="shared" si="7"/>
        <v>32.939172776498189</v>
      </c>
    </row>
    <row r="73" spans="1:19" x14ac:dyDescent="0.25">
      <c r="A73">
        <v>78.75</v>
      </c>
      <c r="B73">
        <v>1598.1279999999999</v>
      </c>
      <c r="C73">
        <v>1640.674</v>
      </c>
      <c r="D73">
        <v>1501.875</v>
      </c>
      <c r="E73">
        <v>1787.8510000000001</v>
      </c>
      <c r="F73">
        <v>1811.4159999999999</v>
      </c>
      <c r="H73" s="2">
        <f t="shared" si="4"/>
        <v>1667.9887999999999</v>
      </c>
      <c r="I73" s="2">
        <f t="shared" si="5"/>
        <v>58.377535454487976</v>
      </c>
      <c r="K73">
        <v>78.75</v>
      </c>
      <c r="L73">
        <v>1477.616</v>
      </c>
      <c r="M73">
        <v>1574.338</v>
      </c>
      <c r="N73">
        <v>1549.53</v>
      </c>
      <c r="O73">
        <v>1647.4</v>
      </c>
      <c r="P73">
        <v>1661.904</v>
      </c>
      <c r="R73" s="3">
        <f t="shared" si="6"/>
        <v>1582.1576</v>
      </c>
      <c r="S73" s="3">
        <f t="shared" si="7"/>
        <v>33.668020158007522</v>
      </c>
    </row>
    <row r="74" spans="1:19" x14ac:dyDescent="0.25">
      <c r="A74">
        <v>80</v>
      </c>
      <c r="B74">
        <v>1538.364</v>
      </c>
      <c r="C74">
        <v>1659.5709999999999</v>
      </c>
      <c r="D74">
        <v>1466.981</v>
      </c>
      <c r="E74">
        <v>1809.27</v>
      </c>
      <c r="F74">
        <v>1761.8050000000001</v>
      </c>
      <c r="H74" s="2">
        <f t="shared" si="4"/>
        <v>1647.1982</v>
      </c>
      <c r="I74" s="2">
        <f t="shared" si="5"/>
        <v>64.760402796307559</v>
      </c>
      <c r="K74">
        <v>80</v>
      </c>
      <c r="L74">
        <v>1414.655</v>
      </c>
      <c r="M74">
        <v>1649.694</v>
      </c>
      <c r="N74">
        <v>1557.9110000000001</v>
      </c>
      <c r="O74">
        <v>1715.713</v>
      </c>
      <c r="P74">
        <v>1582.6780000000001</v>
      </c>
      <c r="R74" s="3">
        <f t="shared" si="6"/>
        <v>1584.1302000000001</v>
      </c>
      <c r="S74" s="3">
        <f t="shared" si="7"/>
        <v>50.509426780948523</v>
      </c>
    </row>
    <row r="75" spans="1:19" x14ac:dyDescent="0.25">
      <c r="A75">
        <v>81.25</v>
      </c>
      <c r="B75">
        <v>1700.9480000000001</v>
      </c>
      <c r="C75">
        <v>1891.585</v>
      </c>
      <c r="D75">
        <v>1648.6890000000001</v>
      </c>
      <c r="E75">
        <v>1915.1479999999999</v>
      </c>
      <c r="F75">
        <v>1956.3969999999999</v>
      </c>
      <c r="H75" s="2">
        <f t="shared" si="4"/>
        <v>1822.5534</v>
      </c>
      <c r="I75" s="2">
        <f t="shared" si="5"/>
        <v>61.753515651013714</v>
      </c>
      <c r="K75">
        <v>81.25</v>
      </c>
      <c r="L75">
        <v>1597.299</v>
      </c>
      <c r="M75">
        <v>1967.068</v>
      </c>
      <c r="N75">
        <v>1818.3510000000001</v>
      </c>
      <c r="O75">
        <v>1972.855</v>
      </c>
      <c r="P75">
        <v>1691.421</v>
      </c>
      <c r="R75" s="3">
        <f t="shared" si="6"/>
        <v>1809.3988000000002</v>
      </c>
      <c r="S75" s="3">
        <f t="shared" si="7"/>
        <v>74.351440566003831</v>
      </c>
    </row>
    <row r="76" spans="1:19" x14ac:dyDescent="0.25">
      <c r="A76">
        <v>82.5</v>
      </c>
      <c r="B76">
        <v>2319.1579999999999</v>
      </c>
      <c r="C76">
        <v>2432.819</v>
      </c>
      <c r="D76">
        <v>2135.8980000000001</v>
      </c>
      <c r="E76">
        <v>2115.1039999999998</v>
      </c>
      <c r="F76">
        <v>2521.5039999999999</v>
      </c>
      <c r="H76" s="2">
        <f t="shared" si="4"/>
        <v>2304.8966</v>
      </c>
      <c r="I76" s="2">
        <f t="shared" si="5"/>
        <v>80.021263268958691</v>
      </c>
      <c r="K76">
        <v>82.5</v>
      </c>
      <c r="L76">
        <v>2221.683</v>
      </c>
      <c r="M76">
        <v>2547.0529999999999</v>
      </c>
      <c r="N76">
        <v>2389.9659999999999</v>
      </c>
      <c r="O76">
        <v>2540.2510000000002</v>
      </c>
      <c r="P76">
        <v>2208.8539999999998</v>
      </c>
      <c r="R76" s="3">
        <f t="shared" si="6"/>
        <v>2381.5613999999996</v>
      </c>
      <c r="S76" s="3">
        <f t="shared" si="7"/>
        <v>73.494708966428362</v>
      </c>
    </row>
    <row r="77" spans="1:19" x14ac:dyDescent="0.25">
      <c r="A77">
        <v>83.75</v>
      </c>
      <c r="B77">
        <v>3167.393</v>
      </c>
      <c r="C77">
        <v>3063.3159999999998</v>
      </c>
      <c r="D77">
        <v>2779.2289999999998</v>
      </c>
      <c r="E77">
        <v>2360.1239999999998</v>
      </c>
      <c r="F77">
        <v>3306.6550000000002</v>
      </c>
      <c r="H77" s="2">
        <f t="shared" si="4"/>
        <v>2935.3434000000002</v>
      </c>
      <c r="I77" s="2">
        <f t="shared" si="5"/>
        <v>167.83107154654039</v>
      </c>
      <c r="K77">
        <v>83.75</v>
      </c>
      <c r="L77">
        <v>2994.0909999999999</v>
      </c>
      <c r="M77">
        <v>3163.49</v>
      </c>
      <c r="N77">
        <v>3052.4180000000001</v>
      </c>
      <c r="O77">
        <v>3145.029</v>
      </c>
      <c r="P77">
        <v>2956.31</v>
      </c>
      <c r="R77" s="3">
        <f t="shared" si="6"/>
        <v>3062.2676000000001</v>
      </c>
      <c r="S77" s="3">
        <f t="shared" si="7"/>
        <v>40.661714177589694</v>
      </c>
    </row>
    <row r="78" spans="1:19" x14ac:dyDescent="0.25">
      <c r="A78">
        <v>85</v>
      </c>
      <c r="B78">
        <v>3825.2750000000001</v>
      </c>
      <c r="C78">
        <v>3437.7510000000002</v>
      </c>
      <c r="D78">
        <v>3212.6819999999998</v>
      </c>
      <c r="E78">
        <v>2531.768</v>
      </c>
      <c r="F78">
        <v>3855.192</v>
      </c>
      <c r="H78" s="2">
        <f t="shared" si="4"/>
        <v>3372.5335999999998</v>
      </c>
      <c r="I78" s="2">
        <f t="shared" si="5"/>
        <v>242.34547074302998</v>
      </c>
      <c r="K78">
        <v>85</v>
      </c>
      <c r="L78">
        <v>3560.2040000000002</v>
      </c>
      <c r="M78">
        <v>3485.4389999999999</v>
      </c>
      <c r="N78">
        <v>3437.4929999999999</v>
      </c>
      <c r="O78">
        <v>3503.79</v>
      </c>
      <c r="P78">
        <v>3565.1289999999999</v>
      </c>
      <c r="R78" s="3">
        <f t="shared" si="6"/>
        <v>3510.4110000000001</v>
      </c>
      <c r="S78" s="3">
        <f t="shared" si="7"/>
        <v>23.935199520789485</v>
      </c>
    </row>
    <row r="79" spans="1:19" x14ac:dyDescent="0.25">
      <c r="A79">
        <v>86.25</v>
      </c>
      <c r="B79">
        <v>3951.732</v>
      </c>
      <c r="C79">
        <v>3407.4110000000001</v>
      </c>
      <c r="D79">
        <v>3257.328</v>
      </c>
      <c r="E79">
        <v>2555</v>
      </c>
      <c r="F79">
        <v>3904.1509999999998</v>
      </c>
      <c r="H79" s="2">
        <f t="shared" si="4"/>
        <v>3415.1243999999997</v>
      </c>
      <c r="I79" s="2">
        <f t="shared" si="5"/>
        <v>254.15230824775139</v>
      </c>
      <c r="K79">
        <v>86.25</v>
      </c>
      <c r="L79">
        <v>3672.8670000000002</v>
      </c>
      <c r="M79">
        <v>3453.7550000000001</v>
      </c>
      <c r="N79">
        <v>3471.8530000000001</v>
      </c>
      <c r="O79">
        <v>3496.3150000000001</v>
      </c>
      <c r="P79">
        <v>3705.2060000000001</v>
      </c>
      <c r="R79" s="3">
        <f t="shared" si="6"/>
        <v>3559.9991999999997</v>
      </c>
      <c r="S79" s="3">
        <f t="shared" si="7"/>
        <v>53.356075090283781</v>
      </c>
    </row>
    <row r="80" spans="1:19" x14ac:dyDescent="0.25">
      <c r="A80">
        <v>87.5</v>
      </c>
      <c r="B80">
        <v>3583.0120000000002</v>
      </c>
      <c r="C80">
        <v>3079.4290000000001</v>
      </c>
      <c r="D80">
        <v>2931.462</v>
      </c>
      <c r="E80">
        <v>2474.585</v>
      </c>
      <c r="F80">
        <v>3504.0569999999998</v>
      </c>
      <c r="H80" s="2">
        <f t="shared" si="4"/>
        <v>3114.5090000000005</v>
      </c>
      <c r="I80" s="2">
        <f t="shared" si="5"/>
        <v>201.92600646003746</v>
      </c>
      <c r="K80">
        <v>87.5</v>
      </c>
      <c r="L80">
        <v>3329.4450000000002</v>
      </c>
      <c r="M80">
        <v>3101.1129999999998</v>
      </c>
      <c r="N80">
        <v>3183.328</v>
      </c>
      <c r="O80">
        <v>3203.3409999999999</v>
      </c>
      <c r="P80">
        <v>3375.8409999999999</v>
      </c>
      <c r="R80" s="3">
        <f t="shared" si="6"/>
        <v>3238.6136000000001</v>
      </c>
      <c r="S80" s="3">
        <f t="shared" si="7"/>
        <v>50.144177835118626</v>
      </c>
    </row>
    <row r="81" spans="1:19" x14ac:dyDescent="0.25">
      <c r="A81">
        <v>88.75</v>
      </c>
      <c r="B81">
        <v>3017.6039999999998</v>
      </c>
      <c r="C81">
        <v>2707.37</v>
      </c>
      <c r="D81">
        <v>2533.2620000000002</v>
      </c>
      <c r="E81">
        <v>2390.0839999999998</v>
      </c>
      <c r="F81">
        <v>3047.4650000000001</v>
      </c>
      <c r="H81" s="2">
        <f t="shared" si="4"/>
        <v>2739.1570000000002</v>
      </c>
      <c r="I81" s="2">
        <f t="shared" si="5"/>
        <v>129.96954997152218</v>
      </c>
      <c r="K81">
        <v>88.75</v>
      </c>
      <c r="L81">
        <v>2820.2080000000001</v>
      </c>
      <c r="M81">
        <v>2707.268</v>
      </c>
      <c r="N81">
        <v>2831.232</v>
      </c>
      <c r="O81">
        <v>2856.03</v>
      </c>
      <c r="P81">
        <v>2887.6129999999998</v>
      </c>
      <c r="R81" s="3">
        <f t="shared" si="6"/>
        <v>2820.4702000000002</v>
      </c>
      <c r="S81" s="3">
        <f t="shared" si="7"/>
        <v>30.580449752088331</v>
      </c>
    </row>
    <row r="82" spans="1:19" x14ac:dyDescent="0.25">
      <c r="A82">
        <v>90</v>
      </c>
      <c r="B82">
        <v>2810.2840000000001</v>
      </c>
      <c r="C82">
        <v>2529.424</v>
      </c>
      <c r="D82">
        <v>2361.9740000000002</v>
      </c>
      <c r="E82">
        <v>2340.259</v>
      </c>
      <c r="F82">
        <v>2902.3209999999999</v>
      </c>
      <c r="H82" s="2">
        <f t="shared" si="4"/>
        <v>2588.8524000000002</v>
      </c>
      <c r="I82" s="2">
        <f t="shared" si="5"/>
        <v>114.91273608725881</v>
      </c>
      <c r="K82">
        <v>90</v>
      </c>
      <c r="L82">
        <v>2521.84</v>
      </c>
      <c r="M82">
        <v>2530.2049999999999</v>
      </c>
      <c r="N82">
        <v>2652.502</v>
      </c>
      <c r="O82">
        <v>2652.143</v>
      </c>
      <c r="P82">
        <v>2658.7139999999999</v>
      </c>
      <c r="R82" s="3">
        <f t="shared" si="6"/>
        <v>2603.0808000000002</v>
      </c>
      <c r="S82" s="3">
        <f t="shared" si="7"/>
        <v>31.50837764055774</v>
      </c>
    </row>
    <row r="83" spans="1:19" x14ac:dyDescent="0.25">
      <c r="A83">
        <v>91.25</v>
      </c>
      <c r="B83">
        <v>2960.444</v>
      </c>
      <c r="C83">
        <v>2533.5239999999999</v>
      </c>
      <c r="D83">
        <v>2397.518</v>
      </c>
      <c r="E83">
        <v>2379.2829999999999</v>
      </c>
      <c r="F83">
        <v>2965.0509999999999</v>
      </c>
      <c r="H83" s="2">
        <f t="shared" si="4"/>
        <v>2647.1639999999998</v>
      </c>
      <c r="I83" s="2">
        <f t="shared" si="5"/>
        <v>131.56631564462083</v>
      </c>
      <c r="K83">
        <v>91.25</v>
      </c>
      <c r="L83">
        <v>2610.4830000000002</v>
      </c>
      <c r="M83">
        <v>2548.7579999999998</v>
      </c>
      <c r="N83">
        <v>2642.4740000000002</v>
      </c>
      <c r="O83">
        <v>2642.32</v>
      </c>
      <c r="P83">
        <v>2736.373</v>
      </c>
      <c r="R83" s="3">
        <f t="shared" si="6"/>
        <v>2636.0816</v>
      </c>
      <c r="S83" s="3">
        <f t="shared" si="7"/>
        <v>30.347030139043291</v>
      </c>
    </row>
    <row r="84" spans="1:19" x14ac:dyDescent="0.25">
      <c r="A84">
        <v>92.5</v>
      </c>
      <c r="B84">
        <v>3154.8009999999999</v>
      </c>
      <c r="C84">
        <v>2570.2530000000002</v>
      </c>
      <c r="D84">
        <v>2464.4290000000001</v>
      </c>
      <c r="E84">
        <v>2550.087</v>
      </c>
      <c r="F84">
        <v>3042.3539999999998</v>
      </c>
      <c r="H84" s="2">
        <f t="shared" si="4"/>
        <v>2756.3847999999998</v>
      </c>
      <c r="I84" s="2">
        <f t="shared" si="5"/>
        <v>141.9429234200847</v>
      </c>
      <c r="K84">
        <v>92.5</v>
      </c>
      <c r="L84">
        <v>2833.2429999999999</v>
      </c>
      <c r="M84">
        <v>2626.5520000000001</v>
      </c>
      <c r="N84">
        <v>2691.1320000000001</v>
      </c>
      <c r="O84">
        <v>2726.3310000000001</v>
      </c>
      <c r="P84">
        <v>2859.1489999999999</v>
      </c>
      <c r="R84" s="3">
        <f t="shared" si="6"/>
        <v>2747.2813999999998</v>
      </c>
      <c r="S84" s="3">
        <f t="shared" si="7"/>
        <v>43.629702617139117</v>
      </c>
    </row>
    <row r="85" spans="1:19" x14ac:dyDescent="0.25">
      <c r="A85">
        <v>93.75</v>
      </c>
      <c r="B85">
        <v>3203.2289999999998</v>
      </c>
      <c r="C85">
        <v>2702.201</v>
      </c>
      <c r="D85">
        <v>2554.6909999999998</v>
      </c>
      <c r="E85">
        <v>2900.4670000000001</v>
      </c>
      <c r="F85">
        <v>3161.598</v>
      </c>
      <c r="H85" s="2">
        <f t="shared" si="4"/>
        <v>2904.4371999999998</v>
      </c>
      <c r="I85" s="2">
        <f t="shared" si="5"/>
        <v>126.22318810282046</v>
      </c>
      <c r="K85">
        <v>93.75</v>
      </c>
      <c r="L85">
        <v>2924.627</v>
      </c>
      <c r="M85">
        <v>2748.8980000000001</v>
      </c>
      <c r="N85">
        <v>2787.7660000000001</v>
      </c>
      <c r="O85">
        <v>2879.2719999999999</v>
      </c>
      <c r="P85">
        <v>2950.0749999999998</v>
      </c>
      <c r="R85" s="3">
        <f t="shared" si="6"/>
        <v>2858.1275999999998</v>
      </c>
      <c r="S85" s="3">
        <f t="shared" si="7"/>
        <v>38.862218470643121</v>
      </c>
    </row>
    <row r="86" spans="1:19" x14ac:dyDescent="0.25">
      <c r="A86">
        <v>95</v>
      </c>
      <c r="B86">
        <v>3276.625</v>
      </c>
      <c r="C86">
        <v>3042.18</v>
      </c>
      <c r="D86">
        <v>2786.7190000000001</v>
      </c>
      <c r="E86">
        <v>3357.877</v>
      </c>
      <c r="F86">
        <v>3445.93</v>
      </c>
      <c r="H86" s="2">
        <f t="shared" si="4"/>
        <v>3181.8662000000004</v>
      </c>
      <c r="I86" s="2">
        <f t="shared" si="5"/>
        <v>119.4450221865273</v>
      </c>
      <c r="K86">
        <v>95</v>
      </c>
      <c r="L86">
        <v>2985.9009999999998</v>
      </c>
      <c r="M86">
        <v>3018.538</v>
      </c>
      <c r="N86">
        <v>2998.3040000000001</v>
      </c>
      <c r="O86">
        <v>3172.6790000000001</v>
      </c>
      <c r="P86">
        <v>3140.6289999999999</v>
      </c>
      <c r="R86" s="3">
        <f t="shared" si="6"/>
        <v>3063.2102</v>
      </c>
      <c r="S86" s="3">
        <f t="shared" si="7"/>
        <v>38.834405765248952</v>
      </c>
    </row>
    <row r="87" spans="1:19" x14ac:dyDescent="0.25">
      <c r="A87">
        <v>96.25</v>
      </c>
      <c r="B87">
        <v>3483.08</v>
      </c>
      <c r="C87">
        <v>3500.2890000000002</v>
      </c>
      <c r="D87">
        <v>3168.14</v>
      </c>
      <c r="E87">
        <v>3820.8519999999999</v>
      </c>
      <c r="F87">
        <v>3842.6370000000002</v>
      </c>
      <c r="H87" s="2">
        <f t="shared" si="4"/>
        <v>3562.9996000000001</v>
      </c>
      <c r="I87" s="2">
        <f t="shared" si="5"/>
        <v>124.68335919303748</v>
      </c>
      <c r="K87">
        <v>96.25</v>
      </c>
      <c r="L87">
        <v>3195.9789999999998</v>
      </c>
      <c r="M87">
        <v>3400.3829999999998</v>
      </c>
      <c r="N87">
        <v>3342.5390000000002</v>
      </c>
      <c r="O87">
        <v>3578.335</v>
      </c>
      <c r="P87">
        <v>3527.9490000000001</v>
      </c>
      <c r="R87" s="3">
        <f t="shared" si="6"/>
        <v>3409.0370000000003</v>
      </c>
      <c r="S87" s="3">
        <f t="shared" si="7"/>
        <v>68.078066817441311</v>
      </c>
    </row>
    <row r="88" spans="1:19" x14ac:dyDescent="0.25">
      <c r="A88">
        <v>97.5</v>
      </c>
      <c r="B88">
        <v>3769.2689999999998</v>
      </c>
      <c r="C88">
        <v>3858.288</v>
      </c>
      <c r="D88">
        <v>3469.5010000000002</v>
      </c>
      <c r="E88">
        <v>4172.5619999999999</v>
      </c>
      <c r="F88">
        <v>4252.5810000000001</v>
      </c>
      <c r="H88" s="2">
        <f t="shared" si="4"/>
        <v>3904.4402</v>
      </c>
      <c r="I88" s="2">
        <f t="shared" si="5"/>
        <v>141.89163168256258</v>
      </c>
      <c r="K88">
        <v>97.5</v>
      </c>
      <c r="L88">
        <v>3484.3580000000002</v>
      </c>
      <c r="M88">
        <v>3731.2089999999998</v>
      </c>
      <c r="N88">
        <v>3684.306</v>
      </c>
      <c r="O88">
        <v>3907.614</v>
      </c>
      <c r="P88">
        <v>3941.3789999999999</v>
      </c>
      <c r="R88" s="3">
        <f t="shared" si="6"/>
        <v>3749.7731999999996</v>
      </c>
      <c r="S88" s="3">
        <f t="shared" si="7"/>
        <v>82.674758217608314</v>
      </c>
    </row>
    <row r="89" spans="1:19" x14ac:dyDescent="0.25">
      <c r="A89">
        <v>98.75</v>
      </c>
      <c r="B89">
        <v>3975.5839999999998</v>
      </c>
      <c r="C89">
        <v>4043.01</v>
      </c>
      <c r="D89">
        <v>3680.893</v>
      </c>
      <c r="E89">
        <v>4365.1369999999997</v>
      </c>
      <c r="F89">
        <v>4476.13</v>
      </c>
      <c r="H89" s="2">
        <f t="shared" si="4"/>
        <v>4108.1508000000003</v>
      </c>
      <c r="I89" s="2">
        <f t="shared" si="5"/>
        <v>142.44597336723842</v>
      </c>
      <c r="K89">
        <v>98.75</v>
      </c>
      <c r="L89">
        <v>3671.0790000000002</v>
      </c>
      <c r="M89">
        <v>3926.5070000000001</v>
      </c>
      <c r="N89">
        <v>3903.5990000000002</v>
      </c>
      <c r="O89">
        <v>4105.6009999999997</v>
      </c>
      <c r="P89">
        <v>4134.5680000000002</v>
      </c>
      <c r="R89" s="3">
        <f t="shared" si="6"/>
        <v>3948.2707999999998</v>
      </c>
      <c r="S89" s="3">
        <f t="shared" si="7"/>
        <v>83.295847811520545</v>
      </c>
    </row>
    <row r="90" spans="1:19" x14ac:dyDescent="0.25">
      <c r="A90">
        <v>100</v>
      </c>
      <c r="B90">
        <v>4059.1210000000001</v>
      </c>
      <c r="C90">
        <v>4051.3040000000001</v>
      </c>
      <c r="D90">
        <v>3732.2730000000001</v>
      </c>
      <c r="E90">
        <v>4366.0550000000003</v>
      </c>
      <c r="F90">
        <v>4525.393</v>
      </c>
      <c r="H90" s="2">
        <f t="shared" si="4"/>
        <v>4146.8292000000001</v>
      </c>
      <c r="I90" s="2">
        <f t="shared" si="5"/>
        <v>137.84867376888323</v>
      </c>
      <c r="K90">
        <v>100</v>
      </c>
      <c r="L90">
        <v>3780.3850000000002</v>
      </c>
      <c r="M90">
        <v>3977.4969999999998</v>
      </c>
      <c r="N90">
        <v>3990.1930000000002</v>
      </c>
      <c r="O90">
        <v>4138.2889999999998</v>
      </c>
      <c r="P90">
        <v>4224.7150000000001</v>
      </c>
      <c r="R90" s="3">
        <f t="shared" si="6"/>
        <v>4022.2158000000004</v>
      </c>
      <c r="S90" s="3">
        <f t="shared" si="7"/>
        <v>76.153227239822172</v>
      </c>
    </row>
    <row r="91" spans="1:19" x14ac:dyDescent="0.25">
      <c r="A91">
        <v>101.25</v>
      </c>
      <c r="B91">
        <v>3989.0230000000001</v>
      </c>
      <c r="C91">
        <v>3907.0729999999999</v>
      </c>
      <c r="D91">
        <v>3665.0549999999998</v>
      </c>
      <c r="E91">
        <v>4184.6279999999997</v>
      </c>
      <c r="F91">
        <v>4367.2960000000003</v>
      </c>
      <c r="H91" s="2">
        <f t="shared" si="4"/>
        <v>4022.6149999999993</v>
      </c>
      <c r="I91" s="2">
        <f t="shared" si="5"/>
        <v>119.87091677258505</v>
      </c>
      <c r="K91">
        <v>101.25</v>
      </c>
      <c r="L91">
        <v>3775.1109999999999</v>
      </c>
      <c r="M91">
        <v>3907.22</v>
      </c>
      <c r="N91">
        <v>3919.3310000000001</v>
      </c>
      <c r="O91">
        <v>4023.826</v>
      </c>
      <c r="P91">
        <v>4167.2120000000004</v>
      </c>
      <c r="R91" s="3">
        <f t="shared" si="6"/>
        <v>3958.54</v>
      </c>
      <c r="S91" s="3">
        <f t="shared" si="7"/>
        <v>65.430708196534241</v>
      </c>
    </row>
    <row r="92" spans="1:19" x14ac:dyDescent="0.25">
      <c r="A92">
        <v>102.5</v>
      </c>
      <c r="B92">
        <v>3747.3890000000001</v>
      </c>
      <c r="C92">
        <v>3579.2049999999999</v>
      </c>
      <c r="D92">
        <v>3386.4250000000002</v>
      </c>
      <c r="E92">
        <v>3836.0770000000002</v>
      </c>
      <c r="F92">
        <v>3968.7429999999999</v>
      </c>
      <c r="H92" s="2">
        <f t="shared" si="4"/>
        <v>3703.5677999999998</v>
      </c>
      <c r="I92" s="2">
        <f t="shared" si="5"/>
        <v>101.4501192618323</v>
      </c>
      <c r="K92">
        <v>102.5</v>
      </c>
      <c r="L92">
        <v>3611.6370000000002</v>
      </c>
      <c r="M92">
        <v>3653.5039999999999</v>
      </c>
      <c r="N92">
        <v>3670.0239999999999</v>
      </c>
      <c r="O92">
        <v>3748.9789999999998</v>
      </c>
      <c r="P92">
        <v>3904.511</v>
      </c>
      <c r="R92" s="3">
        <f t="shared" si="6"/>
        <v>3717.7309999999998</v>
      </c>
      <c r="S92" s="3">
        <f t="shared" si="7"/>
        <v>51.730169204246735</v>
      </c>
    </row>
    <row r="93" spans="1:19" x14ac:dyDescent="0.25">
      <c r="A93">
        <v>103.75</v>
      </c>
      <c r="B93">
        <v>3314.3040000000001</v>
      </c>
      <c r="C93">
        <v>3128.1559999999999</v>
      </c>
      <c r="D93">
        <v>2938.24</v>
      </c>
      <c r="E93">
        <v>3438.2350000000001</v>
      </c>
      <c r="F93">
        <v>3415.22</v>
      </c>
      <c r="H93" s="2">
        <f t="shared" si="4"/>
        <v>3246.8310000000001</v>
      </c>
      <c r="I93" s="2">
        <f t="shared" si="5"/>
        <v>94.566144357269891</v>
      </c>
      <c r="K93">
        <v>103.75</v>
      </c>
      <c r="L93">
        <v>3257.0540000000001</v>
      </c>
      <c r="M93">
        <v>3242.1529999999998</v>
      </c>
      <c r="N93">
        <v>3312.3069999999998</v>
      </c>
      <c r="O93">
        <v>3352.962</v>
      </c>
      <c r="P93">
        <v>3410.0819999999999</v>
      </c>
      <c r="R93" s="3">
        <f t="shared" si="6"/>
        <v>3314.9115999999995</v>
      </c>
      <c r="S93" s="3">
        <f t="shared" si="7"/>
        <v>30.946193359765587</v>
      </c>
    </row>
    <row r="94" spans="1:19" x14ac:dyDescent="0.25">
      <c r="A94">
        <v>105</v>
      </c>
      <c r="B94">
        <v>2907.1640000000002</v>
      </c>
      <c r="C94">
        <v>2775.14</v>
      </c>
      <c r="D94">
        <v>2570.123</v>
      </c>
      <c r="E94">
        <v>3107.636</v>
      </c>
      <c r="F94">
        <v>2985.9670000000001</v>
      </c>
      <c r="H94" s="2">
        <f t="shared" si="4"/>
        <v>2869.2060000000001</v>
      </c>
      <c r="I94" s="2">
        <f t="shared" si="5"/>
        <v>92.255584933921469</v>
      </c>
      <c r="K94">
        <v>105</v>
      </c>
      <c r="L94">
        <v>2850.623</v>
      </c>
      <c r="M94">
        <v>2878.944</v>
      </c>
      <c r="N94">
        <v>2973.7849999999999</v>
      </c>
      <c r="O94">
        <v>3015.9050000000002</v>
      </c>
      <c r="P94">
        <v>2976.5059999999999</v>
      </c>
      <c r="R94" s="3">
        <f t="shared" si="6"/>
        <v>2939.1525999999999</v>
      </c>
      <c r="S94" s="3">
        <f t="shared" si="7"/>
        <v>31.581779649981733</v>
      </c>
    </row>
    <row r="95" spans="1:19" x14ac:dyDescent="0.25">
      <c r="A95">
        <v>106.25</v>
      </c>
      <c r="B95">
        <v>2644.2049999999999</v>
      </c>
      <c r="C95">
        <v>2564.9540000000002</v>
      </c>
      <c r="D95">
        <v>2352.5329999999999</v>
      </c>
      <c r="E95">
        <v>2864.5059999999999</v>
      </c>
      <c r="F95">
        <v>2736.1489999999999</v>
      </c>
      <c r="H95" s="2">
        <f t="shared" si="4"/>
        <v>2632.4693999999995</v>
      </c>
      <c r="I95" s="2">
        <f t="shared" si="5"/>
        <v>85.921733218435463</v>
      </c>
      <c r="K95">
        <v>106.25</v>
      </c>
      <c r="L95">
        <v>2592.8760000000002</v>
      </c>
      <c r="M95">
        <v>2647.28</v>
      </c>
      <c r="N95">
        <v>2724.125</v>
      </c>
      <c r="O95">
        <v>2782.877</v>
      </c>
      <c r="P95">
        <v>2729.4160000000002</v>
      </c>
      <c r="R95" s="3">
        <f t="shared" si="6"/>
        <v>2695.3148000000001</v>
      </c>
      <c r="S95" s="3">
        <f t="shared" si="7"/>
        <v>33.512018807287589</v>
      </c>
    </row>
    <row r="96" spans="1:19" x14ac:dyDescent="0.25">
      <c r="A96">
        <v>107.5</v>
      </c>
      <c r="B96">
        <v>2460.2339999999999</v>
      </c>
      <c r="C96">
        <v>2398.7649999999999</v>
      </c>
      <c r="D96">
        <v>2187.3649999999998</v>
      </c>
      <c r="E96">
        <v>2672.8220000000001</v>
      </c>
      <c r="F96">
        <v>2541.723</v>
      </c>
      <c r="H96" s="2">
        <f t="shared" si="4"/>
        <v>2452.1817999999998</v>
      </c>
      <c r="I96" s="2">
        <f t="shared" si="5"/>
        <v>80.543731712281669</v>
      </c>
      <c r="K96">
        <v>107.5</v>
      </c>
      <c r="L96">
        <v>2415.6320000000001</v>
      </c>
      <c r="M96">
        <v>2480.42</v>
      </c>
      <c r="N96">
        <v>2533.1610000000001</v>
      </c>
      <c r="O96">
        <v>2606.4589999999998</v>
      </c>
      <c r="P96">
        <v>2528.4070000000002</v>
      </c>
      <c r="R96" s="3">
        <f t="shared" si="6"/>
        <v>2512.8157999999994</v>
      </c>
      <c r="S96" s="3">
        <f t="shared" si="7"/>
        <v>31.559658130911334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BRIGHT</vt:lpstr>
      <vt:lpstr>BRIGHT!OCT_RAW___\AD02_fovea_offcenter\_dark_profiles_AD02_DARK</vt:lpstr>
      <vt:lpstr>BRIGHT!OCT_RAW___\AD02_fovea_offcenter\_light_profiles_AD02_LIGHT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2019-11-17T01:31:50Z</dcterms:modified>
</cp:coreProperties>
</file>