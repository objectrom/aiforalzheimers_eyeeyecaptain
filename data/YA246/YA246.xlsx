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246\"/>
    </mc:Choice>
  </mc:AlternateContent>
  <xr:revisionPtr revIDLastSave="0" documentId="13_ncr:1_{7856E79E-57D4-4EF5-9153-CF4A1DFC46E6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DIM" sheetId="1" r:id="rId1"/>
    <sheet name="BRIGHT" sheetId="2" r:id="rId2"/>
  </sheets>
  <definedNames>
    <definedName name="OCT_RAW___\YA01\_dark_profiles_YA01_DARK" localSheetId="1">BRIGHT!$A$2:$O$96</definedName>
    <definedName name="OCT_RAW___\YA01\_dark_profiles_YA01_DARK_dim" localSheetId="0">DIM!$A$2:$F$96</definedName>
    <definedName name="OCT_RAW___\YA01\_fovea_dark_profiles_YA01_DARK" localSheetId="1">BRIGHT!#REF!</definedName>
    <definedName name="OCT_RAW___\YA01\_fovea_dark_profiles_YA01_DARK_dim" localSheetId="0">DIM!#REF!</definedName>
    <definedName name="OCT_RAW___\YA01\_fovea_light_profiles_YA01_LIGHT" localSheetId="1">BRIGHT!#REF!</definedName>
    <definedName name="OCT_RAW___\YA01\_fovea_light_profiles_YA01_LIGHT_dim" localSheetId="0">DIM!#REF!</definedName>
    <definedName name="OCT_RAW___\YA01\_light_profiles_YA01_LIGHT" localSheetId="1">BRIGHT!$U$2:$AG$96</definedName>
    <definedName name="OCT_RAW___\YA01\_light_profiles_YA01_LIGHT_dim" localSheetId="0">DIM!$K$2:$O$96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6" i="2" l="1"/>
  <c r="AL96" i="2"/>
  <c r="S96" i="2"/>
  <c r="R96" i="2"/>
  <c r="AM95" i="2"/>
  <c r="AL95" i="2"/>
  <c r="S95" i="2"/>
  <c r="R95" i="2"/>
  <c r="AM94" i="2"/>
  <c r="AL94" i="2"/>
  <c r="S94" i="2"/>
  <c r="R94" i="2"/>
  <c r="AM93" i="2"/>
  <c r="AL93" i="2"/>
  <c r="S93" i="2"/>
  <c r="R93" i="2"/>
  <c r="AM92" i="2"/>
  <c r="AL92" i="2"/>
  <c r="S92" i="2"/>
  <c r="R92" i="2"/>
  <c r="AM91" i="2"/>
  <c r="AL91" i="2"/>
  <c r="S91" i="2"/>
  <c r="R91" i="2"/>
  <c r="AM90" i="2"/>
  <c r="AL90" i="2"/>
  <c r="S90" i="2"/>
  <c r="R90" i="2"/>
  <c r="AM89" i="2"/>
  <c r="AL89" i="2"/>
  <c r="S89" i="2"/>
  <c r="R89" i="2"/>
  <c r="AM88" i="2"/>
  <c r="AL88" i="2"/>
  <c r="S88" i="2"/>
  <c r="R88" i="2"/>
  <c r="AM87" i="2"/>
  <c r="AL87" i="2"/>
  <c r="S87" i="2"/>
  <c r="R87" i="2"/>
  <c r="AM86" i="2"/>
  <c r="AL86" i="2"/>
  <c r="S86" i="2"/>
  <c r="R86" i="2"/>
  <c r="AM85" i="2"/>
  <c r="AL85" i="2"/>
  <c r="S85" i="2"/>
  <c r="R85" i="2"/>
  <c r="AM84" i="2"/>
  <c r="AL84" i="2"/>
  <c r="S84" i="2"/>
  <c r="R84" i="2"/>
  <c r="AM83" i="2"/>
  <c r="AL83" i="2"/>
  <c r="S83" i="2"/>
  <c r="R83" i="2"/>
  <c r="AM82" i="2"/>
  <c r="AL82" i="2"/>
  <c r="S82" i="2"/>
  <c r="R82" i="2"/>
  <c r="AM81" i="2"/>
  <c r="AL81" i="2"/>
  <c r="S81" i="2"/>
  <c r="R81" i="2"/>
  <c r="AM80" i="2"/>
  <c r="AL80" i="2"/>
  <c r="S80" i="2"/>
  <c r="R80" i="2"/>
  <c r="AM79" i="2"/>
  <c r="AL79" i="2"/>
  <c r="S79" i="2"/>
  <c r="R79" i="2"/>
  <c r="AM78" i="2"/>
  <c r="AL78" i="2"/>
  <c r="S78" i="2"/>
  <c r="R78" i="2"/>
  <c r="AM77" i="2"/>
  <c r="AL77" i="2"/>
  <c r="S77" i="2"/>
  <c r="R77" i="2"/>
  <c r="AM76" i="2"/>
  <c r="AL76" i="2"/>
  <c r="S76" i="2"/>
  <c r="R76" i="2"/>
  <c r="AM75" i="2"/>
  <c r="AL75" i="2"/>
  <c r="S75" i="2"/>
  <c r="R75" i="2"/>
  <c r="AM74" i="2"/>
  <c r="AL74" i="2"/>
  <c r="S74" i="2"/>
  <c r="R74" i="2"/>
  <c r="AM73" i="2"/>
  <c r="AL73" i="2"/>
  <c r="S73" i="2"/>
  <c r="R73" i="2"/>
  <c r="AM72" i="2"/>
  <c r="AL72" i="2"/>
  <c r="S72" i="2"/>
  <c r="R72" i="2"/>
  <c r="AM71" i="2"/>
  <c r="AL71" i="2"/>
  <c r="S71" i="2"/>
  <c r="R71" i="2"/>
  <c r="AM70" i="2"/>
  <c r="AL70" i="2"/>
  <c r="S70" i="2"/>
  <c r="R70" i="2"/>
  <c r="AM69" i="2"/>
  <c r="AL69" i="2"/>
  <c r="S69" i="2"/>
  <c r="R69" i="2"/>
  <c r="AM68" i="2"/>
  <c r="AL68" i="2"/>
  <c r="S68" i="2"/>
  <c r="R68" i="2"/>
  <c r="AM67" i="2"/>
  <c r="AL67" i="2"/>
  <c r="S67" i="2"/>
  <c r="R67" i="2"/>
  <c r="AM66" i="2"/>
  <c r="AL66" i="2"/>
  <c r="S66" i="2"/>
  <c r="R66" i="2"/>
  <c r="AM65" i="2"/>
  <c r="AL65" i="2"/>
  <c r="S65" i="2"/>
  <c r="R65" i="2"/>
  <c r="AM64" i="2"/>
  <c r="AL64" i="2"/>
  <c r="S64" i="2"/>
  <c r="R64" i="2"/>
  <c r="AM63" i="2"/>
  <c r="AL63" i="2"/>
  <c r="S63" i="2"/>
  <c r="R63" i="2"/>
  <c r="AM62" i="2"/>
  <c r="AL62" i="2"/>
  <c r="S62" i="2"/>
  <c r="R62" i="2"/>
  <c r="AM61" i="2"/>
  <c r="AL61" i="2"/>
  <c r="S61" i="2"/>
  <c r="R61" i="2"/>
  <c r="AM60" i="2"/>
  <c r="AL60" i="2"/>
  <c r="S60" i="2"/>
  <c r="R60" i="2"/>
  <c r="AM59" i="2"/>
  <c r="AL59" i="2"/>
  <c r="S59" i="2"/>
  <c r="R59" i="2"/>
  <c r="AM58" i="2"/>
  <c r="AL58" i="2"/>
  <c r="S58" i="2"/>
  <c r="R58" i="2"/>
  <c r="AM57" i="2"/>
  <c r="AL57" i="2"/>
  <c r="S57" i="2"/>
  <c r="R57" i="2"/>
  <c r="AM56" i="2"/>
  <c r="AL56" i="2"/>
  <c r="S56" i="2"/>
  <c r="R56" i="2"/>
  <c r="AM55" i="2"/>
  <c r="AL55" i="2"/>
  <c r="S55" i="2"/>
  <c r="R55" i="2"/>
  <c r="AM54" i="2"/>
  <c r="AL54" i="2"/>
  <c r="S54" i="2"/>
  <c r="R54" i="2"/>
  <c r="AM53" i="2"/>
  <c r="AL53" i="2"/>
  <c r="S53" i="2"/>
  <c r="R53" i="2"/>
  <c r="AM52" i="2"/>
  <c r="AL52" i="2"/>
  <c r="S52" i="2"/>
  <c r="R52" i="2"/>
  <c r="AM51" i="2"/>
  <c r="AL51" i="2"/>
  <c r="S51" i="2"/>
  <c r="R51" i="2"/>
  <c r="AM50" i="2"/>
  <c r="AL50" i="2"/>
  <c r="S50" i="2"/>
  <c r="R50" i="2"/>
  <c r="AM49" i="2"/>
  <c r="AL49" i="2"/>
  <c r="S49" i="2"/>
  <c r="R49" i="2"/>
  <c r="AM48" i="2"/>
  <c r="AL48" i="2"/>
  <c r="S48" i="2"/>
  <c r="R48" i="2"/>
  <c r="AM47" i="2"/>
  <c r="AL47" i="2"/>
  <c r="S47" i="2"/>
  <c r="R47" i="2"/>
  <c r="AM46" i="2"/>
  <c r="AL46" i="2"/>
  <c r="S46" i="2"/>
  <c r="R46" i="2"/>
  <c r="AM45" i="2"/>
  <c r="AL45" i="2"/>
  <c r="S45" i="2"/>
  <c r="R45" i="2"/>
  <c r="AM44" i="2"/>
  <c r="AL44" i="2"/>
  <c r="S44" i="2"/>
  <c r="R44" i="2"/>
  <c r="AM43" i="2"/>
  <c r="AL43" i="2"/>
  <c r="S43" i="2"/>
  <c r="R43" i="2"/>
  <c r="AM42" i="2"/>
  <c r="AL42" i="2"/>
  <c r="S42" i="2"/>
  <c r="R42" i="2"/>
  <c r="AM41" i="2"/>
  <c r="AL41" i="2"/>
  <c r="S41" i="2"/>
  <c r="R41" i="2"/>
  <c r="AM40" i="2"/>
  <c r="AL40" i="2"/>
  <c r="S40" i="2"/>
  <c r="R40" i="2"/>
  <c r="AM39" i="2"/>
  <c r="AL39" i="2"/>
  <c r="S39" i="2"/>
  <c r="R39" i="2"/>
  <c r="AM38" i="2"/>
  <c r="AL38" i="2"/>
  <c r="S38" i="2"/>
  <c r="R38" i="2"/>
  <c r="AM37" i="2"/>
  <c r="AL37" i="2"/>
  <c r="S37" i="2"/>
  <c r="R37" i="2"/>
  <c r="AM36" i="2"/>
  <c r="AL36" i="2"/>
  <c r="S36" i="2"/>
  <c r="R36" i="2"/>
  <c r="AM35" i="2"/>
  <c r="AL35" i="2"/>
  <c r="S35" i="2"/>
  <c r="R35" i="2"/>
  <c r="AM34" i="2"/>
  <c r="AL34" i="2"/>
  <c r="S34" i="2"/>
  <c r="R34" i="2"/>
  <c r="AM33" i="2"/>
  <c r="AL33" i="2"/>
  <c r="S33" i="2"/>
  <c r="R33" i="2"/>
  <c r="AM32" i="2"/>
  <c r="AL32" i="2"/>
  <c r="S32" i="2"/>
  <c r="R32" i="2"/>
  <c r="AM31" i="2"/>
  <c r="AL31" i="2"/>
  <c r="S31" i="2"/>
  <c r="R31" i="2"/>
  <c r="AM30" i="2"/>
  <c r="AL30" i="2"/>
  <c r="S30" i="2"/>
  <c r="R30" i="2"/>
  <c r="AM29" i="2"/>
  <c r="AL29" i="2"/>
  <c r="S29" i="2"/>
  <c r="R29" i="2"/>
  <c r="AM28" i="2"/>
  <c r="AL28" i="2"/>
  <c r="S28" i="2"/>
  <c r="R28" i="2"/>
  <c r="AM27" i="2"/>
  <c r="AL27" i="2"/>
  <c r="S27" i="2"/>
  <c r="R27" i="2"/>
  <c r="AM26" i="2"/>
  <c r="AL26" i="2"/>
  <c r="S26" i="2"/>
  <c r="R26" i="2"/>
  <c r="AM25" i="2"/>
  <c r="AL25" i="2"/>
  <c r="S25" i="2"/>
  <c r="R25" i="2"/>
  <c r="AM24" i="2"/>
  <c r="AL24" i="2"/>
  <c r="S24" i="2"/>
  <c r="R24" i="2"/>
  <c r="AM23" i="2"/>
  <c r="AL23" i="2"/>
  <c r="S23" i="2"/>
  <c r="R23" i="2"/>
  <c r="AM22" i="2"/>
  <c r="AL22" i="2"/>
  <c r="S22" i="2"/>
  <c r="R22" i="2"/>
  <c r="AM21" i="2"/>
  <c r="AL21" i="2"/>
  <c r="S21" i="2"/>
  <c r="R21" i="2"/>
  <c r="AM20" i="2"/>
  <c r="AL20" i="2"/>
  <c r="S20" i="2"/>
  <c r="R20" i="2"/>
  <c r="AM19" i="2"/>
  <c r="AL19" i="2"/>
  <c r="S19" i="2"/>
  <c r="R19" i="2"/>
  <c r="AM18" i="2"/>
  <c r="AL18" i="2"/>
  <c r="S18" i="2"/>
  <c r="R18" i="2"/>
  <c r="AM17" i="2"/>
  <c r="AL17" i="2"/>
  <c r="S17" i="2"/>
  <c r="R17" i="2"/>
  <c r="AM16" i="2"/>
  <c r="AL16" i="2"/>
  <c r="S16" i="2"/>
  <c r="R16" i="2"/>
  <c r="AM15" i="2"/>
  <c r="AL15" i="2"/>
  <c r="S15" i="2"/>
  <c r="R15" i="2"/>
  <c r="AM14" i="2"/>
  <c r="AL14" i="2"/>
  <c r="S14" i="2"/>
  <c r="R14" i="2"/>
  <c r="AM13" i="2"/>
  <c r="AL13" i="2"/>
  <c r="S13" i="2"/>
  <c r="R13" i="2"/>
  <c r="AM12" i="2"/>
  <c r="AL12" i="2"/>
  <c r="S12" i="2"/>
  <c r="R12" i="2"/>
  <c r="AM11" i="2"/>
  <c r="AL11" i="2"/>
  <c r="S11" i="2"/>
  <c r="R11" i="2"/>
  <c r="AM10" i="2"/>
  <c r="AL10" i="2"/>
  <c r="S10" i="2"/>
  <c r="R10" i="2"/>
  <c r="AM9" i="2"/>
  <c r="AL9" i="2"/>
  <c r="S9" i="2"/>
  <c r="R9" i="2"/>
  <c r="AM8" i="2"/>
  <c r="AL8" i="2"/>
  <c r="S8" i="2"/>
  <c r="R8" i="2"/>
  <c r="AM7" i="2"/>
  <c r="AL7" i="2"/>
  <c r="S7" i="2"/>
  <c r="R7" i="2"/>
  <c r="AM6" i="2"/>
  <c r="AL6" i="2"/>
  <c r="S6" i="2"/>
  <c r="R6" i="2"/>
  <c r="AM5" i="2"/>
  <c r="AL5" i="2"/>
  <c r="S5" i="2"/>
  <c r="R5" i="2"/>
  <c r="AM4" i="2"/>
  <c r="AL4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A7658-7A1B-4C17-9CF0-B92DC3AAFBF7}" name="[[[OCT RAW]]]\YA01\_dark_profiles_YA01_DARK" type="6" refreshedVersion="6" background="1" saveData="1">
    <textPr codePage="437" sourceFile="E:\[Documents]\[[[OCT RAW]]]\YA01\_dark_profiles_YA01_DARK.txt" space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1BC0C3C-D775-4B3B-ACBD-5BE52347C533}" name="[[[OCT RAW]]]\YA01\_dark_profiles_YA01_DARK-dim" type="6" refreshedVersion="6" background="1" saveData="1">
    <textPr codePage="437" sourceFile="E:\[Documents]\[[[OCT RAW]]]\YA01\_dark_profiles_YA01_DARK-dim.txt" space="1" consecutive="1">
      <textFields count="6">
        <textField/>
        <textField/>
        <textField/>
        <textField/>
        <textField/>
        <textField/>
      </textFields>
    </textPr>
  </connection>
  <connection id="3" xr16:uid="{2F8DF0CE-27CB-4FC3-BC8D-CBA1088B6D41}" name="[[[OCT RAW]]]\YA01\_light_profiles_YA01_LIGHT" type="6" refreshedVersion="6" background="1" saveData="1">
    <textPr codePage="437" sourceFile="E:\[Documents]\[[[OCT RAW]]]\YA01\_light_profiles_YA01_LIGHT.txt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C905F524-9A63-4140-8B25-B9B5F06DB373}" name="[[[OCT RAW]]]\YA01\_light_profiles_YA01_LIGHT-dim" type="6" refreshedVersion="6" background="1" saveData="1">
    <textPr codePage="437" sourceFile="E:\[Documents]\[[[OCT RAW]]]\YA01\_light_profiles_YA01_LIGHT-dim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<sst xmlns="http://schemas.openxmlformats.org/spreadsheetml/2006/main" count="24" uniqueCount="10">
  <si>
    <t>angle</t>
  </si>
  <si>
    <t>whole</t>
  </si>
  <si>
    <t>RPEtoOLM</t>
  </si>
  <si>
    <t>RNFL</t>
  </si>
  <si>
    <t>DARK 500 microns to 2750 microns</t>
  </si>
  <si>
    <t>LIGHT 500 microns to 2750 microns</t>
  </si>
  <si>
    <t>YA246_DARK</t>
  </si>
  <si>
    <t>YA246_LIGHT</t>
  </si>
  <si>
    <t>YA246_DARK-dim</t>
  </si>
  <si>
    <t>YA246_LIGHT-dim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</si>
</sst>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1038.3905999999999</c:v>
                </c:pt>
                <c:pt idx="1">
                  <c:v>1261.6021999999998</c:v>
                </c:pt>
                <c:pt idx="2">
                  <c:v>1784.8220000000001</c:v>
                </c:pt>
                <c:pt idx="3">
                  <c:v>2474.7323999999999</c:v>
                </c:pt>
                <c:pt idx="4">
                  <c:v>3192.4110000000001</c:v>
                </c:pt>
                <c:pt idx="5">
                  <c:v>3599.0915999999997</c:v>
                </c:pt>
                <c:pt idx="6">
                  <c:v>3769.6446000000005</c:v>
                </c:pt>
                <c:pt idx="7">
                  <c:v>3859.8703999999998</c:v>
                </c:pt>
                <c:pt idx="8">
                  <c:v>3862.4235999999996</c:v>
                </c:pt>
                <c:pt idx="9">
                  <c:v>3764.4474</c:v>
                </c:pt>
                <c:pt idx="10">
                  <c:v>3509.2235999999998</c:v>
                </c:pt>
                <c:pt idx="11">
                  <c:v>3011.3414000000002</c:v>
                </c:pt>
                <c:pt idx="12">
                  <c:v>2643.5891999999999</c:v>
                </c:pt>
                <c:pt idx="13">
                  <c:v>2444.2368000000001</c:v>
                </c:pt>
                <c:pt idx="14">
                  <c:v>2387.0371999999998</c:v>
                </c:pt>
                <c:pt idx="15">
                  <c:v>2376.6436000000003</c:v>
                </c:pt>
                <c:pt idx="16">
                  <c:v>2390.8476000000001</c:v>
                </c:pt>
                <c:pt idx="17">
                  <c:v>2410.0194000000001</c:v>
                </c:pt>
                <c:pt idx="18">
                  <c:v>2422.0030000000002</c:v>
                </c:pt>
                <c:pt idx="19">
                  <c:v>2434.5932000000003</c:v>
                </c:pt>
                <c:pt idx="20">
                  <c:v>2434.451</c:v>
                </c:pt>
                <c:pt idx="21">
                  <c:v>2408.9078</c:v>
                </c:pt>
                <c:pt idx="22">
                  <c:v>2375.6479999999997</c:v>
                </c:pt>
                <c:pt idx="23">
                  <c:v>2372.9378000000002</c:v>
                </c:pt>
                <c:pt idx="24">
                  <c:v>2415.0364</c:v>
                </c:pt>
                <c:pt idx="25">
                  <c:v>2435.8293999999996</c:v>
                </c:pt>
                <c:pt idx="26">
                  <c:v>2433.6802000000002</c:v>
                </c:pt>
                <c:pt idx="27">
                  <c:v>2448.1768000000002</c:v>
                </c:pt>
                <c:pt idx="28">
                  <c:v>2470.5555999999997</c:v>
                </c:pt>
                <c:pt idx="29">
                  <c:v>2469.4258</c:v>
                </c:pt>
                <c:pt idx="30">
                  <c:v>2461.2830000000004</c:v>
                </c:pt>
                <c:pt idx="31">
                  <c:v>2442.5402000000004</c:v>
                </c:pt>
                <c:pt idx="32">
                  <c:v>2337.6652000000004</c:v>
                </c:pt>
                <c:pt idx="33">
                  <c:v>2148.0212000000001</c:v>
                </c:pt>
                <c:pt idx="34">
                  <c:v>1964.1278000000002</c:v>
                </c:pt>
                <c:pt idx="35">
                  <c:v>1865.1129999999998</c:v>
                </c:pt>
                <c:pt idx="36">
                  <c:v>1829.2693999999999</c:v>
                </c:pt>
                <c:pt idx="37">
                  <c:v>1830.1308000000001</c:v>
                </c:pt>
                <c:pt idx="38">
                  <c:v>1840.0106000000001</c:v>
                </c:pt>
                <c:pt idx="39">
                  <c:v>1855.3036</c:v>
                </c:pt>
                <c:pt idx="40">
                  <c:v>1907.1961999999999</c:v>
                </c:pt>
                <c:pt idx="41">
                  <c:v>1997.3181999999997</c:v>
                </c:pt>
                <c:pt idx="42">
                  <c:v>2083.3554000000004</c:v>
                </c:pt>
                <c:pt idx="43">
                  <c:v>2127.6922</c:v>
                </c:pt>
                <c:pt idx="44">
                  <c:v>2155.2246</c:v>
                </c:pt>
                <c:pt idx="45">
                  <c:v>2168.8869999999997</c:v>
                </c:pt>
                <c:pt idx="46">
                  <c:v>2164.2654000000002</c:v>
                </c:pt>
                <c:pt idx="47">
                  <c:v>2109.1255999999998</c:v>
                </c:pt>
                <c:pt idx="48">
                  <c:v>1980.1664000000001</c:v>
                </c:pt>
                <c:pt idx="49">
                  <c:v>1829.2123999999999</c:v>
                </c:pt>
                <c:pt idx="50">
                  <c:v>1703.1687999999999</c:v>
                </c:pt>
                <c:pt idx="51">
                  <c:v>1614.9298000000001</c:v>
                </c:pt>
                <c:pt idx="52">
                  <c:v>1556.6660000000002</c:v>
                </c:pt>
                <c:pt idx="53">
                  <c:v>1515.5264000000002</c:v>
                </c:pt>
                <c:pt idx="54">
                  <c:v>1487.0432000000001</c:v>
                </c:pt>
                <c:pt idx="55">
                  <c:v>1462.5157999999999</c:v>
                </c:pt>
                <c:pt idx="56">
                  <c:v>1446.6360000000002</c:v>
                </c:pt>
                <c:pt idx="57">
                  <c:v>1436.7860000000001</c:v>
                </c:pt>
                <c:pt idx="58">
                  <c:v>1434.3886</c:v>
                </c:pt>
                <c:pt idx="59">
                  <c:v>1426.3601999999998</c:v>
                </c:pt>
                <c:pt idx="60">
                  <c:v>1412.3322000000001</c:v>
                </c:pt>
                <c:pt idx="61">
                  <c:v>1395.4778000000001</c:v>
                </c:pt>
                <c:pt idx="62">
                  <c:v>1391.8139999999999</c:v>
                </c:pt>
                <c:pt idx="63">
                  <c:v>1430.143</c:v>
                </c:pt>
                <c:pt idx="64">
                  <c:v>1544.7276000000002</c:v>
                </c:pt>
                <c:pt idx="65">
                  <c:v>1604.4496000000004</c:v>
                </c:pt>
                <c:pt idx="66">
                  <c:v>1556.9123999999999</c:v>
                </c:pt>
                <c:pt idx="67">
                  <c:v>1505.0341999999998</c:v>
                </c:pt>
                <c:pt idx="68">
                  <c:v>1583.471</c:v>
                </c:pt>
                <c:pt idx="69">
                  <c:v>2012.2830000000001</c:v>
                </c:pt>
                <c:pt idx="70">
                  <c:v>2739.9744000000001</c:v>
                </c:pt>
                <c:pt idx="71">
                  <c:v>3393.2254000000003</c:v>
                </c:pt>
                <c:pt idx="72">
                  <c:v>3616.7107999999998</c:v>
                </c:pt>
                <c:pt idx="73">
                  <c:v>3295.7352000000001</c:v>
                </c:pt>
                <c:pt idx="74">
                  <c:v>2700.0167999999999</c:v>
                </c:pt>
                <c:pt idx="75">
                  <c:v>2355.0755999999997</c:v>
                </c:pt>
                <c:pt idx="76">
                  <c:v>2471.2112000000002</c:v>
                </c:pt>
                <c:pt idx="77">
                  <c:v>2783.1091999999999</c:v>
                </c:pt>
                <c:pt idx="78">
                  <c:v>3084.5835999999999</c:v>
                </c:pt>
                <c:pt idx="79">
                  <c:v>3304.5909999999994</c:v>
                </c:pt>
                <c:pt idx="80">
                  <c:v>3504.8861999999999</c:v>
                </c:pt>
                <c:pt idx="81">
                  <c:v>3810.3688000000002</c:v>
                </c:pt>
                <c:pt idx="82">
                  <c:v>4138.3301999999994</c:v>
                </c:pt>
                <c:pt idx="83">
                  <c:v>4222.268</c:v>
                </c:pt>
                <c:pt idx="84">
                  <c:v>4028.9199999999996</c:v>
                </c:pt>
                <c:pt idx="85">
                  <c:v>3714.8266000000003</c:v>
                </c:pt>
                <c:pt idx="86">
                  <c:v>3359.7791999999999</c:v>
                </c:pt>
                <c:pt idx="87">
                  <c:v>3026.2829999999999</c:v>
                </c:pt>
                <c:pt idx="88">
                  <c:v>2828.7727999999997</c:v>
                </c:pt>
                <c:pt idx="89">
                  <c:v>2694.5623999999998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946.62599999999998</c:v>
                </c:pt>
                <c:pt idx="1">
                  <c:v>1103.5345</c:v>
                </c:pt>
                <c:pt idx="2">
                  <c:v>1620.4350000000002</c:v>
                </c:pt>
                <c:pt idx="3">
                  <c:v>2320.6275000000001</c:v>
                </c:pt>
                <c:pt idx="4">
                  <c:v>3088.8604999999998</c:v>
                </c:pt>
                <c:pt idx="5">
                  <c:v>3465.20975</c:v>
                </c:pt>
                <c:pt idx="6">
                  <c:v>3581.8119999999999</c:v>
                </c:pt>
                <c:pt idx="7">
                  <c:v>3636.1737500000004</c:v>
                </c:pt>
                <c:pt idx="8">
                  <c:v>3631.9349999999999</c:v>
                </c:pt>
                <c:pt idx="9">
                  <c:v>3565.5934999999999</c:v>
                </c:pt>
                <c:pt idx="10">
                  <c:v>3346.7367499999996</c:v>
                </c:pt>
                <c:pt idx="11">
                  <c:v>2867.70525</c:v>
                </c:pt>
                <c:pt idx="12">
                  <c:v>2517.2882500000001</c:v>
                </c:pt>
                <c:pt idx="13">
                  <c:v>2324.80375</c:v>
                </c:pt>
                <c:pt idx="14">
                  <c:v>2269.0797500000003</c:v>
                </c:pt>
                <c:pt idx="15">
                  <c:v>2260.02475</c:v>
                </c:pt>
                <c:pt idx="16">
                  <c:v>2273.4925000000003</c:v>
                </c:pt>
                <c:pt idx="17">
                  <c:v>2290.3327499999996</c:v>
                </c:pt>
                <c:pt idx="18">
                  <c:v>2295.0729999999999</c:v>
                </c:pt>
                <c:pt idx="19">
                  <c:v>2304.26775</c:v>
                </c:pt>
                <c:pt idx="20">
                  <c:v>2299.0830000000001</c:v>
                </c:pt>
                <c:pt idx="21">
                  <c:v>2270.2242500000002</c:v>
                </c:pt>
                <c:pt idx="22">
                  <c:v>2238.2497499999999</c:v>
                </c:pt>
                <c:pt idx="23">
                  <c:v>2246.7374999999997</c:v>
                </c:pt>
                <c:pt idx="24">
                  <c:v>2279.5567500000002</c:v>
                </c:pt>
                <c:pt idx="25">
                  <c:v>2294.5039999999999</c:v>
                </c:pt>
                <c:pt idx="26">
                  <c:v>2308.2975000000001</c:v>
                </c:pt>
                <c:pt idx="27">
                  <c:v>2327.97525</c:v>
                </c:pt>
                <c:pt idx="28">
                  <c:v>2346.3525</c:v>
                </c:pt>
                <c:pt idx="29">
                  <c:v>2352.4497499999998</c:v>
                </c:pt>
                <c:pt idx="30">
                  <c:v>2353.8510000000001</c:v>
                </c:pt>
                <c:pt idx="31">
                  <c:v>2336.663</c:v>
                </c:pt>
                <c:pt idx="32">
                  <c:v>2223.8872499999998</c:v>
                </c:pt>
                <c:pt idx="33">
                  <c:v>2042.9547500000001</c:v>
                </c:pt>
                <c:pt idx="34">
                  <c:v>1870.8679999999999</c:v>
                </c:pt>
                <c:pt idx="35">
                  <c:v>1770.8042499999999</c:v>
                </c:pt>
                <c:pt idx="36">
                  <c:v>1733.92075</c:v>
                </c:pt>
                <c:pt idx="37">
                  <c:v>1730.20075</c:v>
                </c:pt>
                <c:pt idx="38">
                  <c:v>1743.50875</c:v>
                </c:pt>
                <c:pt idx="39">
                  <c:v>1770.4680000000001</c:v>
                </c:pt>
                <c:pt idx="40">
                  <c:v>1821.3644999999999</c:v>
                </c:pt>
                <c:pt idx="41">
                  <c:v>1918.3854999999999</c:v>
                </c:pt>
                <c:pt idx="42">
                  <c:v>2003.0725</c:v>
                </c:pt>
                <c:pt idx="43">
                  <c:v>2054.4410000000003</c:v>
                </c:pt>
                <c:pt idx="44">
                  <c:v>2071.1642499999998</c:v>
                </c:pt>
                <c:pt idx="45">
                  <c:v>2070.0130000000004</c:v>
                </c:pt>
                <c:pt idx="46">
                  <c:v>2047.3700000000001</c:v>
                </c:pt>
                <c:pt idx="47">
                  <c:v>1966.7730000000001</c:v>
                </c:pt>
                <c:pt idx="48">
                  <c:v>1819.4939999999999</c:v>
                </c:pt>
                <c:pt idx="49">
                  <c:v>1667.25575</c:v>
                </c:pt>
                <c:pt idx="50">
                  <c:v>1554.6992499999999</c:v>
                </c:pt>
                <c:pt idx="51">
                  <c:v>1465.7565</c:v>
                </c:pt>
                <c:pt idx="52">
                  <c:v>1408.11175</c:v>
                </c:pt>
                <c:pt idx="53">
                  <c:v>1373.8942500000001</c:v>
                </c:pt>
                <c:pt idx="54">
                  <c:v>1347.0742499999999</c:v>
                </c:pt>
                <c:pt idx="55">
                  <c:v>1356.53325</c:v>
                </c:pt>
                <c:pt idx="56">
                  <c:v>1358.1087500000001</c:v>
                </c:pt>
                <c:pt idx="57">
                  <c:v>1329.3415</c:v>
                </c:pt>
                <c:pt idx="58">
                  <c:v>1334.00125</c:v>
                </c:pt>
                <c:pt idx="59">
                  <c:v>1330.69525</c:v>
                </c:pt>
                <c:pt idx="60">
                  <c:v>1314.7842500000002</c:v>
                </c:pt>
                <c:pt idx="61">
                  <c:v>1298.5039999999999</c:v>
                </c:pt>
                <c:pt idx="62">
                  <c:v>1289.76325</c:v>
                </c:pt>
                <c:pt idx="63">
                  <c:v>1343.4499999999998</c:v>
                </c:pt>
                <c:pt idx="64">
                  <c:v>1495.3315</c:v>
                </c:pt>
                <c:pt idx="65">
                  <c:v>1563.1507499999998</c:v>
                </c:pt>
                <c:pt idx="66">
                  <c:v>1504.99575</c:v>
                </c:pt>
                <c:pt idx="67">
                  <c:v>1448.7972499999998</c:v>
                </c:pt>
                <c:pt idx="68">
                  <c:v>1580.9347499999999</c:v>
                </c:pt>
                <c:pt idx="69">
                  <c:v>2086.6949999999997</c:v>
                </c:pt>
                <c:pt idx="70">
                  <c:v>2839.7705000000001</c:v>
                </c:pt>
                <c:pt idx="71">
                  <c:v>3507.1765</c:v>
                </c:pt>
                <c:pt idx="72">
                  <c:v>3673.2147500000001</c:v>
                </c:pt>
                <c:pt idx="73">
                  <c:v>3313.3202499999998</c:v>
                </c:pt>
                <c:pt idx="74">
                  <c:v>2704.82575</c:v>
                </c:pt>
                <c:pt idx="75">
                  <c:v>2377.4609999999998</c:v>
                </c:pt>
                <c:pt idx="76">
                  <c:v>2572.5280000000002</c:v>
                </c:pt>
                <c:pt idx="77">
                  <c:v>2921.0210000000002</c:v>
                </c:pt>
                <c:pt idx="78">
                  <c:v>3195.9102499999999</c:v>
                </c:pt>
                <c:pt idx="79">
                  <c:v>3361.5432500000002</c:v>
                </c:pt>
                <c:pt idx="80">
                  <c:v>3483.1524999999997</c:v>
                </c:pt>
                <c:pt idx="81">
                  <c:v>3732.5602499999995</c:v>
                </c:pt>
                <c:pt idx="82">
                  <c:v>4014.4920000000002</c:v>
                </c:pt>
                <c:pt idx="83">
                  <c:v>4109.7025000000003</c:v>
                </c:pt>
                <c:pt idx="84">
                  <c:v>3933.7525000000001</c:v>
                </c:pt>
                <c:pt idx="85">
                  <c:v>3646.85</c:v>
                </c:pt>
                <c:pt idx="86">
                  <c:v>3326.8677499999999</c:v>
                </c:pt>
                <c:pt idx="87">
                  <c:v>3031.7982500000003</c:v>
                </c:pt>
                <c:pt idx="88">
                  <c:v>2856.2150000000001</c:v>
                </c:pt>
                <c:pt idx="89">
                  <c:v>2737.16275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1145.5326428571427</c:v>
                </c:pt>
                <c:pt idx="1">
                  <c:v>1388.3717857142858</c:v>
                </c:pt>
                <c:pt idx="2">
                  <c:v>2009.1818571428571</c:v>
                </c:pt>
                <c:pt idx="3">
                  <c:v>2784.1494285714289</c:v>
                </c:pt>
                <c:pt idx="4">
                  <c:v>3611.7460714285712</c:v>
                </c:pt>
                <c:pt idx="5">
                  <c:v>4022.7184285714288</c:v>
                </c:pt>
                <c:pt idx="6">
                  <c:v>4173.3537857142865</c:v>
                </c:pt>
                <c:pt idx="7">
                  <c:v>4248.7743571428573</c:v>
                </c:pt>
                <c:pt idx="8">
                  <c:v>4281.3259999999991</c:v>
                </c:pt>
                <c:pt idx="9">
                  <c:v>4221.4927142857141</c:v>
                </c:pt>
                <c:pt idx="10">
                  <c:v>3909.9703571428568</c:v>
                </c:pt>
                <c:pt idx="11">
                  <c:v>3272.2418571428575</c:v>
                </c:pt>
                <c:pt idx="12">
                  <c:v>2848.6735714285714</c:v>
                </c:pt>
                <c:pt idx="13">
                  <c:v>2655.2599285714286</c:v>
                </c:pt>
                <c:pt idx="14">
                  <c:v>2609.8987857142856</c:v>
                </c:pt>
                <c:pt idx="15">
                  <c:v>2606.7461428571428</c:v>
                </c:pt>
                <c:pt idx="16">
                  <c:v>2611.2787857142857</c:v>
                </c:pt>
                <c:pt idx="17">
                  <c:v>2618.0407857142854</c:v>
                </c:pt>
                <c:pt idx="18">
                  <c:v>2620.9846428571427</c:v>
                </c:pt>
                <c:pt idx="19">
                  <c:v>2613.4732857142858</c:v>
                </c:pt>
                <c:pt idx="20">
                  <c:v>2593.8162857142861</c:v>
                </c:pt>
                <c:pt idx="21">
                  <c:v>2578.5545000000006</c:v>
                </c:pt>
                <c:pt idx="22">
                  <c:v>2568.4370000000004</c:v>
                </c:pt>
                <c:pt idx="23">
                  <c:v>2566.935857142857</c:v>
                </c:pt>
                <c:pt idx="24">
                  <c:v>2593.1152857142852</c:v>
                </c:pt>
                <c:pt idx="25">
                  <c:v>2624.2197142857144</c:v>
                </c:pt>
                <c:pt idx="26">
                  <c:v>2634.460785714286</c:v>
                </c:pt>
                <c:pt idx="27">
                  <c:v>2645.7544999999996</c:v>
                </c:pt>
                <c:pt idx="28">
                  <c:v>2656.6909285714287</c:v>
                </c:pt>
                <c:pt idx="29">
                  <c:v>2656.1508571428571</c:v>
                </c:pt>
                <c:pt idx="30">
                  <c:v>2647.5620714285715</c:v>
                </c:pt>
                <c:pt idx="31">
                  <c:v>2608.773642857142</c:v>
                </c:pt>
                <c:pt idx="32">
                  <c:v>2482.7008571428569</c:v>
                </c:pt>
                <c:pt idx="33">
                  <c:v>2279.4142142857145</c:v>
                </c:pt>
                <c:pt idx="34">
                  <c:v>2096.108285714286</c:v>
                </c:pt>
                <c:pt idx="35">
                  <c:v>1992.3035714285718</c:v>
                </c:pt>
                <c:pt idx="36">
                  <c:v>1950.9528571428571</c:v>
                </c:pt>
                <c:pt idx="37">
                  <c:v>1951.1875714285711</c:v>
                </c:pt>
                <c:pt idx="38">
                  <c:v>1963.105642857143</c:v>
                </c:pt>
                <c:pt idx="39">
                  <c:v>1976.7964285714284</c:v>
                </c:pt>
                <c:pt idx="40">
                  <c:v>2008.4823571428574</c:v>
                </c:pt>
                <c:pt idx="41">
                  <c:v>2085.6689285714288</c:v>
                </c:pt>
                <c:pt idx="42">
                  <c:v>2189.8741428571429</c:v>
                </c:pt>
                <c:pt idx="43">
                  <c:v>2263.7639999999997</c:v>
                </c:pt>
                <c:pt idx="44">
                  <c:v>2311.8332142857139</c:v>
                </c:pt>
                <c:pt idx="45">
                  <c:v>2345.2172142857139</c:v>
                </c:pt>
                <c:pt idx="46">
                  <c:v>2335.0509285714284</c:v>
                </c:pt>
                <c:pt idx="47">
                  <c:v>2261.380714285714</c:v>
                </c:pt>
                <c:pt idx="48">
                  <c:v>2116.9322142857141</c:v>
                </c:pt>
                <c:pt idx="49">
                  <c:v>1921.2719285714286</c:v>
                </c:pt>
                <c:pt idx="50">
                  <c:v>1738.1303571428568</c:v>
                </c:pt>
                <c:pt idx="51">
                  <c:v>1631.9355</c:v>
                </c:pt>
                <c:pt idx="52">
                  <c:v>1574.6896428571429</c:v>
                </c:pt>
                <c:pt idx="53">
                  <c:v>1537.9650714285713</c:v>
                </c:pt>
                <c:pt idx="54">
                  <c:v>1514.5220000000002</c:v>
                </c:pt>
                <c:pt idx="55">
                  <c:v>1504.3473571428569</c:v>
                </c:pt>
                <c:pt idx="56">
                  <c:v>1506.6157857142859</c:v>
                </c:pt>
                <c:pt idx="57">
                  <c:v>1512.6457857142855</c:v>
                </c:pt>
                <c:pt idx="58">
                  <c:v>1518.6450000000002</c:v>
                </c:pt>
                <c:pt idx="59">
                  <c:v>1512.6755000000001</c:v>
                </c:pt>
                <c:pt idx="60">
                  <c:v>1497.5090714285718</c:v>
                </c:pt>
                <c:pt idx="61">
                  <c:v>1483.5572857142854</c:v>
                </c:pt>
                <c:pt idx="62">
                  <c:v>1480.2444285714287</c:v>
                </c:pt>
                <c:pt idx="63">
                  <c:v>1531.7457857142861</c:v>
                </c:pt>
                <c:pt idx="64">
                  <c:v>1659.6589285714288</c:v>
                </c:pt>
                <c:pt idx="65">
                  <c:v>1709.4870714285717</c:v>
                </c:pt>
                <c:pt idx="66">
                  <c:v>1650.3136428571427</c:v>
                </c:pt>
                <c:pt idx="67">
                  <c:v>1619.0817142857143</c:v>
                </c:pt>
                <c:pt idx="68">
                  <c:v>1787.4384285714284</c:v>
                </c:pt>
                <c:pt idx="69">
                  <c:v>2331.4575</c:v>
                </c:pt>
                <c:pt idx="70">
                  <c:v>3110.4257142857145</c:v>
                </c:pt>
                <c:pt idx="71">
                  <c:v>3686.8232142857137</c:v>
                </c:pt>
                <c:pt idx="72">
                  <c:v>3764.0924999999997</c:v>
                </c:pt>
                <c:pt idx="73">
                  <c:v>3339.4397142857138</c:v>
                </c:pt>
                <c:pt idx="74">
                  <c:v>2773.5513571428569</c:v>
                </c:pt>
                <c:pt idx="75">
                  <c:v>2546.8819285714294</c:v>
                </c:pt>
                <c:pt idx="76">
                  <c:v>2708.6596428571429</c:v>
                </c:pt>
                <c:pt idx="77">
                  <c:v>2936.5394285714283</c:v>
                </c:pt>
                <c:pt idx="78">
                  <c:v>3140.8962857142856</c:v>
                </c:pt>
                <c:pt idx="79">
                  <c:v>3379.1230714285712</c:v>
                </c:pt>
                <c:pt idx="80">
                  <c:v>3696.5374285714283</c:v>
                </c:pt>
                <c:pt idx="81">
                  <c:v>4047.2159285714288</c:v>
                </c:pt>
                <c:pt idx="82">
                  <c:v>4335.6368571428566</c:v>
                </c:pt>
                <c:pt idx="83">
                  <c:v>4423.8525714285724</c:v>
                </c:pt>
                <c:pt idx="84">
                  <c:v>4238.4701428571425</c:v>
                </c:pt>
                <c:pt idx="85">
                  <c:v>3939.0647142857138</c:v>
                </c:pt>
                <c:pt idx="86">
                  <c:v>3610.4765714285713</c:v>
                </c:pt>
                <c:pt idx="87">
                  <c:v>3288.8930714285711</c:v>
                </c:pt>
                <c:pt idx="88">
                  <c:v>3076.9257142857141</c:v>
                </c:pt>
                <c:pt idx="89">
                  <c:v>2950.6445714285705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1089.7679999999998</c:v>
                </c:pt>
                <c:pt idx="1">
                  <c:v>1316.5613333333333</c:v>
                </c:pt>
                <c:pt idx="2">
                  <c:v>1912.4285</c:v>
                </c:pt>
                <c:pt idx="3">
                  <c:v>2702.9951666666661</c:v>
                </c:pt>
                <c:pt idx="4">
                  <c:v>3518.0288333333324</c:v>
                </c:pt>
                <c:pt idx="5">
                  <c:v>3934.6381666666671</c:v>
                </c:pt>
                <c:pt idx="6">
                  <c:v>4066.4398333333334</c:v>
                </c:pt>
                <c:pt idx="7">
                  <c:v>4125.0426666666654</c:v>
                </c:pt>
                <c:pt idx="8">
                  <c:v>4140.0191666666669</c:v>
                </c:pt>
                <c:pt idx="9">
                  <c:v>4068.3376666666668</c:v>
                </c:pt>
                <c:pt idx="10">
                  <c:v>3773.6526666666664</c:v>
                </c:pt>
                <c:pt idx="11">
                  <c:v>3180.0475000000001</c:v>
                </c:pt>
                <c:pt idx="12">
                  <c:v>2772.0378333333333</c:v>
                </c:pt>
                <c:pt idx="13">
                  <c:v>2577.7435</c:v>
                </c:pt>
                <c:pt idx="14">
                  <c:v>2535.2533333333336</c:v>
                </c:pt>
                <c:pt idx="15">
                  <c:v>2542.5208333333335</c:v>
                </c:pt>
                <c:pt idx="16">
                  <c:v>2546.5643333333333</c:v>
                </c:pt>
                <c:pt idx="17">
                  <c:v>2558.6479999999997</c:v>
                </c:pt>
                <c:pt idx="18">
                  <c:v>2568.0819999999999</c:v>
                </c:pt>
                <c:pt idx="19">
                  <c:v>2565.1098333333334</c:v>
                </c:pt>
                <c:pt idx="20">
                  <c:v>2553.5941666666663</c:v>
                </c:pt>
                <c:pt idx="21">
                  <c:v>2546.0058333333332</c:v>
                </c:pt>
                <c:pt idx="22">
                  <c:v>2532.0786666666668</c:v>
                </c:pt>
                <c:pt idx="23">
                  <c:v>2529.8306666666667</c:v>
                </c:pt>
                <c:pt idx="24">
                  <c:v>2556.0611666666668</c:v>
                </c:pt>
                <c:pt idx="25">
                  <c:v>2586.7180000000003</c:v>
                </c:pt>
                <c:pt idx="26">
                  <c:v>2605.7310000000002</c:v>
                </c:pt>
                <c:pt idx="27">
                  <c:v>2620.8526666666662</c:v>
                </c:pt>
                <c:pt idx="28">
                  <c:v>2648.3973333333329</c:v>
                </c:pt>
                <c:pt idx="29">
                  <c:v>2658.7471666666665</c:v>
                </c:pt>
                <c:pt idx="30">
                  <c:v>2652.0949999999998</c:v>
                </c:pt>
                <c:pt idx="31">
                  <c:v>2624.3548333333333</c:v>
                </c:pt>
                <c:pt idx="32">
                  <c:v>2489.2024999999999</c:v>
                </c:pt>
                <c:pt idx="33">
                  <c:v>2261.2873333333332</c:v>
                </c:pt>
                <c:pt idx="34">
                  <c:v>2078.0698333333335</c:v>
                </c:pt>
                <c:pt idx="35">
                  <c:v>1978.0174999999999</c:v>
                </c:pt>
                <c:pt idx="36">
                  <c:v>1936.328833333333</c:v>
                </c:pt>
                <c:pt idx="37">
                  <c:v>1938.7330000000002</c:v>
                </c:pt>
                <c:pt idx="38">
                  <c:v>1944.7176666666667</c:v>
                </c:pt>
                <c:pt idx="39">
                  <c:v>1957.943</c:v>
                </c:pt>
                <c:pt idx="40">
                  <c:v>1996.7313333333334</c:v>
                </c:pt>
                <c:pt idx="41">
                  <c:v>2081.7289999999998</c:v>
                </c:pt>
                <c:pt idx="42">
                  <c:v>2194.1718333333333</c:v>
                </c:pt>
                <c:pt idx="43">
                  <c:v>2270.9230000000002</c:v>
                </c:pt>
                <c:pt idx="44">
                  <c:v>2301.3868333333335</c:v>
                </c:pt>
                <c:pt idx="45">
                  <c:v>2307.1511666666665</c:v>
                </c:pt>
                <c:pt idx="46">
                  <c:v>2286.9943333333335</c:v>
                </c:pt>
                <c:pt idx="47">
                  <c:v>2224.1701666666668</c:v>
                </c:pt>
                <c:pt idx="48">
                  <c:v>2078.6356666666666</c:v>
                </c:pt>
                <c:pt idx="49">
                  <c:v>1879.4931666666664</c:v>
                </c:pt>
                <c:pt idx="50">
                  <c:v>1717.0510000000002</c:v>
                </c:pt>
                <c:pt idx="51">
                  <c:v>1625.3414999999998</c:v>
                </c:pt>
                <c:pt idx="52">
                  <c:v>1574.4224999999999</c:v>
                </c:pt>
                <c:pt idx="53">
                  <c:v>1548.4099999999999</c:v>
                </c:pt>
                <c:pt idx="54">
                  <c:v>1520.0005000000001</c:v>
                </c:pt>
                <c:pt idx="55">
                  <c:v>1493.6543333333336</c:v>
                </c:pt>
                <c:pt idx="56">
                  <c:v>1504.2880000000002</c:v>
                </c:pt>
                <c:pt idx="57">
                  <c:v>1510.9821666666667</c:v>
                </c:pt>
                <c:pt idx="58">
                  <c:v>1514.7448333333332</c:v>
                </c:pt>
                <c:pt idx="59">
                  <c:v>1513.0558333333336</c:v>
                </c:pt>
                <c:pt idx="60">
                  <c:v>1465.9948333333334</c:v>
                </c:pt>
                <c:pt idx="61">
                  <c:v>1460.0474999999999</c:v>
                </c:pt>
                <c:pt idx="62">
                  <c:v>1463.9818333333333</c:v>
                </c:pt>
                <c:pt idx="63">
                  <c:v>1533.1851666666669</c:v>
                </c:pt>
                <c:pt idx="64">
                  <c:v>1685.4955</c:v>
                </c:pt>
                <c:pt idx="65">
                  <c:v>1741.1191666666666</c:v>
                </c:pt>
                <c:pt idx="66">
                  <c:v>1679.5689999999997</c:v>
                </c:pt>
                <c:pt idx="67">
                  <c:v>1640.6841666666667</c:v>
                </c:pt>
                <c:pt idx="68">
                  <c:v>1843.2645</c:v>
                </c:pt>
                <c:pt idx="69">
                  <c:v>2513.6673333333333</c:v>
                </c:pt>
                <c:pt idx="70">
                  <c:v>3471.7338333333337</c:v>
                </c:pt>
                <c:pt idx="71">
                  <c:v>4206.8851666666669</c:v>
                </c:pt>
                <c:pt idx="72">
                  <c:v>4327.6364999999996</c:v>
                </c:pt>
                <c:pt idx="73">
                  <c:v>3842.9403333333335</c:v>
                </c:pt>
                <c:pt idx="74">
                  <c:v>3116.4208333333336</c:v>
                </c:pt>
                <c:pt idx="75">
                  <c:v>2795.1061666666665</c:v>
                </c:pt>
                <c:pt idx="76">
                  <c:v>2997.0885000000003</c:v>
                </c:pt>
                <c:pt idx="77">
                  <c:v>3270.2530000000002</c:v>
                </c:pt>
                <c:pt idx="78">
                  <c:v>3419.5413333333331</c:v>
                </c:pt>
                <c:pt idx="79">
                  <c:v>3575.9401666666668</c:v>
                </c:pt>
                <c:pt idx="80">
                  <c:v>3801.6285000000003</c:v>
                </c:pt>
                <c:pt idx="81">
                  <c:v>4119.9986666666664</c:v>
                </c:pt>
                <c:pt idx="82">
                  <c:v>4431.0663333333332</c:v>
                </c:pt>
                <c:pt idx="83">
                  <c:v>4580.2235000000001</c:v>
                </c:pt>
                <c:pt idx="84">
                  <c:v>4437.127833333333</c:v>
                </c:pt>
                <c:pt idx="85">
                  <c:v>4133.9858333333332</c:v>
                </c:pt>
                <c:pt idx="86">
                  <c:v>3775.2073333333333</c:v>
                </c:pt>
                <c:pt idx="87">
                  <c:v>3407.1228333333333</c:v>
                </c:pt>
                <c:pt idx="88">
                  <c:v>3163.1175000000003</c:v>
                </c:pt>
                <c:pt idx="89">
                  <c:v>3021.9894999999997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1\_light_profiles_YA01_LIGHT-dim" connectionId="4" xr16:uid="{8A2836FE-02DF-4CFB-8723-56E07CE260B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1\_dark_profiles_YA01_DARK-dim" connectionId="2" xr16:uid="{42DFE28F-0144-47BB-8210-99B32E86270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1\_light_profiles_YA01_LIGHT" connectionId="3" xr16:uid="{63D0E0B9-29FD-40B4-9811-176A703A8321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1\_dark_profiles_YA01_DARK" connectionId="1" xr16:uid="{48B3166F-61A5-4307-B736-C8738BE82C9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8</v>
      </c>
      <c r="B2">
        <v>1</v>
      </c>
      <c r="C2">
        <v>2</v>
      </c>
      <c r="D2">
        <v>3</v>
      </c>
      <c r="E2">
        <v>4</v>
      </c>
      <c r="F2">
        <v>5</v>
      </c>
      <c r="K2" t="s">
        <v>9</v>
      </c>
      <c r="L2">
        <v>1</v>
      </c>
      <c r="M2">
        <v>2</v>
      </c>
      <c r="O2">
        <v>4</v>
      </c>
      <c r="P2">
        <v>5</v>
      </c>
    </row>
    <row r="3" spans="1:19" x14ac:dyDescent="0.25">
      <c r="A3" t="s">
        <v>0</v>
      </c>
      <c r="B3">
        <v>-1.33</v>
      </c>
      <c r="C3">
        <v>1.0229999999999999</v>
      </c>
      <c r="D3">
        <v>-0.72299999999999998</v>
      </c>
      <c r="E3">
        <v>0.67</v>
      </c>
      <c r="F3">
        <v>-2.0979999999999999</v>
      </c>
      <c r="K3" t="s">
        <v>0</v>
      </c>
      <c r="L3">
        <v>3.25</v>
      </c>
      <c r="M3">
        <v>0.56699999999999995</v>
      </c>
      <c r="O3">
        <v>0.89600000000000002</v>
      </c>
      <c r="P3">
        <v>-0.189</v>
      </c>
    </row>
    <row r="4" spans="1:19" x14ac:dyDescent="0.25">
      <c r="A4" t="s">
        <v>1</v>
      </c>
      <c r="B4">
        <v>330.84800000000001</v>
      </c>
      <c r="C4">
        <v>330.23599999999999</v>
      </c>
      <c r="D4">
        <v>330.91</v>
      </c>
      <c r="E4">
        <v>332.67200000000003</v>
      </c>
      <c r="F4">
        <v>330.70100000000002</v>
      </c>
      <c r="H4" s="2">
        <f>AVERAGE(B4:F4)</f>
        <v>331.07340000000005</v>
      </c>
      <c r="I4" s="2">
        <f>STDEV(B4:F4)/SQRT(COUNT(B4:F4))</f>
        <v>0.41671016306301362</v>
      </c>
      <c r="K4" t="s">
        <v>1</v>
      </c>
      <c r="L4">
        <v>332.02699999999999</v>
      </c>
      <c r="M4">
        <v>334.09300000000002</v>
      </c>
      <c r="O4">
        <v>332.37400000000002</v>
      </c>
      <c r="P4">
        <v>330.67899999999997</v>
      </c>
      <c r="R4" s="3">
        <f>AVERAGE(L4:P4)</f>
        <v>332.29325</v>
      </c>
      <c r="S4" s="3">
        <f>STDEV(L4:P4)/SQRT(COUNT(L4:P4))</f>
        <v>0.70251410128196945</v>
      </c>
    </row>
    <row r="5" spans="1:19" x14ac:dyDescent="0.25">
      <c r="A5" t="s">
        <v>2</v>
      </c>
      <c r="B5">
        <v>68.409000000000006</v>
      </c>
      <c r="C5">
        <v>67.206000000000003</v>
      </c>
      <c r="D5">
        <v>67.846999999999994</v>
      </c>
      <c r="E5">
        <v>68.960999999999999</v>
      </c>
      <c r="F5">
        <v>67.387</v>
      </c>
      <c r="H5" s="2">
        <f t="shared" ref="H5:H68" si="0">AVERAGE(B5:F5)</f>
        <v>67.962000000000003</v>
      </c>
      <c r="I5" s="2">
        <f t="shared" ref="I5:I68" si="1">STDEV(B5:F5)/SQRT(COUNT(B5:F5))</f>
        <v>0.32505353405246945</v>
      </c>
      <c r="K5" t="s">
        <v>2</v>
      </c>
      <c r="L5">
        <v>67.072000000000003</v>
      </c>
      <c r="M5">
        <v>67.393000000000001</v>
      </c>
      <c r="O5">
        <v>68.119</v>
      </c>
      <c r="P5">
        <v>67.668999999999997</v>
      </c>
      <c r="R5" s="3">
        <f t="shared" ref="R5:R68" si="2">AVERAGE(L5:P5)</f>
        <v>67.563249999999996</v>
      </c>
      <c r="S5" s="3">
        <f t="shared" ref="S5:S68" si="3">STDEV(L5:P5)/SQRT(COUNT(L5:P5))</f>
        <v>0.2218018541401304</v>
      </c>
    </row>
    <row r="6" spans="1:19" x14ac:dyDescent="0.25">
      <c r="A6" t="s">
        <v>3</v>
      </c>
      <c r="B6">
        <v>36.947000000000003</v>
      </c>
      <c r="C6">
        <v>37.485999999999997</v>
      </c>
      <c r="D6">
        <v>36.247999999999998</v>
      </c>
      <c r="E6">
        <v>36.923999999999999</v>
      </c>
      <c r="F6">
        <v>38.774000000000001</v>
      </c>
      <c r="H6" s="2">
        <f t="shared" si="0"/>
        <v>37.275799999999997</v>
      </c>
      <c r="I6" s="2">
        <f t="shared" si="1"/>
        <v>0.42290854803373296</v>
      </c>
      <c r="K6" t="s">
        <v>3</v>
      </c>
      <c r="L6">
        <v>38.96</v>
      </c>
      <c r="M6">
        <v>41.417999999999999</v>
      </c>
      <c r="O6">
        <v>37.168999999999997</v>
      </c>
      <c r="P6">
        <v>39.118000000000002</v>
      </c>
      <c r="R6" s="3">
        <f t="shared" si="2"/>
        <v>39.166249999999998</v>
      </c>
      <c r="S6" s="3">
        <f t="shared" si="3"/>
        <v>0.87102682459650316</v>
      </c>
    </row>
    <row r="7" spans="1:19" x14ac:dyDescent="0.25">
      <c r="A7">
        <v>-3.75</v>
      </c>
      <c r="B7">
        <v>1025.981</v>
      </c>
      <c r="C7">
        <v>979.72299999999996</v>
      </c>
      <c r="D7">
        <v>1010.655</v>
      </c>
      <c r="E7">
        <v>985.18399999999997</v>
      </c>
      <c r="F7">
        <v>1190.4100000000001</v>
      </c>
      <c r="H7" s="2">
        <f t="shared" si="0"/>
        <v>1038.3905999999999</v>
      </c>
      <c r="I7" s="2">
        <f t="shared" si="1"/>
        <v>38.926847566429032</v>
      </c>
      <c r="K7">
        <v>-3.75</v>
      </c>
      <c r="L7">
        <v>989.25800000000004</v>
      </c>
      <c r="M7">
        <v>809.98299999999995</v>
      </c>
      <c r="O7">
        <v>1142.7929999999999</v>
      </c>
      <c r="P7">
        <v>844.47</v>
      </c>
      <c r="R7" s="3">
        <f t="shared" si="2"/>
        <v>946.62599999999998</v>
      </c>
      <c r="S7" s="3">
        <f t="shared" si="3"/>
        <v>76.051592739183704</v>
      </c>
    </row>
    <row r="8" spans="1:19" x14ac:dyDescent="0.25">
      <c r="A8">
        <v>-2.5</v>
      </c>
      <c r="B8">
        <v>1236.569</v>
      </c>
      <c r="C8">
        <v>1251.2629999999999</v>
      </c>
      <c r="D8">
        <v>1265.588</v>
      </c>
      <c r="E8">
        <v>1229.2840000000001</v>
      </c>
      <c r="F8">
        <v>1325.307</v>
      </c>
      <c r="H8" s="2">
        <f t="shared" si="0"/>
        <v>1261.6021999999998</v>
      </c>
      <c r="I8" s="2">
        <f t="shared" si="1"/>
        <v>17.105867932963822</v>
      </c>
      <c r="K8">
        <v>-2.5</v>
      </c>
      <c r="L8">
        <v>1120.202</v>
      </c>
      <c r="M8">
        <v>950.55399999999997</v>
      </c>
      <c r="O8">
        <v>1315.1780000000001</v>
      </c>
      <c r="P8">
        <v>1028.204</v>
      </c>
      <c r="R8" s="3">
        <f t="shared" si="2"/>
        <v>1103.5345</v>
      </c>
      <c r="S8" s="3">
        <f t="shared" si="3"/>
        <v>78.606877486960784</v>
      </c>
    </row>
    <row r="9" spans="1:19" x14ac:dyDescent="0.25">
      <c r="A9">
        <v>-1.25</v>
      </c>
      <c r="B9">
        <v>1721.3620000000001</v>
      </c>
      <c r="C9">
        <v>1728.451</v>
      </c>
      <c r="D9">
        <v>1836.921</v>
      </c>
      <c r="E9">
        <v>1786.3869999999999</v>
      </c>
      <c r="F9">
        <v>1850.989</v>
      </c>
      <c r="H9" s="2">
        <f t="shared" si="0"/>
        <v>1784.8220000000001</v>
      </c>
      <c r="I9" s="2">
        <f t="shared" si="1"/>
        <v>26.73919235504318</v>
      </c>
      <c r="K9">
        <v>-1.25</v>
      </c>
      <c r="L9">
        <v>1618.5630000000001</v>
      </c>
      <c r="M9">
        <v>1545.367</v>
      </c>
      <c r="O9">
        <v>1897.8309999999999</v>
      </c>
      <c r="P9">
        <v>1419.979</v>
      </c>
      <c r="R9" s="3">
        <f t="shared" si="2"/>
        <v>1620.4350000000002</v>
      </c>
      <c r="S9" s="3">
        <f t="shared" si="3"/>
        <v>101.14752335079575</v>
      </c>
    </row>
    <row r="10" spans="1:19" x14ac:dyDescent="0.25">
      <c r="A10">
        <v>0</v>
      </c>
      <c r="B10">
        <v>2389.348</v>
      </c>
      <c r="C10">
        <v>2284.8789999999999</v>
      </c>
      <c r="D10">
        <v>2584.4929999999999</v>
      </c>
      <c r="E10">
        <v>2520.1419999999998</v>
      </c>
      <c r="F10">
        <v>2594.8000000000002</v>
      </c>
      <c r="H10" s="2">
        <f t="shared" si="0"/>
        <v>2474.7323999999999</v>
      </c>
      <c r="I10" s="2">
        <f t="shared" si="1"/>
        <v>59.941829680616209</v>
      </c>
      <c r="K10">
        <v>0</v>
      </c>
      <c r="L10">
        <v>2280.5169999999998</v>
      </c>
      <c r="M10">
        <v>2426.4989999999998</v>
      </c>
      <c r="O10">
        <v>2681.2240000000002</v>
      </c>
      <c r="P10">
        <v>1894.27</v>
      </c>
      <c r="R10" s="3">
        <f t="shared" si="2"/>
        <v>2320.6275000000001</v>
      </c>
      <c r="S10" s="3">
        <f t="shared" si="3"/>
        <v>164.47598110894435</v>
      </c>
    </row>
    <row r="11" spans="1:19" x14ac:dyDescent="0.25">
      <c r="A11">
        <v>1.25</v>
      </c>
      <c r="B11">
        <v>3076.9470000000001</v>
      </c>
      <c r="C11">
        <v>2908.9479999999999</v>
      </c>
      <c r="D11">
        <v>3310.68</v>
      </c>
      <c r="E11">
        <v>3249.8119999999999</v>
      </c>
      <c r="F11">
        <v>3415.6680000000001</v>
      </c>
      <c r="H11" s="2">
        <f t="shared" si="0"/>
        <v>3192.4110000000001</v>
      </c>
      <c r="I11" s="2">
        <f t="shared" si="1"/>
        <v>89.668647496212429</v>
      </c>
      <c r="K11">
        <v>1.25</v>
      </c>
      <c r="L11">
        <v>3014.364</v>
      </c>
      <c r="M11">
        <v>3391.8679999999999</v>
      </c>
      <c r="O11">
        <v>3515.1239999999998</v>
      </c>
      <c r="P11">
        <v>2434.0859999999998</v>
      </c>
      <c r="R11" s="3">
        <f t="shared" si="2"/>
        <v>3088.8604999999998</v>
      </c>
      <c r="S11" s="3">
        <f t="shared" si="3"/>
        <v>242.86372908330711</v>
      </c>
    </row>
    <row r="12" spans="1:19" x14ac:dyDescent="0.25">
      <c r="A12">
        <v>2.5</v>
      </c>
      <c r="B12">
        <v>3433.4760000000001</v>
      </c>
      <c r="C12">
        <v>3328.8560000000002</v>
      </c>
      <c r="D12">
        <v>3779.87</v>
      </c>
      <c r="E12">
        <v>3672.489</v>
      </c>
      <c r="F12">
        <v>3780.7669999999998</v>
      </c>
      <c r="H12" s="2">
        <f t="shared" si="0"/>
        <v>3599.0915999999997</v>
      </c>
      <c r="I12" s="2">
        <f t="shared" si="1"/>
        <v>92.609331513946188</v>
      </c>
      <c r="K12">
        <v>2.5</v>
      </c>
      <c r="L12">
        <v>3452.625</v>
      </c>
      <c r="M12">
        <v>3680.2139999999999</v>
      </c>
      <c r="O12">
        <v>3951.413</v>
      </c>
      <c r="P12">
        <v>2776.587</v>
      </c>
      <c r="R12" s="3">
        <f t="shared" si="2"/>
        <v>3465.20975</v>
      </c>
      <c r="S12" s="3">
        <f t="shared" si="3"/>
        <v>251.16065502295953</v>
      </c>
    </row>
    <row r="13" spans="1:19" x14ac:dyDescent="0.25">
      <c r="A13">
        <v>3.75</v>
      </c>
      <c r="B13">
        <v>3521.0140000000001</v>
      </c>
      <c r="C13">
        <v>3540.953</v>
      </c>
      <c r="D13">
        <v>3966.9520000000002</v>
      </c>
      <c r="E13">
        <v>3866.7730000000001</v>
      </c>
      <c r="F13">
        <v>3952.5309999999999</v>
      </c>
      <c r="H13" s="2">
        <f t="shared" si="0"/>
        <v>3769.6446000000005</v>
      </c>
      <c r="I13" s="2">
        <f t="shared" si="1"/>
        <v>98.976915150251088</v>
      </c>
      <c r="K13">
        <v>3.75</v>
      </c>
      <c r="L13">
        <v>3643.971</v>
      </c>
      <c r="M13">
        <v>3586.6329999999998</v>
      </c>
      <c r="O13">
        <v>4188.1480000000001</v>
      </c>
      <c r="P13">
        <v>2908.4960000000001</v>
      </c>
      <c r="R13" s="3">
        <f t="shared" si="2"/>
        <v>3581.8119999999999</v>
      </c>
      <c r="S13" s="3">
        <f t="shared" si="3"/>
        <v>262.18389921230187</v>
      </c>
    </row>
    <row r="14" spans="1:19" x14ac:dyDescent="0.25">
      <c r="A14">
        <v>5</v>
      </c>
      <c r="B14">
        <v>3634.01</v>
      </c>
      <c r="C14">
        <v>3638.0610000000001</v>
      </c>
      <c r="D14">
        <v>4063.4870000000001</v>
      </c>
      <c r="E14">
        <v>3920.7669999999998</v>
      </c>
      <c r="F14">
        <v>4043.027</v>
      </c>
      <c r="H14" s="2">
        <f t="shared" si="0"/>
        <v>3859.8703999999998</v>
      </c>
      <c r="I14" s="2">
        <f t="shared" si="1"/>
        <v>94.585090269872836</v>
      </c>
      <c r="K14">
        <v>5</v>
      </c>
      <c r="L14">
        <v>3755.2</v>
      </c>
      <c r="M14">
        <v>3513.95</v>
      </c>
      <c r="O14">
        <v>4263.0150000000003</v>
      </c>
      <c r="P14">
        <v>3012.53</v>
      </c>
      <c r="R14" s="3">
        <f t="shared" si="2"/>
        <v>3636.1737500000004</v>
      </c>
      <c r="S14" s="3">
        <f t="shared" si="3"/>
        <v>259.96271733794612</v>
      </c>
    </row>
    <row r="15" spans="1:19" x14ac:dyDescent="0.25">
      <c r="A15">
        <v>6.25</v>
      </c>
      <c r="B15">
        <v>3634.2429999999999</v>
      </c>
      <c r="C15">
        <v>3659.6819999999998</v>
      </c>
      <c r="D15">
        <v>4032.8710000000001</v>
      </c>
      <c r="E15">
        <v>3910.9250000000002</v>
      </c>
      <c r="F15">
        <v>4074.3969999999999</v>
      </c>
      <c r="H15" s="2">
        <f t="shared" si="0"/>
        <v>3862.4235999999996</v>
      </c>
      <c r="I15" s="2">
        <f t="shared" si="1"/>
        <v>92.061926675254881</v>
      </c>
      <c r="K15">
        <v>6.25</v>
      </c>
      <c r="L15">
        <v>3799.29</v>
      </c>
      <c r="M15">
        <v>3484.2759999999998</v>
      </c>
      <c r="O15">
        <v>4225.3599999999997</v>
      </c>
      <c r="P15">
        <v>3018.8139999999999</v>
      </c>
      <c r="R15" s="3">
        <f t="shared" si="2"/>
        <v>3631.9349999999999</v>
      </c>
      <c r="S15" s="3">
        <f t="shared" si="3"/>
        <v>254.60450826919836</v>
      </c>
    </row>
    <row r="16" spans="1:19" x14ac:dyDescent="0.25">
      <c r="A16">
        <v>7.5</v>
      </c>
      <c r="B16">
        <v>3555.1950000000002</v>
      </c>
      <c r="C16">
        <v>3563.7179999999998</v>
      </c>
      <c r="D16">
        <v>3926.3719999999998</v>
      </c>
      <c r="E16">
        <v>3790.4989999999998</v>
      </c>
      <c r="F16">
        <v>3986.453</v>
      </c>
      <c r="H16" s="2">
        <f t="shared" si="0"/>
        <v>3764.4474</v>
      </c>
      <c r="I16" s="2">
        <f t="shared" si="1"/>
        <v>89.51636925981748</v>
      </c>
      <c r="K16">
        <v>7.5</v>
      </c>
      <c r="L16">
        <v>3710.8449999999998</v>
      </c>
      <c r="M16">
        <v>3443.01</v>
      </c>
      <c r="O16">
        <v>4140.4790000000003</v>
      </c>
      <c r="P16">
        <v>2968.04</v>
      </c>
      <c r="R16" s="3">
        <f t="shared" si="2"/>
        <v>3565.5934999999999</v>
      </c>
      <c r="S16" s="3">
        <f t="shared" si="3"/>
        <v>245.57555459861527</v>
      </c>
    </row>
    <row r="17" spans="1:19" x14ac:dyDescent="0.25">
      <c r="A17">
        <v>8.75</v>
      </c>
      <c r="B17">
        <v>3324.2049999999999</v>
      </c>
      <c r="C17">
        <v>3307.837</v>
      </c>
      <c r="D17">
        <v>3634.7530000000002</v>
      </c>
      <c r="E17">
        <v>3551.143</v>
      </c>
      <c r="F17">
        <v>3728.18</v>
      </c>
      <c r="H17" s="2">
        <f t="shared" si="0"/>
        <v>3509.2235999999998</v>
      </c>
      <c r="I17" s="2">
        <f t="shared" si="1"/>
        <v>83.739243030732013</v>
      </c>
      <c r="K17">
        <v>8.75</v>
      </c>
      <c r="L17">
        <v>3458.0070000000001</v>
      </c>
      <c r="M17">
        <v>3263.893</v>
      </c>
      <c r="O17">
        <v>3883.79</v>
      </c>
      <c r="P17">
        <v>2781.2570000000001</v>
      </c>
      <c r="R17" s="3">
        <f t="shared" si="2"/>
        <v>3346.7367499999996</v>
      </c>
      <c r="S17" s="3">
        <f t="shared" si="3"/>
        <v>228.66235961288075</v>
      </c>
    </row>
    <row r="18" spans="1:19" x14ac:dyDescent="0.25">
      <c r="A18">
        <v>10</v>
      </c>
      <c r="B18">
        <v>2837.5309999999999</v>
      </c>
      <c r="C18">
        <v>2859.3150000000001</v>
      </c>
      <c r="D18">
        <v>3121.5149999999999</v>
      </c>
      <c r="E18">
        <v>3016.6030000000001</v>
      </c>
      <c r="F18">
        <v>3221.7429999999999</v>
      </c>
      <c r="H18" s="2">
        <f t="shared" si="0"/>
        <v>3011.3414000000002</v>
      </c>
      <c r="I18" s="2">
        <f t="shared" si="1"/>
        <v>74.079963991351917</v>
      </c>
      <c r="K18">
        <v>10</v>
      </c>
      <c r="L18">
        <v>2952.0790000000002</v>
      </c>
      <c r="M18">
        <v>2829.5859999999998</v>
      </c>
      <c r="O18">
        <v>3320.337</v>
      </c>
      <c r="P18">
        <v>2368.819</v>
      </c>
      <c r="R18" s="3">
        <f t="shared" si="2"/>
        <v>2867.70525</v>
      </c>
      <c r="S18" s="3">
        <f t="shared" si="3"/>
        <v>196.28529373863572</v>
      </c>
    </row>
    <row r="19" spans="1:19" x14ac:dyDescent="0.25">
      <c r="A19">
        <v>11.25</v>
      </c>
      <c r="B19">
        <v>2458.3119999999999</v>
      </c>
      <c r="C19">
        <v>2500.0250000000001</v>
      </c>
      <c r="D19">
        <v>2756.72</v>
      </c>
      <c r="E19">
        <v>2639.732</v>
      </c>
      <c r="F19">
        <v>2863.1570000000002</v>
      </c>
      <c r="H19" s="2">
        <f t="shared" si="0"/>
        <v>2643.5891999999999</v>
      </c>
      <c r="I19" s="2">
        <f t="shared" si="1"/>
        <v>76.145188639466909</v>
      </c>
      <c r="K19">
        <v>11.25</v>
      </c>
      <c r="L19">
        <v>2623.547</v>
      </c>
      <c r="M19">
        <v>2467.9140000000002</v>
      </c>
      <c r="O19">
        <v>2887.7510000000002</v>
      </c>
      <c r="P19">
        <v>2089.9409999999998</v>
      </c>
      <c r="R19" s="3">
        <f t="shared" si="2"/>
        <v>2517.2882500000001</v>
      </c>
      <c r="S19" s="3">
        <f t="shared" si="3"/>
        <v>166.73258523124949</v>
      </c>
    </row>
    <row r="20" spans="1:19" x14ac:dyDescent="0.25">
      <c r="A20">
        <v>12.5</v>
      </c>
      <c r="B20">
        <v>2280.0940000000001</v>
      </c>
      <c r="C20">
        <v>2300.7860000000001</v>
      </c>
      <c r="D20">
        <v>2547.857</v>
      </c>
      <c r="E20">
        <v>2433.1060000000002</v>
      </c>
      <c r="F20">
        <v>2659.3409999999999</v>
      </c>
      <c r="H20" s="2">
        <f t="shared" si="0"/>
        <v>2444.2368000000001</v>
      </c>
      <c r="I20" s="2">
        <f t="shared" si="1"/>
        <v>72.336660216932842</v>
      </c>
      <c r="K20">
        <v>12.5</v>
      </c>
      <c r="L20">
        <v>2430.7930000000001</v>
      </c>
      <c r="M20">
        <v>2236.5630000000001</v>
      </c>
      <c r="O20">
        <v>2680.511</v>
      </c>
      <c r="P20">
        <v>1951.348</v>
      </c>
      <c r="R20" s="3">
        <f t="shared" si="2"/>
        <v>2324.80375</v>
      </c>
      <c r="S20" s="3">
        <f t="shared" si="3"/>
        <v>154.11494519425867</v>
      </c>
    </row>
    <row r="21" spans="1:19" x14ac:dyDescent="0.25">
      <c r="A21">
        <v>13.75</v>
      </c>
      <c r="B21">
        <v>2229.6990000000001</v>
      </c>
      <c r="C21">
        <v>2253.0529999999999</v>
      </c>
      <c r="D21">
        <v>2457.415</v>
      </c>
      <c r="E21">
        <v>2391.67</v>
      </c>
      <c r="F21">
        <v>2603.3490000000002</v>
      </c>
      <c r="H21" s="2">
        <f t="shared" si="0"/>
        <v>2387.0371999999998</v>
      </c>
      <c r="I21" s="2">
        <f t="shared" si="1"/>
        <v>68.728584816217506</v>
      </c>
      <c r="K21">
        <v>13.75</v>
      </c>
      <c r="L21">
        <v>2387.7730000000001</v>
      </c>
      <c r="M21">
        <v>2149.4540000000002</v>
      </c>
      <c r="O21">
        <v>2628.4920000000002</v>
      </c>
      <c r="P21">
        <v>1910.6</v>
      </c>
      <c r="R21" s="3">
        <f t="shared" si="2"/>
        <v>2269.0797500000003</v>
      </c>
      <c r="S21" s="3">
        <f t="shared" si="3"/>
        <v>154.40296420641982</v>
      </c>
    </row>
    <row r="22" spans="1:19" x14ac:dyDescent="0.25">
      <c r="A22">
        <v>15</v>
      </c>
      <c r="B22">
        <v>2218.2640000000001</v>
      </c>
      <c r="C22">
        <v>2245.692</v>
      </c>
      <c r="D22">
        <v>2447.2330000000002</v>
      </c>
      <c r="E22">
        <v>2381.971</v>
      </c>
      <c r="F22">
        <v>2590.058</v>
      </c>
      <c r="H22" s="2">
        <f t="shared" si="0"/>
        <v>2376.6436000000003</v>
      </c>
      <c r="I22" s="2">
        <f t="shared" si="1"/>
        <v>68.113643988998263</v>
      </c>
      <c r="K22">
        <v>15</v>
      </c>
      <c r="L22">
        <v>2386.3049999999998</v>
      </c>
      <c r="M22">
        <v>2124.663</v>
      </c>
      <c r="O22">
        <v>2629.4720000000002</v>
      </c>
      <c r="P22">
        <v>1899.6590000000001</v>
      </c>
      <c r="R22" s="3">
        <f t="shared" si="2"/>
        <v>2260.02475</v>
      </c>
      <c r="S22" s="3">
        <f t="shared" si="3"/>
        <v>158.27830163163873</v>
      </c>
    </row>
    <row r="23" spans="1:19" x14ac:dyDescent="0.25">
      <c r="A23">
        <v>16.25</v>
      </c>
      <c r="B23">
        <v>2234.9470000000001</v>
      </c>
      <c r="C23">
        <v>2253.9050000000002</v>
      </c>
      <c r="D23">
        <v>2463.91</v>
      </c>
      <c r="E23">
        <v>2398.7919999999999</v>
      </c>
      <c r="F23">
        <v>2602.6840000000002</v>
      </c>
      <c r="H23" s="2">
        <f t="shared" si="0"/>
        <v>2390.8476000000001</v>
      </c>
      <c r="I23" s="2">
        <f t="shared" si="1"/>
        <v>68.313307973337075</v>
      </c>
      <c r="K23">
        <v>16.25</v>
      </c>
      <c r="L23">
        <v>2409.875</v>
      </c>
      <c r="M23">
        <v>2134.9560000000001</v>
      </c>
      <c r="O23">
        <v>2642.6610000000001</v>
      </c>
      <c r="P23">
        <v>1906.4780000000001</v>
      </c>
      <c r="R23" s="3">
        <f t="shared" si="2"/>
        <v>2273.4925000000003</v>
      </c>
      <c r="S23" s="3">
        <f t="shared" si="3"/>
        <v>160.41030015271207</v>
      </c>
    </row>
    <row r="24" spans="1:19" x14ac:dyDescent="0.25">
      <c r="A24">
        <v>17.5</v>
      </c>
      <c r="B24">
        <v>2241.7800000000002</v>
      </c>
      <c r="C24">
        <v>2274.0410000000002</v>
      </c>
      <c r="D24">
        <v>2483.0889999999999</v>
      </c>
      <c r="E24">
        <v>2407.3090000000002</v>
      </c>
      <c r="F24">
        <v>2643.8780000000002</v>
      </c>
      <c r="H24" s="2">
        <f t="shared" si="0"/>
        <v>2410.0194000000001</v>
      </c>
      <c r="I24" s="2">
        <f t="shared" si="1"/>
        <v>73.085900995061948</v>
      </c>
      <c r="K24">
        <v>17.5</v>
      </c>
      <c r="L24">
        <v>2438.681</v>
      </c>
      <c r="M24">
        <v>2154.0479999999998</v>
      </c>
      <c r="O24">
        <v>2653.569</v>
      </c>
      <c r="P24">
        <v>1915.0329999999999</v>
      </c>
      <c r="R24" s="3">
        <f t="shared" si="2"/>
        <v>2290.3327499999996</v>
      </c>
      <c r="S24" s="3">
        <f t="shared" si="3"/>
        <v>161.59909550715204</v>
      </c>
    </row>
    <row r="25" spans="1:19" x14ac:dyDescent="0.25">
      <c r="A25">
        <v>18.75</v>
      </c>
      <c r="B25">
        <v>2249.4789999999998</v>
      </c>
      <c r="C25">
        <v>2274.6840000000002</v>
      </c>
      <c r="D25">
        <v>2500.0680000000002</v>
      </c>
      <c r="E25">
        <v>2410.3829999999998</v>
      </c>
      <c r="F25">
        <v>2675.4009999999998</v>
      </c>
      <c r="H25" s="2">
        <f t="shared" si="0"/>
        <v>2422.0030000000002</v>
      </c>
      <c r="I25" s="2">
        <f t="shared" si="1"/>
        <v>78.072765214894218</v>
      </c>
      <c r="K25">
        <v>18.75</v>
      </c>
      <c r="L25">
        <v>2434.9029999999998</v>
      </c>
      <c r="M25">
        <v>2172.3229999999999</v>
      </c>
      <c r="O25">
        <v>2657.8</v>
      </c>
      <c r="P25">
        <v>1915.2660000000001</v>
      </c>
      <c r="R25" s="3">
        <f t="shared" si="2"/>
        <v>2295.0729999999999</v>
      </c>
      <c r="S25" s="3">
        <f t="shared" si="3"/>
        <v>160.84263146991515</v>
      </c>
    </row>
    <row r="26" spans="1:19" x14ac:dyDescent="0.25">
      <c r="A26">
        <v>20</v>
      </c>
      <c r="B26">
        <v>2257.7249999999999</v>
      </c>
      <c r="C26">
        <v>2301.1329999999998</v>
      </c>
      <c r="D26">
        <v>2525.779</v>
      </c>
      <c r="E26">
        <v>2419.3890000000001</v>
      </c>
      <c r="F26">
        <v>2668.94</v>
      </c>
      <c r="H26" s="2">
        <f t="shared" si="0"/>
        <v>2434.5932000000003</v>
      </c>
      <c r="I26" s="2">
        <f t="shared" si="1"/>
        <v>75.019472687029761</v>
      </c>
      <c r="K26">
        <v>20</v>
      </c>
      <c r="L26">
        <v>2435.5390000000002</v>
      </c>
      <c r="M26">
        <v>2193.828</v>
      </c>
      <c r="O26">
        <v>2670.4679999999998</v>
      </c>
      <c r="P26">
        <v>1917.2360000000001</v>
      </c>
      <c r="R26" s="3">
        <f t="shared" si="2"/>
        <v>2304.26775</v>
      </c>
      <c r="S26" s="3">
        <f t="shared" si="3"/>
        <v>161.58725147340422</v>
      </c>
    </row>
    <row r="27" spans="1:19" x14ac:dyDescent="0.25">
      <c r="A27">
        <v>21.25</v>
      </c>
      <c r="B27">
        <v>2259.5680000000002</v>
      </c>
      <c r="C27">
        <v>2303.3989999999999</v>
      </c>
      <c r="D27">
        <v>2531.6529999999998</v>
      </c>
      <c r="E27">
        <v>2418.6509999999998</v>
      </c>
      <c r="F27">
        <v>2658.9839999999999</v>
      </c>
      <c r="H27" s="2">
        <f t="shared" si="0"/>
        <v>2434.451</v>
      </c>
      <c r="I27" s="2">
        <f t="shared" si="1"/>
        <v>73.441006013670545</v>
      </c>
      <c r="K27">
        <v>21.25</v>
      </c>
      <c r="L27">
        <v>2426.39</v>
      </c>
      <c r="M27">
        <v>2208.0230000000001</v>
      </c>
      <c r="O27">
        <v>2652.5210000000002</v>
      </c>
      <c r="P27">
        <v>1909.3979999999999</v>
      </c>
      <c r="R27" s="3">
        <f t="shared" si="2"/>
        <v>2299.0830000000001</v>
      </c>
      <c r="S27" s="3">
        <f t="shared" si="3"/>
        <v>158.44868120782837</v>
      </c>
    </row>
    <row r="28" spans="1:19" x14ac:dyDescent="0.25">
      <c r="A28">
        <v>22.5</v>
      </c>
      <c r="B28">
        <v>2236.3580000000002</v>
      </c>
      <c r="C28">
        <v>2272.154</v>
      </c>
      <c r="D28">
        <v>2504.741</v>
      </c>
      <c r="E28">
        <v>2390.4949999999999</v>
      </c>
      <c r="F28">
        <v>2640.7910000000002</v>
      </c>
      <c r="H28" s="2">
        <f t="shared" si="0"/>
        <v>2408.9078</v>
      </c>
      <c r="I28" s="2">
        <f t="shared" si="1"/>
        <v>74.755564061412841</v>
      </c>
      <c r="K28">
        <v>22.5</v>
      </c>
      <c r="L28">
        <v>2394.8270000000002</v>
      </c>
      <c r="M28">
        <v>2189.9920000000002</v>
      </c>
      <c r="O28">
        <v>2604.152</v>
      </c>
      <c r="P28">
        <v>1891.9259999999999</v>
      </c>
      <c r="R28" s="3">
        <f t="shared" si="2"/>
        <v>2270.2242500000002</v>
      </c>
      <c r="S28" s="3">
        <f t="shared" si="3"/>
        <v>151.81687637324444</v>
      </c>
    </row>
    <row r="29" spans="1:19" x14ac:dyDescent="0.25">
      <c r="A29">
        <v>23.75</v>
      </c>
      <c r="B29">
        <v>2193.77</v>
      </c>
      <c r="C29">
        <v>2246.4679999999998</v>
      </c>
      <c r="D29">
        <v>2477.0030000000002</v>
      </c>
      <c r="E29">
        <v>2350.5749999999998</v>
      </c>
      <c r="F29">
        <v>2610.424</v>
      </c>
      <c r="H29" s="2">
        <f t="shared" si="0"/>
        <v>2375.6479999999997</v>
      </c>
      <c r="I29" s="2">
        <f t="shared" si="1"/>
        <v>76.088218803570399</v>
      </c>
      <c r="K29">
        <v>23.75</v>
      </c>
      <c r="L29">
        <v>2353.2330000000002</v>
      </c>
      <c r="M29">
        <v>2166.0430000000001</v>
      </c>
      <c r="O29">
        <v>2564.8829999999998</v>
      </c>
      <c r="P29">
        <v>1868.84</v>
      </c>
      <c r="R29" s="3">
        <f t="shared" si="2"/>
        <v>2238.2497499999999</v>
      </c>
      <c r="S29" s="3">
        <f t="shared" si="3"/>
        <v>147.64478936701181</v>
      </c>
    </row>
    <row r="30" spans="1:19" x14ac:dyDescent="0.25">
      <c r="A30">
        <v>25</v>
      </c>
      <c r="B30">
        <v>2192.4580000000001</v>
      </c>
      <c r="C30">
        <v>2256.1950000000002</v>
      </c>
      <c r="D30">
        <v>2476.2420000000002</v>
      </c>
      <c r="E30">
        <v>2342.4740000000002</v>
      </c>
      <c r="F30">
        <v>2597.3200000000002</v>
      </c>
      <c r="H30" s="2">
        <f t="shared" si="0"/>
        <v>2372.9378000000002</v>
      </c>
      <c r="I30" s="2">
        <f t="shared" si="1"/>
        <v>73.535369749801362</v>
      </c>
      <c r="K30">
        <v>25</v>
      </c>
      <c r="L30">
        <v>2359.9870000000001</v>
      </c>
      <c r="M30">
        <v>2162.654</v>
      </c>
      <c r="O30">
        <v>2595.8119999999999</v>
      </c>
      <c r="P30">
        <v>1868.4970000000001</v>
      </c>
      <c r="R30" s="3">
        <f t="shared" si="2"/>
        <v>2246.7374999999997</v>
      </c>
      <c r="S30" s="3">
        <f t="shared" si="3"/>
        <v>154.06015237913954</v>
      </c>
    </row>
    <row r="31" spans="1:19" x14ac:dyDescent="0.25">
      <c r="A31">
        <v>26.25</v>
      </c>
      <c r="B31">
        <v>2233.3739999999998</v>
      </c>
      <c r="C31">
        <v>2291.9209999999998</v>
      </c>
      <c r="D31">
        <v>2510.6109999999999</v>
      </c>
      <c r="E31">
        <v>2389.3000000000002</v>
      </c>
      <c r="F31">
        <v>2649.9760000000001</v>
      </c>
      <c r="H31" s="2">
        <f t="shared" si="0"/>
        <v>2415.0364</v>
      </c>
      <c r="I31" s="2">
        <f t="shared" si="1"/>
        <v>75.217056373272186</v>
      </c>
      <c r="K31">
        <v>26.25</v>
      </c>
      <c r="L31">
        <v>2409.2469999999998</v>
      </c>
      <c r="M31">
        <v>2184.8969999999999</v>
      </c>
      <c r="O31">
        <v>2638.44</v>
      </c>
      <c r="P31">
        <v>1885.643</v>
      </c>
      <c r="R31" s="3">
        <f t="shared" si="2"/>
        <v>2279.5567500000002</v>
      </c>
      <c r="S31" s="3">
        <f t="shared" si="3"/>
        <v>160.66146052718659</v>
      </c>
    </row>
    <row r="32" spans="1:19" x14ac:dyDescent="0.25">
      <c r="A32">
        <v>27.5</v>
      </c>
      <c r="B32">
        <v>2243.6880000000001</v>
      </c>
      <c r="C32">
        <v>2311.2469999999998</v>
      </c>
      <c r="D32">
        <v>2522.1219999999998</v>
      </c>
      <c r="E32">
        <v>2419.384</v>
      </c>
      <c r="F32">
        <v>2682.7060000000001</v>
      </c>
      <c r="H32" s="2">
        <f t="shared" si="0"/>
        <v>2435.8293999999996</v>
      </c>
      <c r="I32" s="2">
        <f t="shared" si="1"/>
        <v>77.815169346085725</v>
      </c>
      <c r="K32">
        <v>27.5</v>
      </c>
      <c r="L32">
        <v>2422.6350000000002</v>
      </c>
      <c r="M32">
        <v>2193.0970000000002</v>
      </c>
      <c r="O32">
        <v>2656.549</v>
      </c>
      <c r="P32">
        <v>1905.7349999999999</v>
      </c>
      <c r="R32" s="3">
        <f t="shared" si="2"/>
        <v>2294.5039999999999</v>
      </c>
      <c r="S32" s="3">
        <f t="shared" si="3"/>
        <v>160.4469928553778</v>
      </c>
    </row>
    <row r="33" spans="1:19" x14ac:dyDescent="0.25">
      <c r="A33">
        <v>28.75</v>
      </c>
      <c r="B33">
        <v>2246.982</v>
      </c>
      <c r="C33">
        <v>2294.2260000000001</v>
      </c>
      <c r="D33">
        <v>2513.9140000000002</v>
      </c>
      <c r="E33">
        <v>2426.1880000000001</v>
      </c>
      <c r="F33">
        <v>2687.0909999999999</v>
      </c>
      <c r="H33" s="2">
        <f t="shared" si="0"/>
        <v>2433.6802000000002</v>
      </c>
      <c r="I33" s="2">
        <f t="shared" si="1"/>
        <v>79.061470091568609</v>
      </c>
      <c r="K33">
        <v>28.75</v>
      </c>
      <c r="L33">
        <v>2429.0239999999999</v>
      </c>
      <c r="M33">
        <v>2198.8589999999999</v>
      </c>
      <c r="O33">
        <v>2676.1959999999999</v>
      </c>
      <c r="P33">
        <v>1929.1110000000001</v>
      </c>
      <c r="R33" s="3">
        <f t="shared" si="2"/>
        <v>2308.2975000000001</v>
      </c>
      <c r="S33" s="3">
        <f t="shared" si="3"/>
        <v>159.60455851076611</v>
      </c>
    </row>
    <row r="34" spans="1:19" x14ac:dyDescent="0.25">
      <c r="A34">
        <v>30</v>
      </c>
      <c r="B34">
        <v>2252.886</v>
      </c>
      <c r="C34">
        <v>2297.1260000000002</v>
      </c>
      <c r="D34">
        <v>2532.4989999999998</v>
      </c>
      <c r="E34">
        <v>2450.4699999999998</v>
      </c>
      <c r="F34">
        <v>2707.9029999999998</v>
      </c>
      <c r="H34" s="2">
        <f t="shared" si="0"/>
        <v>2448.1768000000002</v>
      </c>
      <c r="I34" s="2">
        <f t="shared" si="1"/>
        <v>82.318901805964288</v>
      </c>
      <c r="K34">
        <v>30</v>
      </c>
      <c r="L34">
        <v>2459.3919999999998</v>
      </c>
      <c r="M34">
        <v>2230.4090000000001</v>
      </c>
      <c r="O34">
        <v>2676.1410000000001</v>
      </c>
      <c r="P34">
        <v>1945.9590000000001</v>
      </c>
      <c r="R34" s="3">
        <f t="shared" si="2"/>
        <v>2327.97525</v>
      </c>
      <c r="S34" s="3">
        <f t="shared" si="3"/>
        <v>156.51020734996567</v>
      </c>
    </row>
    <row r="35" spans="1:19" x14ac:dyDescent="0.25">
      <c r="A35">
        <v>31.25</v>
      </c>
      <c r="B35">
        <v>2260.4070000000002</v>
      </c>
      <c r="C35">
        <v>2329.7399999999998</v>
      </c>
      <c r="D35">
        <v>2561.4569999999999</v>
      </c>
      <c r="E35">
        <v>2472.4949999999999</v>
      </c>
      <c r="F35">
        <v>2728.6790000000001</v>
      </c>
      <c r="H35" s="2">
        <f t="shared" si="0"/>
        <v>2470.5555999999997</v>
      </c>
      <c r="I35" s="2">
        <f t="shared" si="1"/>
        <v>83.332461474265841</v>
      </c>
      <c r="K35">
        <v>31.25</v>
      </c>
      <c r="L35">
        <v>2484.0340000000001</v>
      </c>
      <c r="M35">
        <v>2257.9430000000002</v>
      </c>
      <c r="O35">
        <v>2689.346</v>
      </c>
      <c r="P35">
        <v>1954.087</v>
      </c>
      <c r="R35" s="3">
        <f t="shared" si="2"/>
        <v>2346.3525</v>
      </c>
      <c r="S35" s="3">
        <f t="shared" si="3"/>
        <v>157.66240269031701</v>
      </c>
    </row>
    <row r="36" spans="1:19" x14ac:dyDescent="0.25">
      <c r="A36">
        <v>32.5</v>
      </c>
      <c r="B36">
        <v>2249.5889999999999</v>
      </c>
      <c r="C36">
        <v>2347.1460000000002</v>
      </c>
      <c r="D36">
        <v>2557.2869999999998</v>
      </c>
      <c r="E36">
        <v>2454.895</v>
      </c>
      <c r="F36">
        <v>2738.212</v>
      </c>
      <c r="H36" s="2">
        <f t="shared" si="0"/>
        <v>2469.4258</v>
      </c>
      <c r="I36" s="2">
        <f t="shared" si="1"/>
        <v>84.692775384562736</v>
      </c>
      <c r="K36">
        <v>32.5</v>
      </c>
      <c r="L36">
        <v>2488.6889999999999</v>
      </c>
      <c r="M36">
        <v>2248.0300000000002</v>
      </c>
      <c r="O36">
        <v>2700.136</v>
      </c>
      <c r="P36">
        <v>1972.944</v>
      </c>
      <c r="R36" s="3">
        <f t="shared" si="2"/>
        <v>2352.4497499999998</v>
      </c>
      <c r="S36" s="3">
        <f t="shared" si="3"/>
        <v>156.62454047624868</v>
      </c>
    </row>
    <row r="37" spans="1:19" x14ac:dyDescent="0.25">
      <c r="A37">
        <v>33.75</v>
      </c>
      <c r="B37">
        <v>2234.8580000000002</v>
      </c>
      <c r="C37">
        <v>2341.8009999999999</v>
      </c>
      <c r="D37">
        <v>2553.5160000000001</v>
      </c>
      <c r="E37">
        <v>2440.5929999999998</v>
      </c>
      <c r="F37">
        <v>2735.6469999999999</v>
      </c>
      <c r="H37" s="2">
        <f t="shared" si="0"/>
        <v>2461.2830000000004</v>
      </c>
      <c r="I37" s="2">
        <f t="shared" si="1"/>
        <v>86.531738637912468</v>
      </c>
      <c r="K37">
        <v>33.75</v>
      </c>
      <c r="L37">
        <v>2496.0770000000002</v>
      </c>
      <c r="M37">
        <v>2245.145</v>
      </c>
      <c r="O37">
        <v>2712.2440000000001</v>
      </c>
      <c r="P37">
        <v>1961.9380000000001</v>
      </c>
      <c r="R37" s="3">
        <f t="shared" si="2"/>
        <v>2353.8510000000001</v>
      </c>
      <c r="S37" s="3">
        <f t="shared" si="3"/>
        <v>161.78343846275982</v>
      </c>
    </row>
    <row r="38" spans="1:19" x14ac:dyDescent="0.25">
      <c r="A38">
        <v>35</v>
      </c>
      <c r="B38">
        <v>2214.1509999999998</v>
      </c>
      <c r="C38">
        <v>2321.0050000000001</v>
      </c>
      <c r="D38">
        <v>2535.3969999999999</v>
      </c>
      <c r="E38">
        <v>2424.2080000000001</v>
      </c>
      <c r="F38">
        <v>2717.94</v>
      </c>
      <c r="H38" s="2">
        <f t="shared" si="0"/>
        <v>2442.5402000000004</v>
      </c>
      <c r="I38" s="2">
        <f t="shared" si="1"/>
        <v>87.102220470777908</v>
      </c>
      <c r="K38">
        <v>35</v>
      </c>
      <c r="L38">
        <v>2475.433</v>
      </c>
      <c r="M38">
        <v>2237.6770000000001</v>
      </c>
      <c r="O38">
        <v>2694.3969999999999</v>
      </c>
      <c r="P38">
        <v>1939.145</v>
      </c>
      <c r="R38" s="3">
        <f t="shared" si="2"/>
        <v>2336.663</v>
      </c>
      <c r="S38" s="3">
        <f t="shared" si="3"/>
        <v>162.03125114619004</v>
      </c>
    </row>
    <row r="39" spans="1:19" x14ac:dyDescent="0.25">
      <c r="A39">
        <v>36.25</v>
      </c>
      <c r="B39">
        <v>2120.6280000000002</v>
      </c>
      <c r="C39">
        <v>2215.5149999999999</v>
      </c>
      <c r="D39">
        <v>2429.1909999999998</v>
      </c>
      <c r="E39">
        <v>2328.9549999999999</v>
      </c>
      <c r="F39">
        <v>2594.0369999999998</v>
      </c>
      <c r="H39" s="2">
        <f t="shared" si="0"/>
        <v>2337.6652000000004</v>
      </c>
      <c r="I39" s="2">
        <f t="shared" si="1"/>
        <v>82.524286433994632</v>
      </c>
      <c r="K39">
        <v>36.25</v>
      </c>
      <c r="L39">
        <v>2345.9609999999998</v>
      </c>
      <c r="M39">
        <v>2134.6350000000002</v>
      </c>
      <c r="O39">
        <v>2560.6489999999999</v>
      </c>
      <c r="P39">
        <v>1854.3040000000001</v>
      </c>
      <c r="R39" s="3">
        <f t="shared" si="2"/>
        <v>2223.8872499999998</v>
      </c>
      <c r="S39" s="3">
        <f t="shared" si="3"/>
        <v>150.79462289063704</v>
      </c>
    </row>
    <row r="40" spans="1:19" x14ac:dyDescent="0.25">
      <c r="A40">
        <v>37.5</v>
      </c>
      <c r="B40">
        <v>1960.482</v>
      </c>
      <c r="C40">
        <v>2041.0989999999999</v>
      </c>
      <c r="D40">
        <v>2234.2600000000002</v>
      </c>
      <c r="E40">
        <v>2134.7020000000002</v>
      </c>
      <c r="F40">
        <v>2369.5630000000001</v>
      </c>
      <c r="H40" s="2">
        <f t="shared" si="0"/>
        <v>2148.0212000000001</v>
      </c>
      <c r="I40" s="2">
        <f t="shared" si="1"/>
        <v>71.867450647285423</v>
      </c>
      <c r="K40">
        <v>37.5</v>
      </c>
      <c r="L40">
        <v>2149.1489999999999</v>
      </c>
      <c r="M40">
        <v>1969.6410000000001</v>
      </c>
      <c r="O40">
        <v>2338.4349999999999</v>
      </c>
      <c r="P40">
        <v>1714.5940000000001</v>
      </c>
      <c r="R40" s="3">
        <f t="shared" si="2"/>
        <v>2042.9547500000001</v>
      </c>
      <c r="S40" s="3">
        <f t="shared" si="3"/>
        <v>132.84749557065669</v>
      </c>
    </row>
    <row r="41" spans="1:19" x14ac:dyDescent="0.25">
      <c r="A41">
        <v>38.75</v>
      </c>
      <c r="B41">
        <v>1785.086</v>
      </c>
      <c r="C41">
        <v>1874.9960000000001</v>
      </c>
      <c r="D41">
        <v>2048.6089999999999</v>
      </c>
      <c r="E41">
        <v>1951.7270000000001</v>
      </c>
      <c r="F41">
        <v>2160.221</v>
      </c>
      <c r="H41" s="2">
        <f t="shared" si="0"/>
        <v>1964.1278000000002</v>
      </c>
      <c r="I41" s="2">
        <f t="shared" si="1"/>
        <v>65.476652326917247</v>
      </c>
      <c r="K41">
        <v>38.75</v>
      </c>
      <c r="L41">
        <v>1964.866</v>
      </c>
      <c r="M41">
        <v>1810.5070000000001</v>
      </c>
      <c r="O41">
        <v>2126.5279999999998</v>
      </c>
      <c r="P41">
        <v>1581.5709999999999</v>
      </c>
      <c r="R41" s="3">
        <f t="shared" si="2"/>
        <v>1870.8679999999999</v>
      </c>
      <c r="S41" s="3">
        <f t="shared" si="3"/>
        <v>116.02221918451677</v>
      </c>
    </row>
    <row r="42" spans="1:19" x14ac:dyDescent="0.25">
      <c r="A42">
        <v>40</v>
      </c>
      <c r="B42">
        <v>1697.1679999999999</v>
      </c>
      <c r="C42">
        <v>1779.827</v>
      </c>
      <c r="D42">
        <v>1941.0930000000001</v>
      </c>
      <c r="E42">
        <v>1853.548</v>
      </c>
      <c r="F42">
        <v>2053.9290000000001</v>
      </c>
      <c r="H42" s="2">
        <f t="shared" si="0"/>
        <v>1865.1129999999998</v>
      </c>
      <c r="I42" s="2">
        <f t="shared" si="1"/>
        <v>62.063441856700187</v>
      </c>
      <c r="K42">
        <v>40</v>
      </c>
      <c r="L42">
        <v>1858.973</v>
      </c>
      <c r="M42">
        <v>1705.8779999999999</v>
      </c>
      <c r="O42">
        <v>2010.83</v>
      </c>
      <c r="P42">
        <v>1507.5360000000001</v>
      </c>
      <c r="R42" s="3">
        <f t="shared" si="2"/>
        <v>1770.8042499999999</v>
      </c>
      <c r="S42" s="3">
        <f t="shared" si="3"/>
        <v>107.59169675860618</v>
      </c>
    </row>
    <row r="43" spans="1:19" x14ac:dyDescent="0.25">
      <c r="A43">
        <v>41.25</v>
      </c>
      <c r="B43">
        <v>1685.2729999999999</v>
      </c>
      <c r="C43">
        <v>1734.174</v>
      </c>
      <c r="D43">
        <v>1904.1030000000001</v>
      </c>
      <c r="E43">
        <v>1812.0350000000001</v>
      </c>
      <c r="F43">
        <v>2010.7619999999999</v>
      </c>
      <c r="H43" s="2">
        <f t="shared" si="0"/>
        <v>1829.2693999999999</v>
      </c>
      <c r="I43" s="2">
        <f t="shared" si="1"/>
        <v>58.572499691066625</v>
      </c>
      <c r="K43">
        <v>41.25</v>
      </c>
      <c r="L43">
        <v>1814.896</v>
      </c>
      <c r="M43">
        <v>1664.7750000000001</v>
      </c>
      <c r="O43">
        <v>1979.9179999999999</v>
      </c>
      <c r="P43">
        <v>1476.0940000000001</v>
      </c>
      <c r="R43" s="3">
        <f t="shared" si="2"/>
        <v>1733.92075</v>
      </c>
      <c r="S43" s="3">
        <f t="shared" si="3"/>
        <v>107.36518906623887</v>
      </c>
    </row>
    <row r="44" spans="1:19" x14ac:dyDescent="0.25">
      <c r="A44">
        <v>42.5</v>
      </c>
      <c r="B44">
        <v>1689.009</v>
      </c>
      <c r="C44">
        <v>1735.0229999999999</v>
      </c>
      <c r="D44">
        <v>1911.9570000000001</v>
      </c>
      <c r="E44">
        <v>1814.645</v>
      </c>
      <c r="F44">
        <v>2000.02</v>
      </c>
      <c r="H44" s="2">
        <f t="shared" si="0"/>
        <v>1830.1308000000001</v>
      </c>
      <c r="I44" s="2">
        <f t="shared" si="1"/>
        <v>56.902782594878445</v>
      </c>
      <c r="K44">
        <v>42.5</v>
      </c>
      <c r="L44">
        <v>1823.8320000000001</v>
      </c>
      <c r="M44">
        <v>1658.123</v>
      </c>
      <c r="O44">
        <v>1979.521</v>
      </c>
      <c r="P44">
        <v>1459.327</v>
      </c>
      <c r="R44" s="3">
        <f t="shared" si="2"/>
        <v>1730.20075</v>
      </c>
      <c r="S44" s="3">
        <f t="shared" si="3"/>
        <v>111.61510819207751</v>
      </c>
    </row>
    <row r="45" spans="1:19" x14ac:dyDescent="0.25">
      <c r="A45">
        <v>43.75</v>
      </c>
      <c r="B45">
        <v>1679.6030000000001</v>
      </c>
      <c r="C45">
        <v>1752.4190000000001</v>
      </c>
      <c r="D45">
        <v>1914.962</v>
      </c>
      <c r="E45">
        <v>1835.3820000000001</v>
      </c>
      <c r="F45">
        <v>2017.6869999999999</v>
      </c>
      <c r="H45" s="2">
        <f t="shared" si="0"/>
        <v>1840.0106000000001</v>
      </c>
      <c r="I45" s="2">
        <f t="shared" si="1"/>
        <v>59.418400325656656</v>
      </c>
      <c r="K45">
        <v>43.75</v>
      </c>
      <c r="L45">
        <v>1855.1079999999999</v>
      </c>
      <c r="M45">
        <v>1665.4749999999999</v>
      </c>
      <c r="O45">
        <v>1997.34</v>
      </c>
      <c r="P45">
        <v>1456.1120000000001</v>
      </c>
      <c r="R45" s="3">
        <f t="shared" si="2"/>
        <v>1743.50875</v>
      </c>
      <c r="S45" s="3">
        <f t="shared" si="3"/>
        <v>117.46306303357295</v>
      </c>
    </row>
    <row r="46" spans="1:19" x14ac:dyDescent="0.25">
      <c r="A46">
        <v>45</v>
      </c>
      <c r="B46">
        <v>1690.2080000000001</v>
      </c>
      <c r="C46">
        <v>1762.482</v>
      </c>
      <c r="D46">
        <v>1920.877</v>
      </c>
      <c r="E46">
        <v>1851.1969999999999</v>
      </c>
      <c r="F46">
        <v>2051.7539999999999</v>
      </c>
      <c r="H46" s="2">
        <f t="shared" si="0"/>
        <v>1855.3036</v>
      </c>
      <c r="I46" s="2">
        <f t="shared" si="1"/>
        <v>62.762210436376414</v>
      </c>
      <c r="K46">
        <v>45</v>
      </c>
      <c r="L46">
        <v>1887.347</v>
      </c>
      <c r="M46">
        <v>1685.799</v>
      </c>
      <c r="O46">
        <v>2036.854</v>
      </c>
      <c r="P46">
        <v>1471.8720000000001</v>
      </c>
      <c r="R46" s="3">
        <f t="shared" si="2"/>
        <v>1770.4680000000001</v>
      </c>
      <c r="S46" s="3">
        <f t="shared" si="3"/>
        <v>122.79746618381995</v>
      </c>
    </row>
    <row r="47" spans="1:19" x14ac:dyDescent="0.25">
      <c r="A47">
        <v>46.25</v>
      </c>
      <c r="B47">
        <v>1754.4380000000001</v>
      </c>
      <c r="C47">
        <v>1792.95</v>
      </c>
      <c r="D47">
        <v>1956.3710000000001</v>
      </c>
      <c r="E47">
        <v>1892.241</v>
      </c>
      <c r="F47">
        <v>2139.9810000000002</v>
      </c>
      <c r="H47" s="2">
        <f t="shared" si="0"/>
        <v>1907.1961999999999</v>
      </c>
      <c r="I47" s="2">
        <f t="shared" si="1"/>
        <v>68.270727238985842</v>
      </c>
      <c r="K47">
        <v>46.25</v>
      </c>
      <c r="L47">
        <v>1933.6310000000001</v>
      </c>
      <c r="M47">
        <v>1740.213</v>
      </c>
      <c r="O47">
        <v>2104.86</v>
      </c>
      <c r="P47">
        <v>1506.7539999999999</v>
      </c>
      <c r="R47" s="3">
        <f t="shared" si="2"/>
        <v>1821.3644999999999</v>
      </c>
      <c r="S47" s="3">
        <f t="shared" si="3"/>
        <v>128.62697948104343</v>
      </c>
    </row>
    <row r="48" spans="1:19" x14ac:dyDescent="0.25">
      <c r="A48">
        <v>47.5</v>
      </c>
      <c r="B48">
        <v>1843.08</v>
      </c>
      <c r="C48">
        <v>1873.2729999999999</v>
      </c>
      <c r="D48">
        <v>2040.529</v>
      </c>
      <c r="E48">
        <v>1975.346</v>
      </c>
      <c r="F48">
        <v>2254.3629999999998</v>
      </c>
      <c r="H48" s="2">
        <f t="shared" si="0"/>
        <v>1997.3181999999997</v>
      </c>
      <c r="I48" s="2">
        <f t="shared" si="1"/>
        <v>73.348010879232433</v>
      </c>
      <c r="K48">
        <v>47.5</v>
      </c>
      <c r="L48">
        <v>2054.4789999999998</v>
      </c>
      <c r="M48">
        <v>1826.2049999999999</v>
      </c>
      <c r="O48">
        <v>2209.5169999999998</v>
      </c>
      <c r="P48">
        <v>1583.3409999999999</v>
      </c>
      <c r="R48" s="3">
        <f t="shared" si="2"/>
        <v>1918.3854999999999</v>
      </c>
      <c r="S48" s="3">
        <f t="shared" si="3"/>
        <v>136.63547995640343</v>
      </c>
    </row>
    <row r="49" spans="1:19" x14ac:dyDescent="0.25">
      <c r="A49">
        <v>48.75</v>
      </c>
      <c r="B49">
        <v>1909.7470000000001</v>
      </c>
      <c r="C49">
        <v>1958.152</v>
      </c>
      <c r="D49">
        <v>2135.4540000000002</v>
      </c>
      <c r="E49">
        <v>2069.3960000000002</v>
      </c>
      <c r="F49">
        <v>2344.0279999999998</v>
      </c>
      <c r="H49" s="2">
        <f t="shared" si="0"/>
        <v>2083.3554000000004</v>
      </c>
      <c r="I49" s="2">
        <f t="shared" si="1"/>
        <v>76.379022409035798</v>
      </c>
      <c r="K49">
        <v>48.75</v>
      </c>
      <c r="L49">
        <v>2145.7370000000001</v>
      </c>
      <c r="M49">
        <v>1922.857</v>
      </c>
      <c r="O49">
        <v>2290.326</v>
      </c>
      <c r="P49">
        <v>1653.37</v>
      </c>
      <c r="R49" s="3">
        <f t="shared" si="2"/>
        <v>2003.0725</v>
      </c>
      <c r="S49" s="3">
        <f t="shared" si="3"/>
        <v>138.92266966703684</v>
      </c>
    </row>
    <row r="50" spans="1:19" x14ac:dyDescent="0.25">
      <c r="A50">
        <v>50</v>
      </c>
      <c r="B50">
        <v>1950.8920000000001</v>
      </c>
      <c r="C50">
        <v>2011.328</v>
      </c>
      <c r="D50">
        <v>2181.5610000000001</v>
      </c>
      <c r="E50">
        <v>2118.4870000000001</v>
      </c>
      <c r="F50">
        <v>2376.1930000000002</v>
      </c>
      <c r="H50" s="2">
        <f t="shared" si="0"/>
        <v>2127.6922</v>
      </c>
      <c r="I50" s="2">
        <f t="shared" si="1"/>
        <v>74.006137813967868</v>
      </c>
      <c r="K50">
        <v>50</v>
      </c>
      <c r="L50">
        <v>2201.556</v>
      </c>
      <c r="M50">
        <v>1974.431</v>
      </c>
      <c r="O50">
        <v>2341.2199999999998</v>
      </c>
      <c r="P50">
        <v>1700.557</v>
      </c>
      <c r="R50" s="3">
        <f t="shared" si="2"/>
        <v>2054.4410000000003</v>
      </c>
      <c r="S50" s="3">
        <f t="shared" si="3"/>
        <v>140.0953555089043</v>
      </c>
    </row>
    <row r="51" spans="1:19" x14ac:dyDescent="0.25">
      <c r="A51">
        <v>51.25</v>
      </c>
      <c r="B51">
        <v>1967.954</v>
      </c>
      <c r="C51">
        <v>2039.6489999999999</v>
      </c>
      <c r="D51">
        <v>2221.5309999999999</v>
      </c>
      <c r="E51">
        <v>2158.5700000000002</v>
      </c>
      <c r="F51">
        <v>2388.4189999999999</v>
      </c>
      <c r="H51" s="2">
        <f t="shared" si="0"/>
        <v>2155.2246</v>
      </c>
      <c r="I51" s="2">
        <f t="shared" si="1"/>
        <v>73.217264191309411</v>
      </c>
      <c r="K51">
        <v>51.25</v>
      </c>
      <c r="L51">
        <v>2218.0410000000002</v>
      </c>
      <c r="M51">
        <v>1988.184</v>
      </c>
      <c r="O51">
        <v>2362.4630000000002</v>
      </c>
      <c r="P51">
        <v>1715.9690000000001</v>
      </c>
      <c r="R51" s="3">
        <f t="shared" si="2"/>
        <v>2071.1642499999998</v>
      </c>
      <c r="S51" s="3">
        <f t="shared" si="3"/>
        <v>141.26721988096324</v>
      </c>
    </row>
    <row r="52" spans="1:19" x14ac:dyDescent="0.25">
      <c r="A52">
        <v>52.5</v>
      </c>
      <c r="B52">
        <v>1967.27</v>
      </c>
      <c r="C52">
        <v>2046.413</v>
      </c>
      <c r="D52">
        <v>2244.8679999999999</v>
      </c>
      <c r="E52">
        <v>2176.732</v>
      </c>
      <c r="F52">
        <v>2409.152</v>
      </c>
      <c r="H52" s="2">
        <f t="shared" si="0"/>
        <v>2168.8869999999997</v>
      </c>
      <c r="I52" s="2">
        <f t="shared" si="1"/>
        <v>77.204670187754829</v>
      </c>
      <c r="K52">
        <v>52.5</v>
      </c>
      <c r="L52">
        <v>2210.2020000000002</v>
      </c>
      <c r="M52">
        <v>1991.3979999999999</v>
      </c>
      <c r="O52">
        <v>2367.5300000000002</v>
      </c>
      <c r="P52">
        <v>1710.922</v>
      </c>
      <c r="R52" s="3">
        <f t="shared" si="2"/>
        <v>2070.0130000000004</v>
      </c>
      <c r="S52" s="3">
        <f t="shared" si="3"/>
        <v>142.38913392413903</v>
      </c>
    </row>
    <row r="53" spans="1:19" x14ac:dyDescent="0.25">
      <c r="A53">
        <v>53.75</v>
      </c>
      <c r="B53">
        <v>1961.51</v>
      </c>
      <c r="C53">
        <v>2044.6990000000001</v>
      </c>
      <c r="D53">
        <v>2244.2890000000002</v>
      </c>
      <c r="E53">
        <v>2152.808</v>
      </c>
      <c r="F53">
        <v>2418.0210000000002</v>
      </c>
      <c r="H53" s="2">
        <f t="shared" si="0"/>
        <v>2164.2654000000002</v>
      </c>
      <c r="I53" s="2">
        <f t="shared" si="1"/>
        <v>79.477301583911398</v>
      </c>
      <c r="K53">
        <v>53.75</v>
      </c>
      <c r="L53">
        <v>2179.1590000000001</v>
      </c>
      <c r="M53">
        <v>1983.096</v>
      </c>
      <c r="O53">
        <v>2328.5700000000002</v>
      </c>
      <c r="P53">
        <v>1698.655</v>
      </c>
      <c r="R53" s="3">
        <f t="shared" si="2"/>
        <v>2047.3700000000001</v>
      </c>
      <c r="S53" s="3">
        <f t="shared" si="3"/>
        <v>136.06832806290072</v>
      </c>
    </row>
    <row r="54" spans="1:19" x14ac:dyDescent="0.25">
      <c r="A54">
        <v>55</v>
      </c>
      <c r="B54">
        <v>1916.866</v>
      </c>
      <c r="C54">
        <v>1991.164</v>
      </c>
      <c r="D54">
        <v>2189.2109999999998</v>
      </c>
      <c r="E54">
        <v>2088.8809999999999</v>
      </c>
      <c r="F54">
        <v>2359.5059999999999</v>
      </c>
      <c r="H54" s="2">
        <f t="shared" si="0"/>
        <v>2109.1255999999998</v>
      </c>
      <c r="I54" s="2">
        <f t="shared" si="1"/>
        <v>77.586259316067014</v>
      </c>
      <c r="K54">
        <v>55</v>
      </c>
      <c r="L54">
        <v>2081.2840000000001</v>
      </c>
      <c r="M54">
        <v>1927.8820000000001</v>
      </c>
      <c r="O54">
        <v>2203.1390000000001</v>
      </c>
      <c r="P54">
        <v>1654.787</v>
      </c>
      <c r="R54" s="3">
        <f t="shared" si="2"/>
        <v>1966.7730000000001</v>
      </c>
      <c r="S54" s="3">
        <f t="shared" si="3"/>
        <v>118.26151429283019</v>
      </c>
    </row>
    <row r="55" spans="1:19" x14ac:dyDescent="0.25">
      <c r="A55">
        <v>56.25</v>
      </c>
      <c r="B55">
        <v>1801.0820000000001</v>
      </c>
      <c r="C55">
        <v>1854.046</v>
      </c>
      <c r="D55">
        <v>2049.069</v>
      </c>
      <c r="E55">
        <v>1957.633</v>
      </c>
      <c r="F55">
        <v>2239.002</v>
      </c>
      <c r="H55" s="2">
        <f t="shared" si="0"/>
        <v>1980.1664000000001</v>
      </c>
      <c r="I55" s="2">
        <f t="shared" si="1"/>
        <v>77.533466273990328</v>
      </c>
      <c r="K55">
        <v>56.25</v>
      </c>
      <c r="L55">
        <v>1873.3440000000001</v>
      </c>
      <c r="M55">
        <v>1817.1420000000001</v>
      </c>
      <c r="O55">
        <v>2008.61</v>
      </c>
      <c r="P55">
        <v>1578.88</v>
      </c>
      <c r="R55" s="3">
        <f t="shared" si="2"/>
        <v>1819.4939999999999</v>
      </c>
      <c r="S55" s="3">
        <f t="shared" si="3"/>
        <v>89.705682120290788</v>
      </c>
    </row>
    <row r="56" spans="1:19" x14ac:dyDescent="0.25">
      <c r="A56">
        <v>57.5</v>
      </c>
      <c r="B56">
        <v>1659.403</v>
      </c>
      <c r="C56">
        <v>1708.8530000000001</v>
      </c>
      <c r="D56">
        <v>1882.6220000000001</v>
      </c>
      <c r="E56">
        <v>1780.4949999999999</v>
      </c>
      <c r="F56">
        <v>2114.6889999999999</v>
      </c>
      <c r="H56" s="2">
        <f t="shared" si="0"/>
        <v>1829.2123999999999</v>
      </c>
      <c r="I56" s="2">
        <f t="shared" si="1"/>
        <v>80.636368060323719</v>
      </c>
      <c r="K56">
        <v>57.5</v>
      </c>
      <c r="L56">
        <v>1677.079</v>
      </c>
      <c r="M56">
        <v>1678.104</v>
      </c>
      <c r="O56">
        <v>1845.175</v>
      </c>
      <c r="P56">
        <v>1468.665</v>
      </c>
      <c r="R56" s="3">
        <f t="shared" si="2"/>
        <v>1667.25575</v>
      </c>
      <c r="S56" s="3">
        <f t="shared" si="3"/>
        <v>77.086383511589347</v>
      </c>
    </row>
    <row r="57" spans="1:19" x14ac:dyDescent="0.25">
      <c r="A57">
        <v>58.75</v>
      </c>
      <c r="B57">
        <v>1547.5619999999999</v>
      </c>
      <c r="C57">
        <v>1581.7829999999999</v>
      </c>
      <c r="D57">
        <v>1752.394</v>
      </c>
      <c r="E57">
        <v>1629.4549999999999</v>
      </c>
      <c r="F57">
        <v>2004.65</v>
      </c>
      <c r="H57" s="2">
        <f t="shared" si="0"/>
        <v>1703.1687999999999</v>
      </c>
      <c r="I57" s="2">
        <f t="shared" si="1"/>
        <v>82.974618777913079</v>
      </c>
      <c r="K57">
        <v>58.75</v>
      </c>
      <c r="L57">
        <v>1561.327</v>
      </c>
      <c r="M57">
        <v>1559.921</v>
      </c>
      <c r="O57">
        <v>1729.759</v>
      </c>
      <c r="P57">
        <v>1367.79</v>
      </c>
      <c r="R57" s="3">
        <f t="shared" si="2"/>
        <v>1554.6992499999999</v>
      </c>
      <c r="S57" s="3">
        <f t="shared" si="3"/>
        <v>73.966308517656657</v>
      </c>
    </row>
    <row r="58" spans="1:19" x14ac:dyDescent="0.25">
      <c r="A58">
        <v>60</v>
      </c>
      <c r="B58">
        <v>1464.6510000000001</v>
      </c>
      <c r="C58">
        <v>1494.7339999999999</v>
      </c>
      <c r="D58">
        <v>1664.5350000000001</v>
      </c>
      <c r="E58">
        <v>1542.876</v>
      </c>
      <c r="F58">
        <v>1907.8530000000001</v>
      </c>
      <c r="H58" s="2">
        <f t="shared" si="0"/>
        <v>1614.9298000000001</v>
      </c>
      <c r="I58" s="2">
        <f t="shared" si="1"/>
        <v>80.773502810884708</v>
      </c>
      <c r="K58">
        <v>60</v>
      </c>
      <c r="L58">
        <v>1470.296</v>
      </c>
      <c r="M58">
        <v>1490.577</v>
      </c>
      <c r="O58">
        <v>1605.8409999999999</v>
      </c>
      <c r="P58">
        <v>1296.3119999999999</v>
      </c>
      <c r="R58" s="3">
        <f t="shared" si="2"/>
        <v>1465.7565</v>
      </c>
      <c r="S58" s="3">
        <f t="shared" si="3"/>
        <v>63.882555000693785</v>
      </c>
    </row>
    <row r="59" spans="1:19" x14ac:dyDescent="0.25">
      <c r="A59">
        <v>61.25</v>
      </c>
      <c r="B59">
        <v>1406.962</v>
      </c>
      <c r="C59">
        <v>1444.366</v>
      </c>
      <c r="D59">
        <v>1597.2190000000001</v>
      </c>
      <c r="E59">
        <v>1493.577</v>
      </c>
      <c r="F59">
        <v>1841.2059999999999</v>
      </c>
      <c r="H59" s="2">
        <f t="shared" si="0"/>
        <v>1556.6660000000002</v>
      </c>
      <c r="I59" s="2">
        <f t="shared" si="1"/>
        <v>77.977675313515192</v>
      </c>
      <c r="K59">
        <v>61.25</v>
      </c>
      <c r="L59">
        <v>1432.982</v>
      </c>
      <c r="M59">
        <v>1431.027</v>
      </c>
      <c r="O59">
        <v>1511.489</v>
      </c>
      <c r="P59">
        <v>1256.9490000000001</v>
      </c>
      <c r="R59" s="3">
        <f t="shared" si="2"/>
        <v>1408.11175</v>
      </c>
      <c r="S59" s="3">
        <f t="shared" si="3"/>
        <v>53.759240153631566</v>
      </c>
    </row>
    <row r="60" spans="1:19" x14ac:dyDescent="0.25">
      <c r="A60">
        <v>62.5</v>
      </c>
      <c r="B60">
        <v>1367.835</v>
      </c>
      <c r="C60">
        <v>1406.9970000000001</v>
      </c>
      <c r="D60">
        <v>1554.1030000000001</v>
      </c>
      <c r="E60">
        <v>1457.575</v>
      </c>
      <c r="F60">
        <v>1791.1220000000001</v>
      </c>
      <c r="H60" s="2">
        <f t="shared" si="0"/>
        <v>1515.5264000000002</v>
      </c>
      <c r="I60" s="2">
        <f t="shared" si="1"/>
        <v>75.627651645148944</v>
      </c>
      <c r="K60">
        <v>62.5</v>
      </c>
      <c r="L60">
        <v>1403.768</v>
      </c>
      <c r="M60">
        <v>1393.4069999999999</v>
      </c>
      <c r="O60">
        <v>1454.4390000000001</v>
      </c>
      <c r="P60">
        <v>1243.963</v>
      </c>
      <c r="R60" s="3">
        <f t="shared" si="2"/>
        <v>1373.8942500000001</v>
      </c>
      <c r="S60" s="3">
        <f t="shared" si="3"/>
        <v>45.31627267581888</v>
      </c>
    </row>
    <row r="61" spans="1:19" x14ac:dyDescent="0.25">
      <c r="A61">
        <v>63.75</v>
      </c>
      <c r="B61">
        <v>1355.903</v>
      </c>
      <c r="C61">
        <v>1380.104</v>
      </c>
      <c r="D61">
        <v>1528.6420000000001</v>
      </c>
      <c r="E61">
        <v>1428.6510000000001</v>
      </c>
      <c r="F61">
        <v>1741.9159999999999</v>
      </c>
      <c r="H61" s="2">
        <f t="shared" si="0"/>
        <v>1487.0432000000001</v>
      </c>
      <c r="I61" s="2">
        <f t="shared" si="1"/>
        <v>70.261653095696488</v>
      </c>
      <c r="K61">
        <v>63.75</v>
      </c>
      <c r="L61">
        <v>1357.6479999999999</v>
      </c>
      <c r="M61">
        <v>1372.5609999999999</v>
      </c>
      <c r="O61">
        <v>1439.9639999999999</v>
      </c>
      <c r="P61">
        <v>1218.124</v>
      </c>
      <c r="R61" s="3">
        <f t="shared" si="2"/>
        <v>1347.0742499999999</v>
      </c>
      <c r="S61" s="3">
        <f t="shared" si="3"/>
        <v>46.563622464994047</v>
      </c>
    </row>
    <row r="62" spans="1:19" x14ac:dyDescent="0.25">
      <c r="A62">
        <v>65</v>
      </c>
      <c r="B62">
        <v>1337.838</v>
      </c>
      <c r="C62">
        <v>1358.875</v>
      </c>
      <c r="D62">
        <v>1511.316</v>
      </c>
      <c r="E62">
        <v>1412.222</v>
      </c>
      <c r="F62">
        <v>1692.328</v>
      </c>
      <c r="H62" s="2">
        <f t="shared" si="0"/>
        <v>1462.5157999999999</v>
      </c>
      <c r="I62" s="2">
        <f t="shared" si="1"/>
        <v>64.811473654284399</v>
      </c>
      <c r="K62">
        <v>65</v>
      </c>
      <c r="L62">
        <v>1394.171</v>
      </c>
      <c r="M62">
        <v>1355.723</v>
      </c>
      <c r="O62">
        <v>1498.337</v>
      </c>
      <c r="P62">
        <v>1177.902</v>
      </c>
      <c r="R62" s="3">
        <f t="shared" si="2"/>
        <v>1356.53325</v>
      </c>
      <c r="S62" s="3">
        <f t="shared" si="3"/>
        <v>66.729980593901701</v>
      </c>
    </row>
    <row r="63" spans="1:19" x14ac:dyDescent="0.25">
      <c r="A63">
        <v>66.25</v>
      </c>
      <c r="B63">
        <v>1314.6759999999999</v>
      </c>
      <c r="C63">
        <v>1343.3019999999999</v>
      </c>
      <c r="D63">
        <v>1500.3820000000001</v>
      </c>
      <c r="E63">
        <v>1414.127</v>
      </c>
      <c r="F63">
        <v>1660.693</v>
      </c>
      <c r="H63" s="2">
        <f t="shared" si="0"/>
        <v>1446.6360000000002</v>
      </c>
      <c r="I63" s="2">
        <f t="shared" si="1"/>
        <v>62.392797662069945</v>
      </c>
      <c r="K63">
        <v>66.25</v>
      </c>
      <c r="L63">
        <v>1439.3610000000001</v>
      </c>
      <c r="M63">
        <v>1353.913</v>
      </c>
      <c r="O63">
        <v>1492.021</v>
      </c>
      <c r="P63">
        <v>1147.1400000000001</v>
      </c>
      <c r="R63" s="3">
        <f t="shared" si="2"/>
        <v>1358.1087500000001</v>
      </c>
      <c r="S63" s="3">
        <f t="shared" si="3"/>
        <v>75.861626567032104</v>
      </c>
    </row>
    <row r="64" spans="1:19" x14ac:dyDescent="0.25">
      <c r="A64">
        <v>67.5</v>
      </c>
      <c r="B64">
        <v>1301.835</v>
      </c>
      <c r="C64">
        <v>1343.931</v>
      </c>
      <c r="D64">
        <v>1492.203</v>
      </c>
      <c r="E64">
        <v>1424.7049999999999</v>
      </c>
      <c r="F64">
        <v>1621.2560000000001</v>
      </c>
      <c r="H64" s="2">
        <f t="shared" si="0"/>
        <v>1436.7860000000001</v>
      </c>
      <c r="I64" s="2">
        <f t="shared" si="1"/>
        <v>56.603886251740704</v>
      </c>
      <c r="K64">
        <v>67.5</v>
      </c>
      <c r="L64">
        <v>1409.51</v>
      </c>
      <c r="M64">
        <v>1342.864</v>
      </c>
      <c r="O64">
        <v>1439.3679999999999</v>
      </c>
      <c r="P64">
        <v>1125.624</v>
      </c>
      <c r="R64" s="3">
        <f t="shared" si="2"/>
        <v>1329.3415</v>
      </c>
      <c r="S64" s="3">
        <f t="shared" si="3"/>
        <v>70.838135272723449</v>
      </c>
    </row>
    <row r="65" spans="1:19" x14ac:dyDescent="0.25">
      <c r="A65">
        <v>68.75</v>
      </c>
      <c r="B65">
        <v>1296.1500000000001</v>
      </c>
      <c r="C65">
        <v>1345.069</v>
      </c>
      <c r="D65">
        <v>1485.973</v>
      </c>
      <c r="E65">
        <v>1439.3530000000001</v>
      </c>
      <c r="F65">
        <v>1605.3979999999999</v>
      </c>
      <c r="H65" s="2">
        <f t="shared" si="0"/>
        <v>1434.3886</v>
      </c>
      <c r="I65" s="2">
        <f t="shared" si="1"/>
        <v>54.322054431510573</v>
      </c>
      <c r="K65">
        <v>68.75</v>
      </c>
      <c r="L65">
        <v>1424.934</v>
      </c>
      <c r="M65">
        <v>1336.79</v>
      </c>
      <c r="O65">
        <v>1434.7190000000001</v>
      </c>
      <c r="P65">
        <v>1139.5619999999999</v>
      </c>
      <c r="R65" s="3">
        <f t="shared" si="2"/>
        <v>1334.00125</v>
      </c>
      <c r="S65" s="3">
        <f t="shared" si="3"/>
        <v>68.451460451153537</v>
      </c>
    </row>
    <row r="66" spans="1:19" x14ac:dyDescent="0.25">
      <c r="A66">
        <v>70</v>
      </c>
      <c r="B66">
        <v>1279.914</v>
      </c>
      <c r="C66">
        <v>1345.95</v>
      </c>
      <c r="D66">
        <v>1490.8119999999999</v>
      </c>
      <c r="E66">
        <v>1427.39</v>
      </c>
      <c r="F66">
        <v>1587.7349999999999</v>
      </c>
      <c r="H66" s="2">
        <f t="shared" si="0"/>
        <v>1426.3601999999998</v>
      </c>
      <c r="I66" s="2">
        <f t="shared" si="1"/>
        <v>53.902324089411927</v>
      </c>
      <c r="K66">
        <v>70</v>
      </c>
      <c r="L66">
        <v>1428.4639999999999</v>
      </c>
      <c r="M66">
        <v>1333.9860000000001</v>
      </c>
      <c r="O66">
        <v>1443.3230000000001</v>
      </c>
      <c r="P66">
        <v>1117.008</v>
      </c>
      <c r="R66" s="3">
        <f t="shared" si="2"/>
        <v>1330.69525</v>
      </c>
      <c r="S66" s="3">
        <f t="shared" si="3"/>
        <v>75.231203851166924</v>
      </c>
    </row>
    <row r="67" spans="1:19" x14ac:dyDescent="0.25">
      <c r="A67">
        <v>71.25</v>
      </c>
      <c r="B67">
        <v>1269.787</v>
      </c>
      <c r="C67">
        <v>1339.259</v>
      </c>
      <c r="D67">
        <v>1487.55</v>
      </c>
      <c r="E67">
        <v>1404.19</v>
      </c>
      <c r="F67">
        <v>1560.875</v>
      </c>
      <c r="H67" s="2">
        <f t="shared" si="0"/>
        <v>1412.3322000000001</v>
      </c>
      <c r="I67" s="2">
        <f t="shared" si="1"/>
        <v>51.695165581899424</v>
      </c>
      <c r="K67">
        <v>71.25</v>
      </c>
      <c r="L67">
        <v>1416.4380000000001</v>
      </c>
      <c r="M67">
        <v>1319.2139999999999</v>
      </c>
      <c r="O67">
        <v>1475.654</v>
      </c>
      <c r="P67">
        <v>1047.8309999999999</v>
      </c>
      <c r="R67" s="3">
        <f t="shared" si="2"/>
        <v>1314.7842500000002</v>
      </c>
      <c r="S67" s="3">
        <f t="shared" si="3"/>
        <v>94.646809122454343</v>
      </c>
    </row>
    <row r="68" spans="1:19" x14ac:dyDescent="0.25">
      <c r="A68">
        <v>72.5</v>
      </c>
      <c r="B68">
        <v>1261.509</v>
      </c>
      <c r="C68">
        <v>1303.68</v>
      </c>
      <c r="D68">
        <v>1475.973</v>
      </c>
      <c r="E68">
        <v>1387.2080000000001</v>
      </c>
      <c r="F68">
        <v>1549.019</v>
      </c>
      <c r="H68" s="2">
        <f t="shared" si="0"/>
        <v>1395.4778000000001</v>
      </c>
      <c r="I68" s="2">
        <f t="shared" si="1"/>
        <v>53.149431968178163</v>
      </c>
      <c r="K68">
        <v>72.5</v>
      </c>
      <c r="L68">
        <v>1415.107</v>
      </c>
      <c r="M68">
        <v>1310.143</v>
      </c>
      <c r="O68">
        <v>1415.0129999999999</v>
      </c>
      <c r="P68">
        <v>1053.7529999999999</v>
      </c>
      <c r="R68" s="3">
        <f t="shared" si="2"/>
        <v>1298.5039999999999</v>
      </c>
      <c r="S68" s="3">
        <f t="shared" si="3"/>
        <v>85.24920576951682</v>
      </c>
    </row>
    <row r="69" spans="1:19" x14ac:dyDescent="0.25">
      <c r="A69">
        <v>73.75</v>
      </c>
      <c r="B69">
        <v>1254.837</v>
      </c>
      <c r="C69">
        <v>1311.3779999999999</v>
      </c>
      <c r="D69">
        <v>1463.921</v>
      </c>
      <c r="E69">
        <v>1384.481</v>
      </c>
      <c r="F69">
        <v>1544.453</v>
      </c>
      <c r="H69" s="2">
        <f t="shared" ref="H69:H96" si="4">AVERAGE(B69:F69)</f>
        <v>1391.8139999999999</v>
      </c>
      <c r="I69" s="2">
        <f t="shared" ref="I69:I96" si="5">STDEV(B69:F69)/SQRT(COUNT(B69:F69))</f>
        <v>51.85774063917556</v>
      </c>
      <c r="K69">
        <v>73.75</v>
      </c>
      <c r="L69">
        <v>1335.0540000000001</v>
      </c>
      <c r="M69">
        <v>1313.8810000000001</v>
      </c>
      <c r="O69">
        <v>1450.0429999999999</v>
      </c>
      <c r="P69">
        <v>1060.075</v>
      </c>
      <c r="R69" s="3">
        <f t="shared" ref="R69:R96" si="6">AVERAGE(L69:P69)</f>
        <v>1289.76325</v>
      </c>
      <c r="S69" s="3">
        <f t="shared" ref="S69:S96" si="7">STDEV(L69:P69)/SQRT(COUNT(L69:P69))</f>
        <v>82.198544365026663</v>
      </c>
    </row>
    <row r="70" spans="1:19" x14ac:dyDescent="0.25">
      <c r="A70">
        <v>75</v>
      </c>
      <c r="B70">
        <v>1287.9639999999999</v>
      </c>
      <c r="C70">
        <v>1356.068</v>
      </c>
      <c r="D70">
        <v>1491.2539999999999</v>
      </c>
      <c r="E70">
        <v>1413.62</v>
      </c>
      <c r="F70">
        <v>1601.809</v>
      </c>
      <c r="H70" s="2">
        <f t="shared" si="4"/>
        <v>1430.143</v>
      </c>
      <c r="I70" s="2">
        <f t="shared" si="5"/>
        <v>54.396118001195632</v>
      </c>
      <c r="K70">
        <v>75</v>
      </c>
      <c r="L70">
        <v>1365.221</v>
      </c>
      <c r="M70">
        <v>1348.17</v>
      </c>
      <c r="O70">
        <v>1530.5229999999999</v>
      </c>
      <c r="P70">
        <v>1129.886</v>
      </c>
      <c r="R70" s="3">
        <f t="shared" si="6"/>
        <v>1343.4499999999998</v>
      </c>
      <c r="S70" s="3">
        <f t="shared" si="7"/>
        <v>82.210169822028377</v>
      </c>
    </row>
    <row r="71" spans="1:19" x14ac:dyDescent="0.25">
      <c r="A71">
        <v>76.25</v>
      </c>
      <c r="B71">
        <v>1377.5250000000001</v>
      </c>
      <c r="C71">
        <v>1478.4359999999999</v>
      </c>
      <c r="D71">
        <v>1599.615</v>
      </c>
      <c r="E71">
        <v>1522.278</v>
      </c>
      <c r="F71">
        <v>1745.7840000000001</v>
      </c>
      <c r="H71" s="2">
        <f t="shared" si="4"/>
        <v>1544.7276000000002</v>
      </c>
      <c r="I71" s="2">
        <f t="shared" si="5"/>
        <v>61.7622752484071</v>
      </c>
      <c r="K71">
        <v>76.25</v>
      </c>
      <c r="L71">
        <v>1560.0830000000001</v>
      </c>
      <c r="M71">
        <v>1501.865</v>
      </c>
      <c r="O71">
        <v>1666.442</v>
      </c>
      <c r="P71">
        <v>1252.9359999999999</v>
      </c>
      <c r="R71" s="3">
        <f t="shared" si="6"/>
        <v>1495.3315</v>
      </c>
      <c r="S71" s="3">
        <f t="shared" si="7"/>
        <v>87.687810348702627</v>
      </c>
    </row>
    <row r="72" spans="1:19" x14ac:dyDescent="0.25">
      <c r="A72">
        <v>77.5</v>
      </c>
      <c r="B72">
        <v>1420.44</v>
      </c>
      <c r="C72">
        <v>1542.7940000000001</v>
      </c>
      <c r="D72">
        <v>1660.9580000000001</v>
      </c>
      <c r="E72">
        <v>1576.184</v>
      </c>
      <c r="F72">
        <v>1821.8720000000001</v>
      </c>
      <c r="H72" s="2">
        <f t="shared" si="4"/>
        <v>1604.4496000000004</v>
      </c>
      <c r="I72" s="2">
        <f t="shared" si="5"/>
        <v>66.680427915243627</v>
      </c>
      <c r="K72">
        <v>77.5</v>
      </c>
      <c r="L72">
        <v>1634.855</v>
      </c>
      <c r="M72">
        <v>1584.5150000000001</v>
      </c>
      <c r="O72">
        <v>1726.27</v>
      </c>
      <c r="P72">
        <v>1306.963</v>
      </c>
      <c r="R72" s="3">
        <f t="shared" si="6"/>
        <v>1563.1507499999998</v>
      </c>
      <c r="S72" s="3">
        <f t="shared" si="7"/>
        <v>90.294879707521815</v>
      </c>
    </row>
    <row r="73" spans="1:19" x14ac:dyDescent="0.25">
      <c r="A73">
        <v>78.75</v>
      </c>
      <c r="B73">
        <v>1381.319</v>
      </c>
      <c r="C73">
        <v>1499.9780000000001</v>
      </c>
      <c r="D73">
        <v>1612.837</v>
      </c>
      <c r="E73">
        <v>1528.085</v>
      </c>
      <c r="F73">
        <v>1762.3430000000001</v>
      </c>
      <c r="H73" s="2">
        <f t="shared" si="4"/>
        <v>1556.9123999999999</v>
      </c>
      <c r="I73" s="2">
        <f t="shared" si="5"/>
        <v>63.338329358769812</v>
      </c>
      <c r="K73">
        <v>78.75</v>
      </c>
      <c r="L73">
        <v>1578.7639999999999</v>
      </c>
      <c r="M73">
        <v>1517.4069999999999</v>
      </c>
      <c r="O73">
        <v>1675.2170000000001</v>
      </c>
      <c r="P73">
        <v>1248.595</v>
      </c>
      <c r="R73" s="3">
        <f t="shared" si="6"/>
        <v>1504.99575</v>
      </c>
      <c r="S73" s="3">
        <f t="shared" si="7"/>
        <v>91.429577812083025</v>
      </c>
    </row>
    <row r="74" spans="1:19" x14ac:dyDescent="0.25">
      <c r="A74">
        <v>80</v>
      </c>
      <c r="B74">
        <v>1340.931</v>
      </c>
      <c r="C74">
        <v>1450.6289999999999</v>
      </c>
      <c r="D74">
        <v>1575.242</v>
      </c>
      <c r="E74">
        <v>1482.4280000000001</v>
      </c>
      <c r="F74">
        <v>1675.941</v>
      </c>
      <c r="H74" s="2">
        <f t="shared" si="4"/>
        <v>1505.0341999999998</v>
      </c>
      <c r="I74" s="2">
        <f t="shared" si="5"/>
        <v>56.806291809446599</v>
      </c>
      <c r="K74">
        <v>80</v>
      </c>
      <c r="L74">
        <v>1514.6289999999999</v>
      </c>
      <c r="M74">
        <v>1434.049</v>
      </c>
      <c r="O74">
        <v>1617.846</v>
      </c>
      <c r="P74">
        <v>1228.665</v>
      </c>
      <c r="R74" s="3">
        <f t="shared" si="6"/>
        <v>1448.7972499999998</v>
      </c>
      <c r="S74" s="3">
        <f t="shared" si="7"/>
        <v>82.455552447338775</v>
      </c>
    </row>
    <row r="75" spans="1:19" x14ac:dyDescent="0.25">
      <c r="A75">
        <v>81.25</v>
      </c>
      <c r="B75">
        <v>1382.12</v>
      </c>
      <c r="C75">
        <v>1567.181</v>
      </c>
      <c r="D75">
        <v>1633.9670000000001</v>
      </c>
      <c r="E75">
        <v>1561.925</v>
      </c>
      <c r="F75">
        <v>1772.162</v>
      </c>
      <c r="H75" s="2">
        <f t="shared" si="4"/>
        <v>1583.471</v>
      </c>
      <c r="I75" s="2">
        <f t="shared" si="5"/>
        <v>63.018235025268709</v>
      </c>
      <c r="K75">
        <v>81.25</v>
      </c>
      <c r="L75">
        <v>1624.3679999999999</v>
      </c>
      <c r="M75">
        <v>1529.7760000000001</v>
      </c>
      <c r="O75">
        <v>1760.7850000000001</v>
      </c>
      <c r="P75">
        <v>1408.81</v>
      </c>
      <c r="R75" s="3">
        <f t="shared" si="6"/>
        <v>1580.9347499999999</v>
      </c>
      <c r="S75" s="3">
        <f t="shared" si="7"/>
        <v>74.429332756397216</v>
      </c>
    </row>
    <row r="76" spans="1:19" x14ac:dyDescent="0.25">
      <c r="A76">
        <v>82.5</v>
      </c>
      <c r="B76">
        <v>1726.7439999999999</v>
      </c>
      <c r="C76">
        <v>2125.078</v>
      </c>
      <c r="D76">
        <v>1955.5250000000001</v>
      </c>
      <c r="E76">
        <v>1919.153</v>
      </c>
      <c r="F76">
        <v>2334.915</v>
      </c>
      <c r="H76" s="2">
        <f t="shared" si="4"/>
        <v>2012.2830000000001</v>
      </c>
      <c r="I76" s="2">
        <f t="shared" si="5"/>
        <v>102.52836374242894</v>
      </c>
      <c r="K76">
        <v>82.5</v>
      </c>
      <c r="L76">
        <v>2050.7750000000001</v>
      </c>
      <c r="M76">
        <v>2108.86</v>
      </c>
      <c r="O76">
        <v>2274.453</v>
      </c>
      <c r="P76">
        <v>1912.692</v>
      </c>
      <c r="R76" s="3">
        <f t="shared" si="6"/>
        <v>2086.6949999999997</v>
      </c>
      <c r="S76" s="3">
        <f t="shared" si="7"/>
        <v>74.895284785937392</v>
      </c>
    </row>
    <row r="77" spans="1:19" x14ac:dyDescent="0.25">
      <c r="A77">
        <v>83.75</v>
      </c>
      <c r="B77">
        <v>2347.348</v>
      </c>
      <c r="C77">
        <v>2979.6390000000001</v>
      </c>
      <c r="D77">
        <v>2508.0859999999998</v>
      </c>
      <c r="E77">
        <v>2560.3910000000001</v>
      </c>
      <c r="F77">
        <v>3304.4079999999999</v>
      </c>
      <c r="H77" s="2">
        <f t="shared" si="4"/>
        <v>2739.9744000000001</v>
      </c>
      <c r="I77" s="2">
        <f t="shared" si="5"/>
        <v>175.52810699275514</v>
      </c>
      <c r="K77">
        <v>83.75</v>
      </c>
      <c r="L77">
        <v>2712.4090000000001</v>
      </c>
      <c r="M77">
        <v>3029.5610000000001</v>
      </c>
      <c r="O77">
        <v>3048.7190000000001</v>
      </c>
      <c r="P77">
        <v>2568.393</v>
      </c>
      <c r="R77" s="3">
        <f t="shared" si="6"/>
        <v>2839.7705000000001</v>
      </c>
      <c r="S77" s="3">
        <f t="shared" si="7"/>
        <v>118.86498248397915</v>
      </c>
    </row>
    <row r="78" spans="1:19" x14ac:dyDescent="0.25">
      <c r="A78">
        <v>85</v>
      </c>
      <c r="B78">
        <v>2844.3</v>
      </c>
      <c r="C78">
        <v>3702.319</v>
      </c>
      <c r="D78">
        <v>3036.08</v>
      </c>
      <c r="E78">
        <v>3171.5390000000002</v>
      </c>
      <c r="F78">
        <v>4211.8890000000001</v>
      </c>
      <c r="H78" s="2">
        <f t="shared" si="4"/>
        <v>3393.2254000000003</v>
      </c>
      <c r="I78" s="2">
        <f t="shared" si="5"/>
        <v>249.37579423203852</v>
      </c>
      <c r="K78">
        <v>85</v>
      </c>
      <c r="L78">
        <v>3274.3470000000002</v>
      </c>
      <c r="M78">
        <v>3933.4609999999998</v>
      </c>
      <c r="O78">
        <v>3694.88</v>
      </c>
      <c r="P78">
        <v>3126.018</v>
      </c>
      <c r="R78" s="3">
        <f t="shared" si="6"/>
        <v>3507.1765</v>
      </c>
      <c r="S78" s="3">
        <f t="shared" si="7"/>
        <v>186.28885658321946</v>
      </c>
    </row>
    <row r="79" spans="1:19" x14ac:dyDescent="0.25">
      <c r="A79">
        <v>86.25</v>
      </c>
      <c r="B79">
        <v>2965.9409999999998</v>
      </c>
      <c r="C79">
        <v>3917.3560000000002</v>
      </c>
      <c r="D79">
        <v>3232.5259999999998</v>
      </c>
      <c r="E79">
        <v>3369.2849999999999</v>
      </c>
      <c r="F79">
        <v>4598.4459999999999</v>
      </c>
      <c r="H79" s="2">
        <f t="shared" si="4"/>
        <v>3616.7107999999998</v>
      </c>
      <c r="I79" s="2">
        <f t="shared" si="5"/>
        <v>290.38856372546826</v>
      </c>
      <c r="K79">
        <v>86.25</v>
      </c>
      <c r="L79">
        <v>3381.3719999999998</v>
      </c>
      <c r="M79">
        <v>4248.4219999999996</v>
      </c>
      <c r="O79">
        <v>3800.3989999999999</v>
      </c>
      <c r="P79">
        <v>3262.6660000000002</v>
      </c>
      <c r="R79" s="3">
        <f t="shared" si="6"/>
        <v>3673.2147500000001</v>
      </c>
      <c r="S79" s="3">
        <f t="shared" si="7"/>
        <v>223.7486835631187</v>
      </c>
    </row>
    <row r="80" spans="1:19" x14ac:dyDescent="0.25">
      <c r="A80">
        <v>87.5</v>
      </c>
      <c r="B80">
        <v>2644.2530000000002</v>
      </c>
      <c r="C80">
        <v>3579.4520000000002</v>
      </c>
      <c r="D80">
        <v>2927.0250000000001</v>
      </c>
      <c r="E80">
        <v>3044.0219999999999</v>
      </c>
      <c r="F80">
        <v>4283.924</v>
      </c>
      <c r="H80" s="2">
        <f t="shared" si="4"/>
        <v>3295.7352000000001</v>
      </c>
      <c r="I80" s="2">
        <f t="shared" si="5"/>
        <v>289.89206013642445</v>
      </c>
      <c r="K80">
        <v>87.5</v>
      </c>
      <c r="L80">
        <v>3025.8850000000002</v>
      </c>
      <c r="M80">
        <v>3911.4079999999999</v>
      </c>
      <c r="O80">
        <v>3335.6790000000001</v>
      </c>
      <c r="P80">
        <v>2980.3090000000002</v>
      </c>
      <c r="R80" s="3">
        <f t="shared" si="6"/>
        <v>3313.3202499999998</v>
      </c>
      <c r="S80" s="3">
        <f t="shared" si="7"/>
        <v>214.42255516673222</v>
      </c>
    </row>
    <row r="81" spans="1:19" x14ac:dyDescent="0.25">
      <c r="A81">
        <v>88.75</v>
      </c>
      <c r="B81">
        <v>2171.0549999999998</v>
      </c>
      <c r="C81">
        <v>2948.346</v>
      </c>
      <c r="D81">
        <v>2392.2249999999999</v>
      </c>
      <c r="E81">
        <v>2453.6419999999998</v>
      </c>
      <c r="F81">
        <v>3534.8159999999998</v>
      </c>
      <c r="H81" s="2">
        <f t="shared" si="4"/>
        <v>2700.0167999999999</v>
      </c>
      <c r="I81" s="2">
        <f t="shared" si="5"/>
        <v>244.31475763600577</v>
      </c>
      <c r="K81">
        <v>88.75</v>
      </c>
      <c r="L81">
        <v>2478.348</v>
      </c>
      <c r="M81">
        <v>3210.5050000000001</v>
      </c>
      <c r="O81">
        <v>2686.241</v>
      </c>
      <c r="P81">
        <v>2444.2089999999998</v>
      </c>
      <c r="R81" s="3">
        <f t="shared" si="6"/>
        <v>2704.82575</v>
      </c>
      <c r="S81" s="3">
        <f t="shared" si="7"/>
        <v>176.84036078686657</v>
      </c>
    </row>
    <row r="82" spans="1:19" x14ac:dyDescent="0.25">
      <c r="A82">
        <v>90</v>
      </c>
      <c r="B82">
        <v>1939.376</v>
      </c>
      <c r="C82">
        <v>2559.1979999999999</v>
      </c>
      <c r="D82">
        <v>2073.8330000000001</v>
      </c>
      <c r="E82">
        <v>2143.9290000000001</v>
      </c>
      <c r="F82">
        <v>3059.0419999999999</v>
      </c>
      <c r="H82" s="2">
        <f t="shared" si="4"/>
        <v>2355.0755999999997</v>
      </c>
      <c r="I82" s="2">
        <f t="shared" si="5"/>
        <v>204.17163009306736</v>
      </c>
      <c r="K82">
        <v>90</v>
      </c>
      <c r="L82">
        <v>2166.9589999999998</v>
      </c>
      <c r="M82">
        <v>2755.1439999999998</v>
      </c>
      <c r="O82">
        <v>2379.34</v>
      </c>
      <c r="P82">
        <v>2208.4009999999998</v>
      </c>
      <c r="R82" s="3">
        <f t="shared" si="6"/>
        <v>2377.4609999999998</v>
      </c>
      <c r="S82" s="3">
        <f t="shared" si="7"/>
        <v>134.02125289607363</v>
      </c>
    </row>
    <row r="83" spans="1:19" x14ac:dyDescent="0.25">
      <c r="A83">
        <v>91.25</v>
      </c>
      <c r="B83">
        <v>2004.8409999999999</v>
      </c>
      <c r="C83">
        <v>2770.1729999999998</v>
      </c>
      <c r="D83">
        <v>2111.4560000000001</v>
      </c>
      <c r="E83">
        <v>2237.7159999999999</v>
      </c>
      <c r="F83">
        <v>3231.87</v>
      </c>
      <c r="H83" s="2">
        <f t="shared" si="4"/>
        <v>2471.2112000000002</v>
      </c>
      <c r="I83" s="2">
        <f t="shared" si="5"/>
        <v>231.23850713871073</v>
      </c>
      <c r="K83">
        <v>91.25</v>
      </c>
      <c r="L83">
        <v>2255.1610000000001</v>
      </c>
      <c r="M83">
        <v>3076.59</v>
      </c>
      <c r="O83">
        <v>2487.681</v>
      </c>
      <c r="P83">
        <v>2470.6799999999998</v>
      </c>
      <c r="R83" s="3">
        <f t="shared" si="6"/>
        <v>2572.5280000000002</v>
      </c>
      <c r="S83" s="3">
        <f t="shared" si="7"/>
        <v>176.15626137182815</v>
      </c>
    </row>
    <row r="84" spans="1:19" x14ac:dyDescent="0.25">
      <c r="A84">
        <v>92.5</v>
      </c>
      <c r="B84">
        <v>2213.0030000000002</v>
      </c>
      <c r="C84">
        <v>3244.71</v>
      </c>
      <c r="D84">
        <v>2322.748</v>
      </c>
      <c r="E84">
        <v>2467.502</v>
      </c>
      <c r="F84">
        <v>3667.5830000000001</v>
      </c>
      <c r="H84" s="2">
        <f t="shared" si="4"/>
        <v>2783.1091999999999</v>
      </c>
      <c r="I84" s="2">
        <f t="shared" si="5"/>
        <v>285.6510651024077</v>
      </c>
      <c r="K84">
        <v>92.5</v>
      </c>
      <c r="L84">
        <v>2525.7600000000002</v>
      </c>
      <c r="M84">
        <v>3642.643</v>
      </c>
      <c r="O84">
        <v>2746.8580000000002</v>
      </c>
      <c r="P84">
        <v>2768.8229999999999</v>
      </c>
      <c r="R84" s="3">
        <f t="shared" si="6"/>
        <v>2921.0210000000002</v>
      </c>
      <c r="S84" s="3">
        <f t="shared" si="7"/>
        <v>246.72294697662971</v>
      </c>
    </row>
    <row r="85" spans="1:19" x14ac:dyDescent="0.25">
      <c r="A85">
        <v>93.75</v>
      </c>
      <c r="B85">
        <v>2447.8150000000001</v>
      </c>
      <c r="C85">
        <v>3492.6709999999998</v>
      </c>
      <c r="D85">
        <v>2742.0529999999999</v>
      </c>
      <c r="E85">
        <v>2781.0160000000001</v>
      </c>
      <c r="F85">
        <v>3959.3629999999998</v>
      </c>
      <c r="H85" s="2">
        <f t="shared" si="4"/>
        <v>3084.5835999999999</v>
      </c>
      <c r="I85" s="2">
        <f t="shared" si="5"/>
        <v>278.09432521675018</v>
      </c>
      <c r="K85">
        <v>93.75</v>
      </c>
      <c r="L85">
        <v>2871.098</v>
      </c>
      <c r="M85">
        <v>3950.855</v>
      </c>
      <c r="O85">
        <v>3091.1480000000001</v>
      </c>
      <c r="P85">
        <v>2870.54</v>
      </c>
      <c r="R85" s="3">
        <f t="shared" si="6"/>
        <v>3195.9102499999999</v>
      </c>
      <c r="S85" s="3">
        <f t="shared" si="7"/>
        <v>256.95095217971686</v>
      </c>
    </row>
    <row r="86" spans="1:19" x14ac:dyDescent="0.25">
      <c r="A86">
        <v>95</v>
      </c>
      <c r="B86">
        <v>2780.587</v>
      </c>
      <c r="C86">
        <v>3467.0920000000001</v>
      </c>
      <c r="D86">
        <v>3202.6860000000001</v>
      </c>
      <c r="E86">
        <v>3128.2550000000001</v>
      </c>
      <c r="F86">
        <v>3944.335</v>
      </c>
      <c r="H86" s="2">
        <f t="shared" si="4"/>
        <v>3304.5909999999994</v>
      </c>
      <c r="I86" s="2">
        <f t="shared" si="5"/>
        <v>193.87343377497785</v>
      </c>
      <c r="K86">
        <v>95</v>
      </c>
      <c r="L86">
        <v>3259.75</v>
      </c>
      <c r="M86">
        <v>3900.6489999999999</v>
      </c>
      <c r="O86">
        <v>3467.6570000000002</v>
      </c>
      <c r="P86">
        <v>2818.1170000000002</v>
      </c>
      <c r="R86" s="3">
        <f t="shared" si="6"/>
        <v>3361.5432500000002</v>
      </c>
      <c r="S86" s="3">
        <f t="shared" si="7"/>
        <v>225.01279455413658</v>
      </c>
    </row>
    <row r="87" spans="1:19" x14ac:dyDescent="0.25">
      <c r="A87">
        <v>96.25</v>
      </c>
      <c r="B87">
        <v>3143.0819999999999</v>
      </c>
      <c r="C87">
        <v>3472.4789999999998</v>
      </c>
      <c r="D87">
        <v>3577.547</v>
      </c>
      <c r="E87">
        <v>3451.6390000000001</v>
      </c>
      <c r="F87">
        <v>3879.6840000000002</v>
      </c>
      <c r="H87" s="2">
        <f t="shared" si="4"/>
        <v>3504.8861999999999</v>
      </c>
      <c r="I87" s="2">
        <f t="shared" si="5"/>
        <v>118.43579543339088</v>
      </c>
      <c r="K87">
        <v>96.25</v>
      </c>
      <c r="L87">
        <v>3621.473</v>
      </c>
      <c r="M87">
        <v>3690.4079999999999</v>
      </c>
      <c r="O87">
        <v>3820.1129999999998</v>
      </c>
      <c r="P87">
        <v>2800.616</v>
      </c>
      <c r="R87" s="3">
        <f t="shared" si="6"/>
        <v>3483.1524999999997</v>
      </c>
      <c r="S87" s="3">
        <f t="shared" si="7"/>
        <v>231.20803319972242</v>
      </c>
    </row>
    <row r="88" spans="1:19" x14ac:dyDescent="0.25">
      <c r="A88">
        <v>97.5</v>
      </c>
      <c r="B88">
        <v>3495.3679999999999</v>
      </c>
      <c r="C88">
        <v>3662.0360000000001</v>
      </c>
      <c r="D88">
        <v>3983.25</v>
      </c>
      <c r="E88">
        <v>3826.654</v>
      </c>
      <c r="F88">
        <v>4084.5360000000001</v>
      </c>
      <c r="H88" s="2">
        <f t="shared" si="4"/>
        <v>3810.3688000000002</v>
      </c>
      <c r="I88" s="2">
        <f t="shared" si="5"/>
        <v>106.4304688904451</v>
      </c>
      <c r="K88">
        <v>97.5</v>
      </c>
      <c r="L88">
        <v>4029.8359999999998</v>
      </c>
      <c r="M88">
        <v>3630.3470000000002</v>
      </c>
      <c r="O88">
        <v>4259.9920000000002</v>
      </c>
      <c r="P88">
        <v>3010.0659999999998</v>
      </c>
      <c r="R88" s="3">
        <f t="shared" si="6"/>
        <v>3732.5602499999995</v>
      </c>
      <c r="S88" s="3">
        <f t="shared" si="7"/>
        <v>273.70948896667193</v>
      </c>
    </row>
    <row r="89" spans="1:19" x14ac:dyDescent="0.25">
      <c r="A89">
        <v>98.75</v>
      </c>
      <c r="B89">
        <v>3727.0540000000001</v>
      </c>
      <c r="C89">
        <v>3935.0729999999999</v>
      </c>
      <c r="D89">
        <v>4352.0330000000004</v>
      </c>
      <c r="E89">
        <v>4194.6319999999996</v>
      </c>
      <c r="F89">
        <v>4482.8590000000004</v>
      </c>
      <c r="H89" s="2">
        <f t="shared" si="4"/>
        <v>4138.3301999999994</v>
      </c>
      <c r="I89" s="2">
        <f t="shared" si="5"/>
        <v>137.4773573136319</v>
      </c>
      <c r="K89">
        <v>98.75</v>
      </c>
      <c r="L89">
        <v>4374.0959999999995</v>
      </c>
      <c r="M89">
        <v>3832.8960000000002</v>
      </c>
      <c r="O89">
        <v>4605.9570000000003</v>
      </c>
      <c r="P89">
        <v>3245.0189999999998</v>
      </c>
      <c r="R89" s="3">
        <f t="shared" si="6"/>
        <v>4014.4920000000002</v>
      </c>
      <c r="S89" s="3">
        <f t="shared" si="7"/>
        <v>303.3440961441305</v>
      </c>
    </row>
    <row r="90" spans="1:19" x14ac:dyDescent="0.25">
      <c r="A90">
        <v>100</v>
      </c>
      <c r="B90">
        <v>3708.8919999999998</v>
      </c>
      <c r="C90">
        <v>3992.538</v>
      </c>
      <c r="D90">
        <v>4438.2280000000001</v>
      </c>
      <c r="E90">
        <v>4259.143</v>
      </c>
      <c r="F90">
        <v>4712.5389999999998</v>
      </c>
      <c r="H90" s="2">
        <f t="shared" si="4"/>
        <v>4222.268</v>
      </c>
      <c r="I90" s="2">
        <f t="shared" si="5"/>
        <v>173.88141518603993</v>
      </c>
      <c r="K90">
        <v>100</v>
      </c>
      <c r="L90">
        <v>4452.8819999999996</v>
      </c>
      <c r="M90">
        <v>3966.2159999999999</v>
      </c>
      <c r="O90">
        <v>4659.28</v>
      </c>
      <c r="P90">
        <v>3360.4319999999998</v>
      </c>
      <c r="R90" s="3">
        <f t="shared" si="6"/>
        <v>4109.7025000000003</v>
      </c>
      <c r="S90" s="3">
        <f t="shared" si="7"/>
        <v>288.93515067960891</v>
      </c>
    </row>
    <row r="91" spans="1:19" x14ac:dyDescent="0.25">
      <c r="A91">
        <v>101.25</v>
      </c>
      <c r="B91">
        <v>3505.3629999999998</v>
      </c>
      <c r="C91">
        <v>3816.9059999999999</v>
      </c>
      <c r="D91">
        <v>4187.24</v>
      </c>
      <c r="E91">
        <v>4028.11</v>
      </c>
      <c r="F91">
        <v>4606.9809999999998</v>
      </c>
      <c r="H91" s="2">
        <f t="shared" si="4"/>
        <v>4028.9199999999996</v>
      </c>
      <c r="I91" s="2">
        <f t="shared" si="5"/>
        <v>184.15784895925557</v>
      </c>
      <c r="K91">
        <v>101.25</v>
      </c>
      <c r="L91">
        <v>4238.8429999999998</v>
      </c>
      <c r="M91">
        <v>3839.6060000000002</v>
      </c>
      <c r="O91">
        <v>4420.2579999999998</v>
      </c>
      <c r="P91">
        <v>3236.3029999999999</v>
      </c>
      <c r="R91" s="3">
        <f t="shared" si="6"/>
        <v>3933.7525000000001</v>
      </c>
      <c r="S91" s="3">
        <f t="shared" si="7"/>
        <v>262.21288794174484</v>
      </c>
    </row>
    <row r="92" spans="1:19" x14ac:dyDescent="0.25">
      <c r="A92">
        <v>102.5</v>
      </c>
      <c r="B92">
        <v>3214.5970000000002</v>
      </c>
      <c r="C92">
        <v>3575.6019999999999</v>
      </c>
      <c r="D92">
        <v>3821.1239999999998</v>
      </c>
      <c r="E92">
        <v>3711.3440000000001</v>
      </c>
      <c r="F92">
        <v>4251.4660000000003</v>
      </c>
      <c r="H92" s="2">
        <f t="shared" si="4"/>
        <v>3714.8266000000003</v>
      </c>
      <c r="I92" s="2">
        <f t="shared" si="5"/>
        <v>168.65738248638868</v>
      </c>
      <c r="K92">
        <v>102.5</v>
      </c>
      <c r="L92">
        <v>3909</v>
      </c>
      <c r="M92">
        <v>3571.7829999999999</v>
      </c>
      <c r="O92">
        <v>4052.884</v>
      </c>
      <c r="P92">
        <v>3053.7330000000002</v>
      </c>
      <c r="R92" s="3">
        <f t="shared" si="6"/>
        <v>3646.85</v>
      </c>
      <c r="S92" s="3">
        <f t="shared" si="7"/>
        <v>221.92511158684439</v>
      </c>
    </row>
    <row r="93" spans="1:19" x14ac:dyDescent="0.25">
      <c r="A93">
        <v>103.75</v>
      </c>
      <c r="B93">
        <v>2879.4879999999998</v>
      </c>
      <c r="C93">
        <v>3281.3069999999998</v>
      </c>
      <c r="D93">
        <v>3437.3789999999999</v>
      </c>
      <c r="E93">
        <v>3364.8209999999999</v>
      </c>
      <c r="F93">
        <v>3835.9009999999998</v>
      </c>
      <c r="H93" s="2">
        <f t="shared" si="4"/>
        <v>3359.7791999999999</v>
      </c>
      <c r="I93" s="2">
        <f t="shared" si="5"/>
        <v>153.22803922794287</v>
      </c>
      <c r="K93">
        <v>103.75</v>
      </c>
      <c r="L93">
        <v>3558.8209999999999</v>
      </c>
      <c r="M93">
        <v>3283.1990000000001</v>
      </c>
      <c r="O93">
        <v>3624.3339999999998</v>
      </c>
      <c r="P93">
        <v>2841.1170000000002</v>
      </c>
      <c r="R93" s="3">
        <f t="shared" si="6"/>
        <v>3326.8677499999999</v>
      </c>
      <c r="S93" s="3">
        <f t="shared" si="7"/>
        <v>177.98624266282249</v>
      </c>
    </row>
    <row r="94" spans="1:19" x14ac:dyDescent="0.25">
      <c r="A94">
        <v>105</v>
      </c>
      <c r="B94">
        <v>2600.027</v>
      </c>
      <c r="C94">
        <v>2971.2660000000001</v>
      </c>
      <c r="D94">
        <v>3056.6309999999999</v>
      </c>
      <c r="E94">
        <v>3074.3029999999999</v>
      </c>
      <c r="F94">
        <v>3429.1880000000001</v>
      </c>
      <c r="H94" s="2">
        <f t="shared" si="4"/>
        <v>3026.2829999999999</v>
      </c>
      <c r="I94" s="2">
        <f t="shared" si="5"/>
        <v>132.34054714145626</v>
      </c>
      <c r="K94">
        <v>105</v>
      </c>
      <c r="L94">
        <v>3277.5509999999999</v>
      </c>
      <c r="M94">
        <v>2993.6930000000002</v>
      </c>
      <c r="O94">
        <v>3238.6640000000002</v>
      </c>
      <c r="P94">
        <v>2617.2849999999999</v>
      </c>
      <c r="R94" s="3">
        <f t="shared" si="6"/>
        <v>3031.7982500000003</v>
      </c>
      <c r="S94" s="3">
        <f t="shared" si="7"/>
        <v>151.78413870766991</v>
      </c>
    </row>
    <row r="95" spans="1:19" x14ac:dyDescent="0.25">
      <c r="A95">
        <v>106.25</v>
      </c>
      <c r="B95">
        <v>2458.145</v>
      </c>
      <c r="C95">
        <v>2800.143</v>
      </c>
      <c r="D95">
        <v>2835.8629999999998</v>
      </c>
      <c r="E95">
        <v>2893.7930000000001</v>
      </c>
      <c r="F95">
        <v>3155.92</v>
      </c>
      <c r="H95" s="2">
        <f t="shared" si="4"/>
        <v>2828.7727999999997</v>
      </c>
      <c r="I95" s="2">
        <f t="shared" si="5"/>
        <v>111.68881309083737</v>
      </c>
      <c r="K95">
        <v>106.25</v>
      </c>
      <c r="L95">
        <v>3129.3710000000001</v>
      </c>
      <c r="M95">
        <v>2791.4540000000002</v>
      </c>
      <c r="O95">
        <v>3018.0839999999998</v>
      </c>
      <c r="P95">
        <v>2485.951</v>
      </c>
      <c r="R95" s="3">
        <f t="shared" si="6"/>
        <v>2856.2150000000001</v>
      </c>
      <c r="S95" s="3">
        <f t="shared" si="7"/>
        <v>142.04024966947455</v>
      </c>
    </row>
    <row r="96" spans="1:19" x14ac:dyDescent="0.25">
      <c r="A96">
        <v>107.5</v>
      </c>
      <c r="B96">
        <v>2343.431</v>
      </c>
      <c r="C96">
        <v>2698.7150000000001</v>
      </c>
      <c r="D96">
        <v>2684.1559999999999</v>
      </c>
      <c r="E96">
        <v>2745.2689999999998</v>
      </c>
      <c r="F96">
        <v>3001.241</v>
      </c>
      <c r="H96" s="2">
        <f t="shared" si="4"/>
        <v>2694.5623999999998</v>
      </c>
      <c r="I96" s="2">
        <f t="shared" si="5"/>
        <v>104.89082903075939</v>
      </c>
      <c r="K96">
        <v>107.5</v>
      </c>
      <c r="L96">
        <v>3006.357</v>
      </c>
      <c r="M96">
        <v>2679.41</v>
      </c>
      <c r="O96">
        <v>2868.3989999999999</v>
      </c>
      <c r="P96">
        <v>2394.4850000000001</v>
      </c>
      <c r="R96" s="3">
        <f t="shared" si="6"/>
        <v>2737.16275</v>
      </c>
      <c r="S96" s="3">
        <f t="shared" si="7"/>
        <v>132.42982985489269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workbookViewId="0">
      <selection activeCell="U3" sqref="U3"/>
    </sheetView>
  </sheetViews>
  <sheetFormatPr defaultRowHeight="11.25" x14ac:dyDescent="0.2"/>
  <cols>
    <col min="1" max="16" width="5.7109375" style="7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5" width="7.85546875" style="7" bestFit="1" customWidth="1"/>
    <col min="36" max="36" width="5.7109375" style="7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6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7</v>
      </c>
      <c r="V2" s="7">
        <v>1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H2" s="7">
        <v>13</v>
      </c>
      <c r="AJ2" s="7">
        <v>15</v>
      </c>
    </row>
    <row r="3" spans="1:39" x14ac:dyDescent="0.2">
      <c r="A3" s="7" t="s">
        <v>0</v>
      </c>
      <c r="B3" s="7">
        <v>0.499</v>
      </c>
      <c r="D3" s="7">
        <v>1.4950000000000001</v>
      </c>
      <c r="E3" s="7">
        <v>2.77</v>
      </c>
      <c r="F3" s="7">
        <v>-1.782</v>
      </c>
      <c r="G3" s="7">
        <v>1.2210000000000001</v>
      </c>
      <c r="H3" s="7">
        <v>1.3759999999999999</v>
      </c>
      <c r="I3" s="7">
        <v>0.224</v>
      </c>
      <c r="J3" s="7">
        <v>3.5089999999999999</v>
      </c>
      <c r="K3" s="7">
        <v>-1.2769999999999999</v>
      </c>
      <c r="L3" s="7">
        <v>-0.76200000000000001</v>
      </c>
      <c r="M3" s="7">
        <v>2.0579999999999998</v>
      </c>
      <c r="N3" s="7">
        <v>0.71199999999999997</v>
      </c>
      <c r="O3" s="7">
        <v>1.3919999999999999</v>
      </c>
      <c r="P3" s="7">
        <v>-1.6539999999999999</v>
      </c>
      <c r="U3" s="7" t="s">
        <v>0</v>
      </c>
      <c r="V3" s="7">
        <v>-0.30099999999999999</v>
      </c>
      <c r="X3" s="7">
        <v>-0.497</v>
      </c>
      <c r="Y3" s="7">
        <v>-0.98899999999999999</v>
      </c>
      <c r="Z3" s="7">
        <v>1.496</v>
      </c>
      <c r="AA3" s="7">
        <v>-0.314</v>
      </c>
      <c r="AB3" s="7">
        <v>1.292</v>
      </c>
      <c r="AC3" s="7">
        <v>1.7090000000000001</v>
      </c>
      <c r="AD3" s="7">
        <v>0.7</v>
      </c>
      <c r="AE3" s="7">
        <v>-0.42799999999999999</v>
      </c>
      <c r="AF3" s="7">
        <v>0.98899999999999999</v>
      </c>
      <c r="AH3" s="7">
        <v>0.223</v>
      </c>
      <c r="AJ3" s="7">
        <v>1.159</v>
      </c>
    </row>
    <row r="4" spans="1:39" x14ac:dyDescent="0.2">
      <c r="A4" s="7" t="s">
        <v>1</v>
      </c>
      <c r="B4" s="7">
        <v>325.70400000000001</v>
      </c>
      <c r="D4" s="7">
        <v>326.96100000000001</v>
      </c>
      <c r="E4" s="7">
        <v>326.63400000000001</v>
      </c>
      <c r="F4" s="7">
        <v>325.30399999999997</v>
      </c>
      <c r="G4" s="7">
        <v>324.05200000000002</v>
      </c>
      <c r="H4" s="7">
        <v>325.33100000000002</v>
      </c>
      <c r="I4" s="7">
        <v>327.50799999999998</v>
      </c>
      <c r="J4" s="7">
        <v>326.36500000000001</v>
      </c>
      <c r="K4" s="7">
        <v>327.9</v>
      </c>
      <c r="L4" s="7">
        <v>330.07</v>
      </c>
      <c r="M4" s="7">
        <v>327.80900000000003</v>
      </c>
      <c r="N4" s="7">
        <v>328.77100000000002</v>
      </c>
      <c r="O4" s="7">
        <v>330.62200000000001</v>
      </c>
      <c r="P4" s="7">
        <v>328.73700000000002</v>
      </c>
      <c r="R4" s="5">
        <f>AVERAGE(B4:P4)</f>
        <v>327.26914285714292</v>
      </c>
      <c r="S4" s="5">
        <f>STDEV(B4:P4)/SQRT(COUNT(B4:P4))</f>
        <v>0.50261299486380717</v>
      </c>
      <c r="U4" s="7" t="s">
        <v>1</v>
      </c>
      <c r="V4" s="7">
        <v>327.81099999999998</v>
      </c>
      <c r="X4" s="7">
        <v>326.24</v>
      </c>
      <c r="Y4" s="7">
        <v>324.86900000000003</v>
      </c>
      <c r="Z4" s="7">
        <v>326.49099999999999</v>
      </c>
      <c r="AA4" s="7">
        <v>327.125</v>
      </c>
      <c r="AB4" s="7">
        <v>327.18700000000001</v>
      </c>
      <c r="AC4" s="7">
        <v>326.995</v>
      </c>
      <c r="AD4" s="7">
        <v>327.44299999999998</v>
      </c>
      <c r="AE4" s="7">
        <v>327.92200000000003</v>
      </c>
      <c r="AF4" s="7">
        <v>328.12099999999998</v>
      </c>
      <c r="AH4" s="7">
        <v>328.21800000000002</v>
      </c>
      <c r="AJ4" s="7">
        <v>328.77499999999998</v>
      </c>
      <c r="AL4" s="6">
        <f>AVERAGE(AC4:AJ4)</f>
        <v>327.91233333333338</v>
      </c>
      <c r="AM4" s="6">
        <f>STDEV(AC4:AJ4)/SQRT(COUNT(AC4:AJ4))</f>
        <v>0.25449527391376736</v>
      </c>
    </row>
    <row r="5" spans="1:39" x14ac:dyDescent="0.2">
      <c r="A5" s="7" t="s">
        <v>2</v>
      </c>
      <c r="B5" s="7">
        <v>66.132999999999996</v>
      </c>
      <c r="D5" s="7">
        <v>66.795000000000002</v>
      </c>
      <c r="E5" s="7">
        <v>65.58</v>
      </c>
      <c r="F5" s="7">
        <v>66.210999999999999</v>
      </c>
      <c r="G5" s="7">
        <v>65.921000000000006</v>
      </c>
      <c r="H5" s="7">
        <v>66.453999999999994</v>
      </c>
      <c r="I5" s="7">
        <v>65.244</v>
      </c>
      <c r="J5" s="7">
        <v>66.91</v>
      </c>
      <c r="K5" s="7">
        <v>66.725999999999999</v>
      </c>
      <c r="L5" s="7">
        <v>67.326999999999998</v>
      </c>
      <c r="M5" s="7">
        <v>66.397000000000006</v>
      </c>
      <c r="N5" s="7">
        <v>66.903000000000006</v>
      </c>
      <c r="O5" s="7">
        <v>66.561000000000007</v>
      </c>
      <c r="P5" s="7">
        <v>66.183999999999997</v>
      </c>
      <c r="R5" s="5">
        <f t="shared" ref="R5:R68" si="0">AVERAGE(B5:P5)</f>
        <v>66.381857142857143</v>
      </c>
      <c r="S5" s="5">
        <f t="shared" ref="S5:S68" si="1">STDEV(B5:P5)/SQRT(COUNT(B5:P5))</f>
        <v>0.14918864292362888</v>
      </c>
      <c r="U5" s="7" t="s">
        <v>2</v>
      </c>
      <c r="V5" s="7">
        <v>66.977000000000004</v>
      </c>
      <c r="X5" s="7">
        <v>65.543999999999997</v>
      </c>
      <c r="Y5" s="7">
        <v>65.361999999999995</v>
      </c>
      <c r="Z5" s="7">
        <v>66.751999999999995</v>
      </c>
      <c r="AA5" s="7">
        <v>65.796999999999997</v>
      </c>
      <c r="AB5" s="7">
        <v>67.075999999999993</v>
      </c>
      <c r="AC5" s="7">
        <v>66.888000000000005</v>
      </c>
      <c r="AD5" s="7">
        <v>66.415999999999997</v>
      </c>
      <c r="AE5" s="7">
        <v>66.340999999999994</v>
      </c>
      <c r="AF5" s="7">
        <v>66.375</v>
      </c>
      <c r="AH5" s="7">
        <v>66.72</v>
      </c>
      <c r="AJ5" s="7">
        <v>65.055000000000007</v>
      </c>
      <c r="AL5" s="6">
        <f t="shared" ref="AL5:AL68" si="2">AVERAGE(AC5:AJ5)</f>
        <v>66.299166666666665</v>
      </c>
      <c r="AM5" s="6">
        <f t="shared" ref="AM5:AM68" si="3">STDEV(AC5:AJ5)/SQRT(COUNT(AC5:AJ5))</f>
        <v>0.26412918766728027</v>
      </c>
    </row>
    <row r="6" spans="1:39" x14ac:dyDescent="0.2">
      <c r="A6" s="7" t="s">
        <v>3</v>
      </c>
      <c r="B6" s="7">
        <v>41.767000000000003</v>
      </c>
      <c r="D6" s="7">
        <v>41.23</v>
      </c>
      <c r="E6" s="7">
        <v>44.427</v>
      </c>
      <c r="F6" s="7">
        <v>42.316000000000003</v>
      </c>
      <c r="G6" s="7">
        <v>42.081000000000003</v>
      </c>
      <c r="H6" s="7">
        <v>42.177</v>
      </c>
      <c r="I6" s="7">
        <v>42.953000000000003</v>
      </c>
      <c r="J6" s="7">
        <v>39.972000000000001</v>
      </c>
      <c r="K6" s="7">
        <v>41.784999999999997</v>
      </c>
      <c r="L6" s="7">
        <v>40.588000000000001</v>
      </c>
      <c r="M6" s="7">
        <v>40.238999999999997</v>
      </c>
      <c r="N6" s="7">
        <v>39.67</v>
      </c>
      <c r="O6" s="7">
        <v>39.783999999999999</v>
      </c>
      <c r="P6" s="7">
        <v>40.901000000000003</v>
      </c>
      <c r="R6" s="5">
        <f t="shared" si="0"/>
        <v>41.420714285714283</v>
      </c>
      <c r="S6" s="5">
        <f t="shared" si="1"/>
        <v>0.36075848711881681</v>
      </c>
      <c r="U6" s="7" t="s">
        <v>3</v>
      </c>
      <c r="V6" s="7">
        <v>42.006999999999998</v>
      </c>
      <c r="X6" s="7">
        <v>42.107999999999997</v>
      </c>
      <c r="Y6" s="7">
        <v>41.253999999999998</v>
      </c>
      <c r="Z6" s="7">
        <v>42.341999999999999</v>
      </c>
      <c r="AA6" s="7">
        <v>39.558999999999997</v>
      </c>
      <c r="AB6" s="7">
        <v>41.768000000000001</v>
      </c>
      <c r="AC6" s="7">
        <v>43.521000000000001</v>
      </c>
      <c r="AD6" s="7">
        <v>40.779000000000003</v>
      </c>
      <c r="AE6" s="7">
        <v>41.494</v>
      </c>
      <c r="AF6" s="7">
        <v>42.003999999999998</v>
      </c>
      <c r="AH6" s="7">
        <v>39.082000000000001</v>
      </c>
      <c r="AJ6" s="7">
        <v>40.756999999999998</v>
      </c>
      <c r="AL6" s="6">
        <f t="shared" si="2"/>
        <v>41.272833333333331</v>
      </c>
      <c r="AM6" s="6">
        <f t="shared" si="3"/>
        <v>0.60408274359653003</v>
      </c>
    </row>
    <row r="7" spans="1:39" x14ac:dyDescent="0.2">
      <c r="A7" s="7">
        <v>-3.75</v>
      </c>
      <c r="B7" s="7">
        <v>1095.819</v>
      </c>
      <c r="D7" s="7">
        <v>1261.0219999999999</v>
      </c>
      <c r="E7" s="7">
        <v>1062.421</v>
      </c>
      <c r="F7" s="7">
        <v>1139.453</v>
      </c>
      <c r="G7" s="7">
        <v>903.83199999999999</v>
      </c>
      <c r="H7" s="7">
        <v>1272.98</v>
      </c>
      <c r="I7" s="7">
        <v>1080.9190000000001</v>
      </c>
      <c r="J7" s="7">
        <v>1316.1969999999999</v>
      </c>
      <c r="K7" s="7">
        <v>1277.175</v>
      </c>
      <c r="L7" s="7">
        <v>1172.0809999999999</v>
      </c>
      <c r="M7" s="7">
        <v>1176.7560000000001</v>
      </c>
      <c r="N7" s="7">
        <v>1223.818</v>
      </c>
      <c r="O7" s="7">
        <v>1140.5730000000001</v>
      </c>
      <c r="P7" s="7">
        <v>914.41099999999994</v>
      </c>
      <c r="R7" s="5">
        <f t="shared" si="0"/>
        <v>1145.5326428571427</v>
      </c>
      <c r="S7" s="5">
        <f t="shared" si="1"/>
        <v>33.911394958945962</v>
      </c>
      <c r="U7" s="7">
        <v>-3.75</v>
      </c>
      <c r="V7" s="7">
        <v>1121.2570000000001</v>
      </c>
      <c r="X7" s="7">
        <v>922.36300000000006</v>
      </c>
      <c r="Y7" s="7">
        <v>1110.0650000000001</v>
      </c>
      <c r="Z7" s="7">
        <v>1280.8810000000001</v>
      </c>
      <c r="AA7" s="7">
        <v>1158.6210000000001</v>
      </c>
      <c r="AB7" s="7">
        <v>1021.342</v>
      </c>
      <c r="AC7" s="7">
        <v>1212.18</v>
      </c>
      <c r="AD7" s="7">
        <v>1197.1569999999999</v>
      </c>
      <c r="AE7" s="7">
        <v>936.56399999999996</v>
      </c>
      <c r="AF7" s="7">
        <v>908.07899999999995</v>
      </c>
      <c r="AH7" s="7">
        <v>1423.579</v>
      </c>
      <c r="AJ7" s="7">
        <v>861.04899999999998</v>
      </c>
      <c r="AL7" s="6">
        <f t="shared" si="2"/>
        <v>1089.7679999999998</v>
      </c>
      <c r="AM7" s="6">
        <f t="shared" si="3"/>
        <v>90.690245356378199</v>
      </c>
    </row>
    <row r="8" spans="1:39" x14ac:dyDescent="0.2">
      <c r="A8" s="7">
        <v>-2.5</v>
      </c>
      <c r="B8" s="7">
        <v>1327.2439999999999</v>
      </c>
      <c r="D8" s="7">
        <v>1426.7280000000001</v>
      </c>
      <c r="E8" s="7">
        <v>1229.1130000000001</v>
      </c>
      <c r="F8" s="7">
        <v>1400.8779999999999</v>
      </c>
      <c r="G8" s="7">
        <v>1075.143</v>
      </c>
      <c r="H8" s="7">
        <v>1492.925</v>
      </c>
      <c r="I8" s="7">
        <v>1277.684</v>
      </c>
      <c r="J8" s="7">
        <v>1565.4880000000001</v>
      </c>
      <c r="K8" s="7">
        <v>1663.4190000000001</v>
      </c>
      <c r="L8" s="7">
        <v>1481.796</v>
      </c>
      <c r="M8" s="7">
        <v>1439.7049999999999</v>
      </c>
      <c r="N8" s="7">
        <v>1516.98</v>
      </c>
      <c r="O8" s="7">
        <v>1433.0229999999999</v>
      </c>
      <c r="P8" s="7">
        <v>1107.079</v>
      </c>
      <c r="R8" s="5">
        <f t="shared" si="0"/>
        <v>1388.3717857142858</v>
      </c>
      <c r="S8" s="5">
        <f t="shared" si="1"/>
        <v>44.970487604134455</v>
      </c>
      <c r="U8" s="7">
        <v>-2.5</v>
      </c>
      <c r="V8" s="7">
        <v>1359.4059999999999</v>
      </c>
      <c r="X8" s="7">
        <v>1067.3399999999999</v>
      </c>
      <c r="Y8" s="7">
        <v>1344.8109999999999</v>
      </c>
      <c r="Z8" s="7">
        <v>1536.2339999999999</v>
      </c>
      <c r="AA8" s="7">
        <v>1473.3219999999999</v>
      </c>
      <c r="AB8" s="7">
        <v>1288.2349999999999</v>
      </c>
      <c r="AC8" s="7">
        <v>1428.886</v>
      </c>
      <c r="AD8" s="7">
        <v>1442.5129999999999</v>
      </c>
      <c r="AE8" s="7">
        <v>1077.7750000000001</v>
      </c>
      <c r="AF8" s="7">
        <v>1133.605</v>
      </c>
      <c r="AH8" s="7">
        <v>1745.64</v>
      </c>
      <c r="AJ8" s="7">
        <v>1070.9490000000001</v>
      </c>
      <c r="AL8" s="6">
        <f t="shared" si="2"/>
        <v>1316.5613333333333</v>
      </c>
      <c r="AM8" s="6">
        <f t="shared" si="3"/>
        <v>110.06157465184863</v>
      </c>
    </row>
    <row r="9" spans="1:39" x14ac:dyDescent="0.2">
      <c r="A9" s="7">
        <v>-1.25</v>
      </c>
      <c r="B9" s="7">
        <v>1895.9829999999999</v>
      </c>
      <c r="D9" s="7">
        <v>1960.8330000000001</v>
      </c>
      <c r="E9" s="7">
        <v>1826.374</v>
      </c>
      <c r="F9" s="7">
        <v>1982.357</v>
      </c>
      <c r="G9" s="7">
        <v>1557.405</v>
      </c>
      <c r="H9" s="7">
        <v>2009.605</v>
      </c>
      <c r="I9" s="7">
        <v>1897.818</v>
      </c>
      <c r="J9" s="7">
        <v>2237.9879999999998</v>
      </c>
      <c r="K9" s="7">
        <v>2360.8420000000001</v>
      </c>
      <c r="L9" s="7">
        <v>2170.5219999999999</v>
      </c>
      <c r="M9" s="7">
        <v>2086.9749999999999</v>
      </c>
      <c r="N9" s="7">
        <v>2190.277</v>
      </c>
      <c r="O9" s="7">
        <v>2270.7640000000001</v>
      </c>
      <c r="P9" s="7">
        <v>1680.8030000000001</v>
      </c>
      <c r="R9" s="5">
        <f t="shared" si="0"/>
        <v>2009.1818571428571</v>
      </c>
      <c r="S9" s="5">
        <f t="shared" si="1"/>
        <v>61.25730093825721</v>
      </c>
      <c r="U9" s="7">
        <v>-1.25</v>
      </c>
      <c r="V9" s="7">
        <v>1873.9190000000001</v>
      </c>
      <c r="X9" s="7">
        <v>1482.27</v>
      </c>
      <c r="Y9" s="7">
        <v>1842.135</v>
      </c>
      <c r="Z9" s="7">
        <v>2096.2779999999998</v>
      </c>
      <c r="AA9" s="7">
        <v>2075.8539999999998</v>
      </c>
      <c r="AB9" s="7">
        <v>1866.999</v>
      </c>
      <c r="AC9" s="7">
        <v>2002.09</v>
      </c>
      <c r="AD9" s="7">
        <v>2044.7650000000001</v>
      </c>
      <c r="AE9" s="7">
        <v>1592.95</v>
      </c>
      <c r="AF9" s="7">
        <v>1695.2190000000001</v>
      </c>
      <c r="AH9" s="7">
        <v>2399.826</v>
      </c>
      <c r="AJ9" s="7">
        <v>1739.721</v>
      </c>
      <c r="AL9" s="6">
        <f t="shared" si="2"/>
        <v>1912.4285</v>
      </c>
      <c r="AM9" s="6">
        <f t="shared" si="3"/>
        <v>121.40604271472702</v>
      </c>
    </row>
    <row r="10" spans="1:39" x14ac:dyDescent="0.2">
      <c r="A10" s="7">
        <v>0</v>
      </c>
      <c r="B10" s="7">
        <v>2639.806</v>
      </c>
      <c r="D10" s="7">
        <v>2708.337</v>
      </c>
      <c r="E10" s="7">
        <v>2576.0520000000001</v>
      </c>
      <c r="F10" s="7">
        <v>2761.49</v>
      </c>
      <c r="G10" s="7">
        <v>2120.6379999999999</v>
      </c>
      <c r="H10" s="7">
        <v>2668.2930000000001</v>
      </c>
      <c r="I10" s="7">
        <v>2575.41</v>
      </c>
      <c r="J10" s="7">
        <v>3098.8560000000002</v>
      </c>
      <c r="K10" s="7">
        <v>3262.0790000000002</v>
      </c>
      <c r="L10" s="7">
        <v>3085.7080000000001</v>
      </c>
      <c r="M10" s="7">
        <v>2911.5129999999999</v>
      </c>
      <c r="N10" s="7">
        <v>3023.4430000000002</v>
      </c>
      <c r="O10" s="7">
        <v>3169.194</v>
      </c>
      <c r="P10" s="7">
        <v>2377.2730000000001</v>
      </c>
      <c r="R10" s="5">
        <f t="shared" si="0"/>
        <v>2784.1494285714289</v>
      </c>
      <c r="S10" s="5">
        <f t="shared" si="1"/>
        <v>86.866321836188845</v>
      </c>
      <c r="U10" s="7">
        <v>0</v>
      </c>
      <c r="V10" s="7">
        <v>2597.2649999999999</v>
      </c>
      <c r="X10" s="7">
        <v>2030.3779999999999</v>
      </c>
      <c r="Y10" s="7">
        <v>2556.0529999999999</v>
      </c>
      <c r="Z10" s="7">
        <v>2827.7489999999998</v>
      </c>
      <c r="AA10" s="7">
        <v>2825.2330000000002</v>
      </c>
      <c r="AB10" s="7">
        <v>2523.8389999999999</v>
      </c>
      <c r="AC10" s="7">
        <v>2718.4639999999999</v>
      </c>
      <c r="AD10" s="7">
        <v>2865.328</v>
      </c>
      <c r="AE10" s="7">
        <v>2257.3809999999999</v>
      </c>
      <c r="AF10" s="7">
        <v>2405.9029999999998</v>
      </c>
      <c r="AH10" s="7">
        <v>3223.0149999999999</v>
      </c>
      <c r="AJ10" s="7">
        <v>2747.88</v>
      </c>
      <c r="AL10" s="6">
        <f t="shared" si="2"/>
        <v>2702.9951666666661</v>
      </c>
      <c r="AM10" s="6">
        <f t="shared" si="3"/>
        <v>139.74527421166906</v>
      </c>
    </row>
    <row r="11" spans="1:39" x14ac:dyDescent="0.2">
      <c r="A11" s="7">
        <v>1.25</v>
      </c>
      <c r="B11" s="7">
        <v>3463.4409999999998</v>
      </c>
      <c r="D11" s="7">
        <v>3493.9760000000001</v>
      </c>
      <c r="E11" s="7">
        <v>3425.7669999999998</v>
      </c>
      <c r="F11" s="7">
        <v>3659.6959999999999</v>
      </c>
      <c r="G11" s="7">
        <v>2759.2640000000001</v>
      </c>
      <c r="H11" s="7">
        <v>3403.5970000000002</v>
      </c>
      <c r="I11" s="7">
        <v>3373.239</v>
      </c>
      <c r="J11" s="7">
        <v>3981.6550000000002</v>
      </c>
      <c r="K11" s="7">
        <v>4218.6419999999998</v>
      </c>
      <c r="L11" s="7">
        <v>4060.279</v>
      </c>
      <c r="M11" s="7">
        <v>3742.6979999999999</v>
      </c>
      <c r="N11" s="7">
        <v>3875.462</v>
      </c>
      <c r="O11" s="7">
        <v>3977.4189999999999</v>
      </c>
      <c r="P11" s="7">
        <v>3129.31</v>
      </c>
      <c r="R11" s="5">
        <f t="shared" si="0"/>
        <v>3611.7460714285712</v>
      </c>
      <c r="S11" s="5">
        <f t="shared" si="1"/>
        <v>106.36816014375665</v>
      </c>
      <c r="U11" s="7">
        <v>1.25</v>
      </c>
      <c r="V11" s="7">
        <v>3455.1570000000002</v>
      </c>
      <c r="X11" s="7">
        <v>2686.4050000000002</v>
      </c>
      <c r="Y11" s="7">
        <v>3389.7130000000002</v>
      </c>
      <c r="Z11" s="7">
        <v>3618.384</v>
      </c>
      <c r="AA11" s="7">
        <v>3571.1750000000002</v>
      </c>
      <c r="AB11" s="7">
        <v>3233.21</v>
      </c>
      <c r="AC11" s="7">
        <v>3534.49</v>
      </c>
      <c r="AD11" s="7">
        <v>3710.1239999999998</v>
      </c>
      <c r="AE11" s="7">
        <v>3002.54</v>
      </c>
      <c r="AF11" s="7">
        <v>3241.9229999999998</v>
      </c>
      <c r="AH11" s="7">
        <v>3981.3310000000001</v>
      </c>
      <c r="AJ11" s="7">
        <v>3637.7649999999999</v>
      </c>
      <c r="AL11" s="6">
        <f t="shared" si="2"/>
        <v>3518.0288333333324</v>
      </c>
      <c r="AM11" s="6">
        <f t="shared" si="3"/>
        <v>142.37513111528449</v>
      </c>
    </row>
    <row r="12" spans="1:39" x14ac:dyDescent="0.2">
      <c r="A12" s="7">
        <v>2.5</v>
      </c>
      <c r="B12" s="7">
        <v>3841.5909999999999</v>
      </c>
      <c r="D12" s="7">
        <v>3893.9409999999998</v>
      </c>
      <c r="E12" s="7">
        <v>3849.1010000000001</v>
      </c>
      <c r="F12" s="7">
        <v>4112.7449999999999</v>
      </c>
      <c r="G12" s="7">
        <v>3079.471</v>
      </c>
      <c r="H12" s="7">
        <v>3831.7289999999998</v>
      </c>
      <c r="I12" s="7">
        <v>3810.183</v>
      </c>
      <c r="J12" s="7">
        <v>4411.3270000000002</v>
      </c>
      <c r="K12" s="7">
        <v>4686.0919999999996</v>
      </c>
      <c r="L12" s="7">
        <v>4499.4769999999999</v>
      </c>
      <c r="M12" s="7">
        <v>4147.5860000000002</v>
      </c>
      <c r="N12" s="7">
        <v>4296.4319999999998</v>
      </c>
      <c r="O12" s="7">
        <v>4373.0590000000002</v>
      </c>
      <c r="P12" s="7">
        <v>3485.3240000000001</v>
      </c>
      <c r="R12" s="5">
        <f t="shared" si="0"/>
        <v>4022.7184285714288</v>
      </c>
      <c r="S12" s="5">
        <f t="shared" si="1"/>
        <v>114.34055355791638</v>
      </c>
      <c r="U12" s="7">
        <v>2.5</v>
      </c>
      <c r="V12" s="7">
        <v>3774.393</v>
      </c>
      <c r="X12" s="7">
        <v>2968.1350000000002</v>
      </c>
      <c r="Y12" s="7">
        <v>3800.3069999999998</v>
      </c>
      <c r="Z12" s="7">
        <v>4044.163</v>
      </c>
      <c r="AA12" s="7">
        <v>3989.8290000000002</v>
      </c>
      <c r="AB12" s="7">
        <v>3575.9</v>
      </c>
      <c r="AC12" s="7">
        <v>3880.67</v>
      </c>
      <c r="AD12" s="7">
        <v>4160.8559999999998</v>
      </c>
      <c r="AE12" s="7">
        <v>3354.2240000000002</v>
      </c>
      <c r="AF12" s="7">
        <v>3657.6469999999999</v>
      </c>
      <c r="AH12" s="7">
        <v>4398.0619999999999</v>
      </c>
      <c r="AJ12" s="7">
        <v>4156.37</v>
      </c>
      <c r="AL12" s="6">
        <f t="shared" si="2"/>
        <v>3934.6381666666671</v>
      </c>
      <c r="AM12" s="6">
        <f t="shared" si="3"/>
        <v>156.16427649805541</v>
      </c>
    </row>
    <row r="13" spans="1:39" x14ac:dyDescent="0.2">
      <c r="A13" s="7">
        <v>3.75</v>
      </c>
      <c r="B13" s="7">
        <v>3978.3679999999999</v>
      </c>
      <c r="D13" s="7">
        <v>4028.1109999999999</v>
      </c>
      <c r="E13" s="7">
        <v>3962.1170000000002</v>
      </c>
      <c r="F13" s="7">
        <v>4281.6540000000005</v>
      </c>
      <c r="G13" s="7">
        <v>3204.248</v>
      </c>
      <c r="H13" s="7">
        <v>3976.23</v>
      </c>
      <c r="I13" s="7">
        <v>3962.1570000000002</v>
      </c>
      <c r="J13" s="7">
        <v>4580.6980000000003</v>
      </c>
      <c r="K13" s="7">
        <v>4848.2280000000001</v>
      </c>
      <c r="L13" s="7">
        <v>4669.8720000000003</v>
      </c>
      <c r="M13" s="7">
        <v>4328.4530000000004</v>
      </c>
      <c r="N13" s="7">
        <v>4460.8280000000004</v>
      </c>
      <c r="O13" s="7">
        <v>4552.5379999999996</v>
      </c>
      <c r="P13" s="7">
        <v>3593.451</v>
      </c>
      <c r="R13" s="5">
        <f t="shared" si="0"/>
        <v>4173.3537857142865</v>
      </c>
      <c r="S13" s="5">
        <f t="shared" si="1"/>
        <v>119.35662425422498</v>
      </c>
      <c r="U13" s="7">
        <v>3.75</v>
      </c>
      <c r="V13" s="7">
        <v>3852.9250000000002</v>
      </c>
      <c r="X13" s="7">
        <v>3024.9949999999999</v>
      </c>
      <c r="Y13" s="7">
        <v>3918.2890000000002</v>
      </c>
      <c r="Z13" s="7">
        <v>4198.9219999999996</v>
      </c>
      <c r="AA13" s="7">
        <v>4103.2759999999998</v>
      </c>
      <c r="AB13" s="7">
        <v>3694.6979999999999</v>
      </c>
      <c r="AC13" s="7">
        <v>3916.5729999999999</v>
      </c>
      <c r="AD13" s="7">
        <v>4287.0649999999996</v>
      </c>
      <c r="AE13" s="7">
        <v>3497.3249999999998</v>
      </c>
      <c r="AF13" s="7">
        <v>3771.7</v>
      </c>
      <c r="AH13" s="7">
        <v>4523.3549999999996</v>
      </c>
      <c r="AJ13" s="7">
        <v>4402.6210000000001</v>
      </c>
      <c r="AL13" s="6">
        <f t="shared" si="2"/>
        <v>4066.4398333333334</v>
      </c>
      <c r="AM13" s="6">
        <f t="shared" si="3"/>
        <v>163.67529248737506</v>
      </c>
    </row>
    <row r="14" spans="1:39" x14ac:dyDescent="0.2">
      <c r="A14" s="7">
        <v>5</v>
      </c>
      <c r="B14" s="7">
        <v>4054.489</v>
      </c>
      <c r="D14" s="7">
        <v>4058.8290000000002</v>
      </c>
      <c r="E14" s="7">
        <v>4035.7910000000002</v>
      </c>
      <c r="F14" s="7">
        <v>4318.0720000000001</v>
      </c>
      <c r="G14" s="7">
        <v>3251.962</v>
      </c>
      <c r="H14" s="7">
        <v>4029.8910000000001</v>
      </c>
      <c r="I14" s="7">
        <v>4024.902</v>
      </c>
      <c r="J14" s="7">
        <v>4686.9089999999997</v>
      </c>
      <c r="K14" s="7">
        <v>4947.2169999999996</v>
      </c>
      <c r="L14" s="7">
        <v>4733.2579999999998</v>
      </c>
      <c r="M14" s="7">
        <v>4436.3230000000003</v>
      </c>
      <c r="N14" s="7">
        <v>4581.3559999999998</v>
      </c>
      <c r="O14" s="7">
        <v>4673.6710000000003</v>
      </c>
      <c r="P14" s="7">
        <v>3650.1709999999998</v>
      </c>
      <c r="R14" s="5">
        <f t="shared" si="0"/>
        <v>4248.7743571428573</v>
      </c>
      <c r="S14" s="5">
        <f t="shared" si="1"/>
        <v>124.36233869137057</v>
      </c>
      <c r="U14" s="7">
        <v>5</v>
      </c>
      <c r="V14" s="7">
        <v>3910.8209999999999</v>
      </c>
      <c r="X14" s="7">
        <v>3078.9340000000002</v>
      </c>
      <c r="Y14" s="7">
        <v>3966.3890000000001</v>
      </c>
      <c r="Z14" s="7">
        <v>4296.0110000000004</v>
      </c>
      <c r="AA14" s="7">
        <v>4149.6589999999997</v>
      </c>
      <c r="AB14" s="7">
        <v>3743.136</v>
      </c>
      <c r="AC14" s="7">
        <v>3901.2489999999998</v>
      </c>
      <c r="AD14" s="7">
        <v>4313.5969999999998</v>
      </c>
      <c r="AE14" s="7">
        <v>3545.7</v>
      </c>
      <c r="AF14" s="7">
        <v>3863.9349999999999</v>
      </c>
      <c r="AH14" s="7">
        <v>4586.1959999999999</v>
      </c>
      <c r="AJ14" s="7">
        <v>4539.5789999999997</v>
      </c>
      <c r="AL14" s="6">
        <f t="shared" si="2"/>
        <v>4125.0426666666654</v>
      </c>
      <c r="AM14" s="6">
        <f t="shared" si="3"/>
        <v>170.68042744354466</v>
      </c>
    </row>
    <row r="15" spans="1:39" x14ac:dyDescent="0.2">
      <c r="A15" s="7">
        <v>6.25</v>
      </c>
      <c r="B15" s="7">
        <v>4070.8470000000002</v>
      </c>
      <c r="D15" s="7">
        <v>4091.471</v>
      </c>
      <c r="E15" s="7">
        <v>4114.4009999999998</v>
      </c>
      <c r="F15" s="7">
        <v>4359.0680000000002</v>
      </c>
      <c r="G15" s="7">
        <v>3290.828</v>
      </c>
      <c r="H15" s="7">
        <v>4072.3049999999998</v>
      </c>
      <c r="I15" s="7">
        <v>4047.55</v>
      </c>
      <c r="J15" s="7">
        <v>4770.0680000000002</v>
      </c>
      <c r="K15" s="7">
        <v>4978.9799999999996</v>
      </c>
      <c r="L15" s="7">
        <v>4747.2139999999999</v>
      </c>
      <c r="M15" s="7">
        <v>4497.549</v>
      </c>
      <c r="N15" s="7">
        <v>4537.0389999999998</v>
      </c>
      <c r="O15" s="7">
        <v>4695.5249999999996</v>
      </c>
      <c r="P15" s="7">
        <v>3665.7190000000001</v>
      </c>
      <c r="R15" s="5">
        <f t="shared" si="0"/>
        <v>4281.3259999999991</v>
      </c>
      <c r="S15" s="5">
        <f t="shared" si="1"/>
        <v>124.01252104118132</v>
      </c>
      <c r="U15" s="7">
        <v>6.25</v>
      </c>
      <c r="V15" s="7">
        <v>3925.2719999999999</v>
      </c>
      <c r="X15" s="7">
        <v>3103.5230000000001</v>
      </c>
      <c r="Y15" s="7">
        <v>4036.779</v>
      </c>
      <c r="Z15" s="7">
        <v>4339.0389999999998</v>
      </c>
      <c r="AA15" s="7">
        <v>4151.8029999999999</v>
      </c>
      <c r="AB15" s="7">
        <v>3773.7849999999999</v>
      </c>
      <c r="AC15" s="7">
        <v>3927.569</v>
      </c>
      <c r="AD15" s="7">
        <v>4329.2879999999996</v>
      </c>
      <c r="AE15" s="7">
        <v>3573.3150000000001</v>
      </c>
      <c r="AF15" s="7">
        <v>3881.7570000000001</v>
      </c>
      <c r="AH15" s="7">
        <v>4604.6459999999997</v>
      </c>
      <c r="AJ15" s="7">
        <v>4523.54</v>
      </c>
      <c r="AL15" s="6">
        <f t="shared" si="2"/>
        <v>4140.0191666666669</v>
      </c>
      <c r="AM15" s="6">
        <f t="shared" si="3"/>
        <v>166.51096537373874</v>
      </c>
    </row>
    <row r="16" spans="1:39" x14ac:dyDescent="0.2">
      <c r="A16" s="7">
        <v>7.5</v>
      </c>
      <c r="B16" s="7">
        <v>3997.752</v>
      </c>
      <c r="D16" s="7">
        <v>4024.759</v>
      </c>
      <c r="E16" s="7">
        <v>4106.2950000000001</v>
      </c>
      <c r="F16" s="7">
        <v>4310.8770000000004</v>
      </c>
      <c r="G16" s="7">
        <v>3255.2840000000001</v>
      </c>
      <c r="H16" s="7">
        <v>4062.5630000000001</v>
      </c>
      <c r="I16" s="7">
        <v>3958.7890000000002</v>
      </c>
      <c r="J16" s="7">
        <v>4697.7460000000001</v>
      </c>
      <c r="K16" s="7">
        <v>4917.1670000000004</v>
      </c>
      <c r="L16" s="7">
        <v>4619.5069999999996</v>
      </c>
      <c r="M16" s="7">
        <v>4439.6090000000004</v>
      </c>
      <c r="N16" s="7">
        <v>4495.165</v>
      </c>
      <c r="O16" s="7">
        <v>4615.9989999999998</v>
      </c>
      <c r="P16" s="7">
        <v>3599.386</v>
      </c>
      <c r="R16" s="5">
        <f t="shared" si="0"/>
        <v>4221.4927142857141</v>
      </c>
      <c r="S16" s="5">
        <f t="shared" si="1"/>
        <v>121.17043177610233</v>
      </c>
      <c r="U16" s="7">
        <v>7.5</v>
      </c>
      <c r="V16" s="7">
        <v>3856.373</v>
      </c>
      <c r="X16" s="7">
        <v>3061.538</v>
      </c>
      <c r="Y16" s="7">
        <v>3986.9720000000002</v>
      </c>
      <c r="Z16" s="7">
        <v>4260.8909999999996</v>
      </c>
      <c r="AA16" s="7">
        <v>4053.5230000000001</v>
      </c>
      <c r="AB16" s="7">
        <v>3742.569</v>
      </c>
      <c r="AC16" s="7">
        <v>3905.643</v>
      </c>
      <c r="AD16" s="7">
        <v>4237.4629999999997</v>
      </c>
      <c r="AE16" s="7">
        <v>3493.529</v>
      </c>
      <c r="AF16" s="7">
        <v>3819.893</v>
      </c>
      <c r="AH16" s="7">
        <v>4506.4070000000002</v>
      </c>
      <c r="AJ16" s="7">
        <v>4447.0910000000003</v>
      </c>
      <c r="AL16" s="6">
        <f t="shared" si="2"/>
        <v>4068.3376666666668</v>
      </c>
      <c r="AM16" s="6">
        <f t="shared" si="3"/>
        <v>161.50970217764356</v>
      </c>
    </row>
    <row r="17" spans="1:39" x14ac:dyDescent="0.2">
      <c r="A17" s="7">
        <v>8.75</v>
      </c>
      <c r="B17" s="7">
        <v>3695.692</v>
      </c>
      <c r="D17" s="7">
        <v>3729.01</v>
      </c>
      <c r="E17" s="7">
        <v>3810.8980000000001</v>
      </c>
      <c r="F17" s="7">
        <v>4041.8690000000001</v>
      </c>
      <c r="G17" s="7">
        <v>3007.33</v>
      </c>
      <c r="H17" s="7">
        <v>3771.1210000000001</v>
      </c>
      <c r="I17" s="7">
        <v>3658.4459999999999</v>
      </c>
      <c r="J17" s="7">
        <v>4320.491</v>
      </c>
      <c r="K17" s="7">
        <v>4534.9290000000001</v>
      </c>
      <c r="L17" s="7">
        <v>4258.5249999999996</v>
      </c>
      <c r="M17" s="7">
        <v>4126.6679999999997</v>
      </c>
      <c r="N17" s="7">
        <v>4195.8559999999998</v>
      </c>
      <c r="O17" s="7">
        <v>4244.4489999999996</v>
      </c>
      <c r="P17" s="7">
        <v>3344.3009999999999</v>
      </c>
      <c r="R17" s="5">
        <f t="shared" si="0"/>
        <v>3909.9703571428568</v>
      </c>
      <c r="S17" s="5">
        <f t="shared" si="1"/>
        <v>111.04683710368485</v>
      </c>
      <c r="U17" s="7">
        <v>8.75</v>
      </c>
      <c r="V17" s="7">
        <v>3578.6419999999998</v>
      </c>
      <c r="X17" s="7">
        <v>2844.0219999999999</v>
      </c>
      <c r="Y17" s="7">
        <v>3685.5529999999999</v>
      </c>
      <c r="Z17" s="7">
        <v>3940.721</v>
      </c>
      <c r="AA17" s="7">
        <v>3786.8589999999999</v>
      </c>
      <c r="AB17" s="7">
        <v>3458.308</v>
      </c>
      <c r="AC17" s="7">
        <v>3617.605</v>
      </c>
      <c r="AD17" s="7">
        <v>3908.8409999999999</v>
      </c>
      <c r="AE17" s="7">
        <v>3253.4780000000001</v>
      </c>
      <c r="AF17" s="7">
        <v>3571.0050000000001</v>
      </c>
      <c r="AH17" s="7">
        <v>4199.1180000000004</v>
      </c>
      <c r="AJ17" s="7">
        <v>4091.8690000000001</v>
      </c>
      <c r="AL17" s="6">
        <f t="shared" si="2"/>
        <v>3773.6526666666664</v>
      </c>
      <c r="AM17" s="6">
        <f t="shared" si="3"/>
        <v>145.66593116412335</v>
      </c>
    </row>
    <row r="18" spans="1:39" x14ac:dyDescent="0.2">
      <c r="A18" s="7">
        <v>10</v>
      </c>
      <c r="B18" s="7">
        <v>3116.0990000000002</v>
      </c>
      <c r="D18" s="7">
        <v>3113.84</v>
      </c>
      <c r="E18" s="7">
        <v>3129.7649999999999</v>
      </c>
      <c r="F18" s="7">
        <v>3443.69</v>
      </c>
      <c r="G18" s="7">
        <v>2512.9659999999999</v>
      </c>
      <c r="H18" s="7">
        <v>3163.3560000000002</v>
      </c>
      <c r="I18" s="7">
        <v>3085.2179999999998</v>
      </c>
      <c r="J18" s="7">
        <v>3613.665</v>
      </c>
      <c r="K18" s="7">
        <v>3801.22</v>
      </c>
      <c r="L18" s="7">
        <v>3577.5770000000002</v>
      </c>
      <c r="M18" s="7">
        <v>3395.9749999999999</v>
      </c>
      <c r="N18" s="7">
        <v>3472.54</v>
      </c>
      <c r="O18" s="7">
        <v>3552.92</v>
      </c>
      <c r="P18" s="7">
        <v>2832.5549999999998</v>
      </c>
      <c r="R18" s="5">
        <f t="shared" si="0"/>
        <v>3272.2418571428575</v>
      </c>
      <c r="S18" s="5">
        <f t="shared" si="1"/>
        <v>91.976194884175555</v>
      </c>
      <c r="U18" s="7">
        <v>10</v>
      </c>
      <c r="V18" s="7">
        <v>3017.7849999999999</v>
      </c>
      <c r="X18" s="7">
        <v>2402.547</v>
      </c>
      <c r="Y18" s="7">
        <v>3138.49</v>
      </c>
      <c r="Z18" s="7">
        <v>3347.79</v>
      </c>
      <c r="AA18" s="7">
        <v>3202.1579999999999</v>
      </c>
      <c r="AB18" s="7">
        <v>2878.223</v>
      </c>
      <c r="AC18" s="7">
        <v>3036.393</v>
      </c>
      <c r="AD18" s="7">
        <v>3322.087</v>
      </c>
      <c r="AE18" s="7">
        <v>2740.5540000000001</v>
      </c>
      <c r="AF18" s="7">
        <v>3053</v>
      </c>
      <c r="AH18" s="7">
        <v>3530.9029999999998</v>
      </c>
      <c r="AJ18" s="7">
        <v>3397.348</v>
      </c>
      <c r="AL18" s="6">
        <f t="shared" si="2"/>
        <v>3180.0475000000001</v>
      </c>
      <c r="AM18" s="6">
        <f t="shared" si="3"/>
        <v>118.38166072911517</v>
      </c>
    </row>
    <row r="19" spans="1:39" x14ac:dyDescent="0.2">
      <c r="A19" s="7">
        <v>11.25</v>
      </c>
      <c r="B19" s="7">
        <v>2701.6120000000001</v>
      </c>
      <c r="D19" s="7">
        <v>2734.5830000000001</v>
      </c>
      <c r="E19" s="7">
        <v>2718.8649999999998</v>
      </c>
      <c r="F19" s="7">
        <v>3048.0749999999998</v>
      </c>
      <c r="G19" s="7">
        <v>2203.9670000000001</v>
      </c>
      <c r="H19" s="7">
        <v>2721.125</v>
      </c>
      <c r="I19" s="7">
        <v>2718.8420000000001</v>
      </c>
      <c r="J19" s="7">
        <v>3125.9450000000002</v>
      </c>
      <c r="K19" s="7">
        <v>3310.8229999999999</v>
      </c>
      <c r="L19" s="7">
        <v>3081.9760000000001</v>
      </c>
      <c r="M19" s="7">
        <v>2911.2890000000002</v>
      </c>
      <c r="N19" s="7">
        <v>3049.6640000000002</v>
      </c>
      <c r="O19" s="7">
        <v>3069.029</v>
      </c>
      <c r="P19" s="7">
        <v>2485.6350000000002</v>
      </c>
      <c r="R19" s="5">
        <f t="shared" si="0"/>
        <v>2848.6735714285714</v>
      </c>
      <c r="S19" s="5">
        <f t="shared" si="1"/>
        <v>78.081013281973469</v>
      </c>
      <c r="U19" s="7">
        <v>11.25</v>
      </c>
      <c r="V19" s="7">
        <v>2653.0540000000001</v>
      </c>
      <c r="X19" s="7">
        <v>2097.221</v>
      </c>
      <c r="Y19" s="7">
        <v>2734.7089999999998</v>
      </c>
      <c r="Z19" s="7">
        <v>2919.4189999999999</v>
      </c>
      <c r="AA19" s="7">
        <v>2783.8090000000002</v>
      </c>
      <c r="AB19" s="7">
        <v>2518.0340000000001</v>
      </c>
      <c r="AC19" s="7">
        <v>2674.366</v>
      </c>
      <c r="AD19" s="7">
        <v>2905.2060000000001</v>
      </c>
      <c r="AE19" s="7">
        <v>2388.8200000000002</v>
      </c>
      <c r="AF19" s="7">
        <v>2663.4430000000002</v>
      </c>
      <c r="AH19" s="7">
        <v>3064.7069999999999</v>
      </c>
      <c r="AJ19" s="7">
        <v>2935.6849999999999</v>
      </c>
      <c r="AL19" s="6">
        <f t="shared" si="2"/>
        <v>2772.0378333333333</v>
      </c>
      <c r="AM19" s="6">
        <f t="shared" si="3"/>
        <v>99.725946059995366</v>
      </c>
    </row>
    <row r="20" spans="1:39" x14ac:dyDescent="0.2">
      <c r="A20" s="7">
        <v>12.5</v>
      </c>
      <c r="B20" s="7">
        <v>2544.5309999999999</v>
      </c>
      <c r="D20" s="7">
        <v>2534.556</v>
      </c>
      <c r="E20" s="7">
        <v>2529.0770000000002</v>
      </c>
      <c r="F20" s="7">
        <v>2854.4879999999998</v>
      </c>
      <c r="G20" s="7">
        <v>2058.509</v>
      </c>
      <c r="H20" s="7">
        <v>2533.538</v>
      </c>
      <c r="I20" s="7">
        <v>2524.7469999999998</v>
      </c>
      <c r="J20" s="7">
        <v>2909.9279999999999</v>
      </c>
      <c r="K20" s="7">
        <v>3096.1579999999999</v>
      </c>
      <c r="L20" s="7">
        <v>2886.4630000000002</v>
      </c>
      <c r="M20" s="7">
        <v>2706.7489999999998</v>
      </c>
      <c r="N20" s="7">
        <v>2824.694</v>
      </c>
      <c r="O20" s="7">
        <v>2854.2860000000001</v>
      </c>
      <c r="P20" s="7">
        <v>2315.915</v>
      </c>
      <c r="R20" s="5">
        <f t="shared" si="0"/>
        <v>2655.2599285714286</v>
      </c>
      <c r="S20" s="5">
        <f t="shared" si="1"/>
        <v>72.975722140806084</v>
      </c>
      <c r="U20" s="7">
        <v>12.5</v>
      </c>
      <c r="V20" s="7">
        <v>2473.788</v>
      </c>
      <c r="X20" s="7">
        <v>1959.779</v>
      </c>
      <c r="Y20" s="7">
        <v>2571.9259999999999</v>
      </c>
      <c r="Z20" s="7">
        <v>2707.27</v>
      </c>
      <c r="AA20" s="7">
        <v>2614.8919999999998</v>
      </c>
      <c r="AB20" s="7">
        <v>2334.34</v>
      </c>
      <c r="AC20" s="7">
        <v>2441.779</v>
      </c>
      <c r="AD20" s="7">
        <v>2732.83</v>
      </c>
      <c r="AE20" s="7">
        <v>2239.6860000000001</v>
      </c>
      <c r="AF20" s="7">
        <v>2471.6</v>
      </c>
      <c r="AH20" s="7">
        <v>2864.0050000000001</v>
      </c>
      <c r="AJ20" s="7">
        <v>2716.5610000000001</v>
      </c>
      <c r="AL20" s="6">
        <f t="shared" si="2"/>
        <v>2577.7435</v>
      </c>
      <c r="AM20" s="6">
        <f t="shared" si="3"/>
        <v>94.74587560583663</v>
      </c>
    </row>
    <row r="21" spans="1:39" x14ac:dyDescent="0.2">
      <c r="A21" s="7">
        <v>13.75</v>
      </c>
      <c r="B21" s="7">
        <v>2486.165</v>
      </c>
      <c r="D21" s="7">
        <v>2500.3789999999999</v>
      </c>
      <c r="E21" s="7">
        <v>2479.7399999999998</v>
      </c>
      <c r="F21" s="7">
        <v>2801.7150000000001</v>
      </c>
      <c r="G21" s="7">
        <v>2016.672</v>
      </c>
      <c r="H21" s="7">
        <v>2479.4859999999999</v>
      </c>
      <c r="I21" s="7">
        <v>2457.201</v>
      </c>
      <c r="J21" s="7">
        <v>2871.0880000000002</v>
      </c>
      <c r="K21" s="7">
        <v>3035.4540000000002</v>
      </c>
      <c r="L21" s="7">
        <v>2853.317</v>
      </c>
      <c r="M21" s="7">
        <v>2683.31</v>
      </c>
      <c r="N21" s="7">
        <v>2791.127</v>
      </c>
      <c r="O21" s="7">
        <v>2818.433</v>
      </c>
      <c r="P21" s="7">
        <v>2264.4960000000001</v>
      </c>
      <c r="R21" s="5">
        <f t="shared" si="0"/>
        <v>2609.8987857142856</v>
      </c>
      <c r="S21" s="5">
        <f t="shared" si="1"/>
        <v>73.487439254683707</v>
      </c>
      <c r="U21" s="7">
        <v>13.75</v>
      </c>
      <c r="V21" s="7">
        <v>2421.8879999999999</v>
      </c>
      <c r="X21" s="7">
        <v>1922.366</v>
      </c>
      <c r="Y21" s="7">
        <v>2529.846</v>
      </c>
      <c r="Z21" s="7">
        <v>2648.7649999999999</v>
      </c>
      <c r="AA21" s="7">
        <v>2553.8580000000002</v>
      </c>
      <c r="AB21" s="7">
        <v>2283.9650000000001</v>
      </c>
      <c r="AC21" s="7">
        <v>2388.924</v>
      </c>
      <c r="AD21" s="7">
        <v>2681.2150000000001</v>
      </c>
      <c r="AE21" s="7">
        <v>2221.63</v>
      </c>
      <c r="AF21" s="7">
        <v>2427.828</v>
      </c>
      <c r="AH21" s="7">
        <v>2800.9409999999998</v>
      </c>
      <c r="AJ21" s="7">
        <v>2690.982</v>
      </c>
      <c r="AL21" s="6">
        <f t="shared" si="2"/>
        <v>2535.2533333333336</v>
      </c>
      <c r="AM21" s="6">
        <f t="shared" si="3"/>
        <v>90.821846348282904</v>
      </c>
    </row>
    <row r="22" spans="1:39" x14ac:dyDescent="0.2">
      <c r="A22" s="7">
        <v>15</v>
      </c>
      <c r="B22" s="7">
        <v>2471.1080000000002</v>
      </c>
      <c r="D22" s="7">
        <v>2490.953</v>
      </c>
      <c r="E22" s="7">
        <v>2468.6750000000002</v>
      </c>
      <c r="F22" s="7">
        <v>2800.2489999999998</v>
      </c>
      <c r="G22" s="7">
        <v>2016.6759999999999</v>
      </c>
      <c r="H22" s="7">
        <v>2473.4960000000001</v>
      </c>
      <c r="I22" s="7">
        <v>2460.9630000000002</v>
      </c>
      <c r="J22" s="7">
        <v>2870.078</v>
      </c>
      <c r="K22" s="7">
        <v>3031.8679999999999</v>
      </c>
      <c r="L22" s="7">
        <v>2838.4050000000002</v>
      </c>
      <c r="M22" s="7">
        <v>2688.2979999999998</v>
      </c>
      <c r="N22" s="7">
        <v>2808.6930000000002</v>
      </c>
      <c r="O22" s="7">
        <v>2814.3319999999999</v>
      </c>
      <c r="P22" s="7">
        <v>2260.652</v>
      </c>
      <c r="R22" s="5">
        <f t="shared" si="0"/>
        <v>2606.7461428571428</v>
      </c>
      <c r="S22" s="5">
        <f t="shared" si="1"/>
        <v>73.736545487777562</v>
      </c>
      <c r="U22" s="7">
        <v>15</v>
      </c>
      <c r="V22" s="7">
        <v>2408.6909999999998</v>
      </c>
      <c r="X22" s="7">
        <v>1921.2090000000001</v>
      </c>
      <c r="Y22" s="7">
        <v>2542.5610000000001</v>
      </c>
      <c r="Z22" s="7">
        <v>2643.0030000000002</v>
      </c>
      <c r="AA22" s="7">
        <v>2542.0430000000001</v>
      </c>
      <c r="AB22" s="7">
        <v>2287.3310000000001</v>
      </c>
      <c r="AC22" s="7">
        <v>2376.5320000000002</v>
      </c>
      <c r="AD22" s="7">
        <v>2671.83</v>
      </c>
      <c r="AE22" s="7">
        <v>2230.018</v>
      </c>
      <c r="AF22" s="7">
        <v>2454.8690000000001</v>
      </c>
      <c r="AH22" s="7">
        <v>2804.71</v>
      </c>
      <c r="AJ22" s="7">
        <v>2717.1660000000002</v>
      </c>
      <c r="AL22" s="6">
        <f t="shared" si="2"/>
        <v>2542.5208333333335</v>
      </c>
      <c r="AM22" s="6">
        <f t="shared" si="3"/>
        <v>91.07837494173782</v>
      </c>
    </row>
    <row r="23" spans="1:39" x14ac:dyDescent="0.2">
      <c r="A23" s="7">
        <v>16.25</v>
      </c>
      <c r="B23" s="7">
        <v>2469.4630000000002</v>
      </c>
      <c r="D23" s="7">
        <v>2488.9769999999999</v>
      </c>
      <c r="E23" s="7">
        <v>2489.2020000000002</v>
      </c>
      <c r="F23" s="7">
        <v>2818.8609999999999</v>
      </c>
      <c r="G23" s="7">
        <v>2024.835</v>
      </c>
      <c r="H23" s="7">
        <v>2479.828</v>
      </c>
      <c r="I23" s="7">
        <v>2469.578</v>
      </c>
      <c r="J23" s="7">
        <v>2862.585</v>
      </c>
      <c r="K23" s="7">
        <v>3031.3939999999998</v>
      </c>
      <c r="L23" s="7">
        <v>2847.4549999999999</v>
      </c>
      <c r="M23" s="7">
        <v>2691.5880000000002</v>
      </c>
      <c r="N23" s="7">
        <v>2789.076</v>
      </c>
      <c r="O23" s="7">
        <v>2817.0770000000002</v>
      </c>
      <c r="P23" s="7">
        <v>2277.9839999999999</v>
      </c>
      <c r="R23" s="5">
        <f t="shared" si="0"/>
        <v>2611.2787857142857</v>
      </c>
      <c r="S23" s="5">
        <f t="shared" si="1"/>
        <v>72.67524655323426</v>
      </c>
      <c r="U23" s="7">
        <v>16.25</v>
      </c>
      <c r="V23" s="7">
        <v>2411.5650000000001</v>
      </c>
      <c r="X23" s="7">
        <v>1925.2929999999999</v>
      </c>
      <c r="Y23" s="7">
        <v>2535.2919999999999</v>
      </c>
      <c r="Z23" s="7">
        <v>2659.2669999999998</v>
      </c>
      <c r="AA23" s="7">
        <v>2553.5070000000001</v>
      </c>
      <c r="AB23" s="7">
        <v>2289.9589999999998</v>
      </c>
      <c r="AC23" s="7">
        <v>2368.3449999999998</v>
      </c>
      <c r="AD23" s="7">
        <v>2679.9169999999999</v>
      </c>
      <c r="AE23" s="7">
        <v>2223.9520000000002</v>
      </c>
      <c r="AF23" s="7">
        <v>2459.444</v>
      </c>
      <c r="AH23" s="7">
        <v>2808.6669999999999</v>
      </c>
      <c r="AJ23" s="7">
        <v>2739.0610000000001</v>
      </c>
      <c r="AL23" s="6">
        <f t="shared" si="2"/>
        <v>2546.5643333333333</v>
      </c>
      <c r="AM23" s="6">
        <f t="shared" si="3"/>
        <v>94.333894426717634</v>
      </c>
    </row>
    <row r="24" spans="1:39" x14ac:dyDescent="0.2">
      <c r="A24" s="7">
        <v>17.5</v>
      </c>
      <c r="B24" s="7">
        <v>2473.3119999999999</v>
      </c>
      <c r="D24" s="7">
        <v>2505.6570000000002</v>
      </c>
      <c r="E24" s="7">
        <v>2496.2800000000002</v>
      </c>
      <c r="F24" s="7">
        <v>2830.1010000000001</v>
      </c>
      <c r="G24" s="7">
        <v>2027.13</v>
      </c>
      <c r="H24" s="7">
        <v>2471.4580000000001</v>
      </c>
      <c r="I24" s="7">
        <v>2489.7199999999998</v>
      </c>
      <c r="J24" s="7">
        <v>2866.2579999999998</v>
      </c>
      <c r="K24" s="7">
        <v>3025.2269999999999</v>
      </c>
      <c r="L24" s="7">
        <v>2845.63</v>
      </c>
      <c r="M24" s="7">
        <v>2704.6419999999998</v>
      </c>
      <c r="N24" s="7">
        <v>2787.931</v>
      </c>
      <c r="O24" s="7">
        <v>2826.413</v>
      </c>
      <c r="P24" s="7">
        <v>2302.8119999999999</v>
      </c>
      <c r="R24" s="5">
        <f t="shared" si="0"/>
        <v>2618.0407857142854</v>
      </c>
      <c r="S24" s="5">
        <f t="shared" si="1"/>
        <v>71.823192755435059</v>
      </c>
      <c r="U24" s="7">
        <v>17.5</v>
      </c>
      <c r="V24" s="7">
        <v>2401.348</v>
      </c>
      <c r="X24" s="7">
        <v>1937.335</v>
      </c>
      <c r="Y24" s="7">
        <v>2540.23</v>
      </c>
      <c r="Z24" s="7">
        <v>2686.64</v>
      </c>
      <c r="AA24" s="7">
        <v>2583.4299999999998</v>
      </c>
      <c r="AB24" s="7">
        <v>2311.299</v>
      </c>
      <c r="AC24" s="7">
        <v>2366.9740000000002</v>
      </c>
      <c r="AD24" s="7">
        <v>2695.1979999999999</v>
      </c>
      <c r="AE24" s="7">
        <v>2232.6889999999999</v>
      </c>
      <c r="AF24" s="7">
        <v>2467.7809999999999</v>
      </c>
      <c r="AH24" s="7">
        <v>2837.37</v>
      </c>
      <c r="AJ24" s="7">
        <v>2751.8760000000002</v>
      </c>
      <c r="AL24" s="6">
        <f t="shared" si="2"/>
        <v>2558.6479999999997</v>
      </c>
      <c r="AM24" s="6">
        <f t="shared" si="3"/>
        <v>97.453222866836654</v>
      </c>
    </row>
    <row r="25" spans="1:39" x14ac:dyDescent="0.2">
      <c r="A25" s="7">
        <v>18.75</v>
      </c>
      <c r="B25" s="7">
        <v>2496.5680000000002</v>
      </c>
      <c r="D25" s="7">
        <v>2506.1</v>
      </c>
      <c r="E25" s="7">
        <v>2494.09</v>
      </c>
      <c r="F25" s="7">
        <v>2835.3560000000002</v>
      </c>
      <c r="G25" s="7">
        <v>2033.6769999999999</v>
      </c>
      <c r="H25" s="7">
        <v>2475.2190000000001</v>
      </c>
      <c r="I25" s="7">
        <v>2489.0520000000001</v>
      </c>
      <c r="J25" s="7">
        <v>2874.8969999999999</v>
      </c>
      <c r="K25" s="7">
        <v>3031.5610000000001</v>
      </c>
      <c r="L25" s="7">
        <v>2854.78</v>
      </c>
      <c r="M25" s="7">
        <v>2709.6709999999998</v>
      </c>
      <c r="N25" s="7">
        <v>2781.3409999999999</v>
      </c>
      <c r="O25" s="7">
        <v>2805.596</v>
      </c>
      <c r="P25" s="7">
        <v>2305.877</v>
      </c>
      <c r="R25" s="5">
        <f t="shared" si="0"/>
        <v>2620.9846428571427</v>
      </c>
      <c r="S25" s="5">
        <f t="shared" si="1"/>
        <v>71.444196841719219</v>
      </c>
      <c r="U25" s="7">
        <v>18.75</v>
      </c>
      <c r="V25" s="7">
        <v>2394.6819999999998</v>
      </c>
      <c r="X25" s="7">
        <v>1945.403</v>
      </c>
      <c r="Y25" s="7">
        <v>2546.172</v>
      </c>
      <c r="Z25" s="7">
        <v>2695.2820000000002</v>
      </c>
      <c r="AA25" s="7">
        <v>2588.7190000000001</v>
      </c>
      <c r="AB25" s="7">
        <v>2326.1860000000001</v>
      </c>
      <c r="AC25" s="7">
        <v>2364.5839999999998</v>
      </c>
      <c r="AD25" s="7">
        <v>2699.8989999999999</v>
      </c>
      <c r="AE25" s="7">
        <v>2253.3159999999998</v>
      </c>
      <c r="AF25" s="7">
        <v>2481.808</v>
      </c>
      <c r="AH25" s="7">
        <v>2855.8380000000002</v>
      </c>
      <c r="AJ25" s="7">
        <v>2753.047</v>
      </c>
      <c r="AL25" s="6">
        <f t="shared" si="2"/>
        <v>2568.0819999999999</v>
      </c>
      <c r="AM25" s="6">
        <f t="shared" si="3"/>
        <v>97.009202671018159</v>
      </c>
    </row>
    <row r="26" spans="1:39" x14ac:dyDescent="0.2">
      <c r="A26" s="7">
        <v>20</v>
      </c>
      <c r="B26" s="7">
        <v>2491.8589999999999</v>
      </c>
      <c r="D26" s="7">
        <v>2509.6379999999999</v>
      </c>
      <c r="E26" s="7">
        <v>2493.5149999999999</v>
      </c>
      <c r="F26" s="7">
        <v>2824.0239999999999</v>
      </c>
      <c r="G26" s="7">
        <v>2034.288</v>
      </c>
      <c r="H26" s="7">
        <v>2465.3560000000002</v>
      </c>
      <c r="I26" s="7">
        <v>2482.6750000000002</v>
      </c>
      <c r="J26" s="7">
        <v>2875.0079999999998</v>
      </c>
      <c r="K26" s="7">
        <v>3028.3130000000001</v>
      </c>
      <c r="L26" s="7">
        <v>2837.3539999999998</v>
      </c>
      <c r="M26" s="7">
        <v>2690.8249999999998</v>
      </c>
      <c r="N26" s="7">
        <v>2776.866</v>
      </c>
      <c r="O26" s="7">
        <v>2790.3339999999998</v>
      </c>
      <c r="P26" s="7">
        <v>2288.5709999999999</v>
      </c>
      <c r="R26" s="5">
        <f t="shared" si="0"/>
        <v>2613.4732857142858</v>
      </c>
      <c r="S26" s="5">
        <f t="shared" si="1"/>
        <v>71.056878454109366</v>
      </c>
      <c r="U26" s="7">
        <v>20</v>
      </c>
      <c r="V26" s="7">
        <v>2389.1329999999998</v>
      </c>
      <c r="X26" s="7">
        <v>1940.173</v>
      </c>
      <c r="Y26" s="7">
        <v>2545.663</v>
      </c>
      <c r="Z26" s="7">
        <v>2695.02</v>
      </c>
      <c r="AA26" s="7">
        <v>2585.0819999999999</v>
      </c>
      <c r="AB26" s="7">
        <v>2313.02</v>
      </c>
      <c r="AC26" s="7">
        <v>2369.9470000000001</v>
      </c>
      <c r="AD26" s="7">
        <v>2691.627</v>
      </c>
      <c r="AE26" s="7">
        <v>2248.9409999999998</v>
      </c>
      <c r="AF26" s="7">
        <v>2491.7640000000001</v>
      </c>
      <c r="AH26" s="7">
        <v>2846.3919999999998</v>
      </c>
      <c r="AJ26" s="7">
        <v>2741.9879999999998</v>
      </c>
      <c r="AL26" s="6">
        <f t="shared" si="2"/>
        <v>2565.1098333333334</v>
      </c>
      <c r="AM26" s="6">
        <f t="shared" si="3"/>
        <v>94.840745558512154</v>
      </c>
    </row>
    <row r="27" spans="1:39" x14ac:dyDescent="0.2">
      <c r="A27" s="7">
        <v>21.25</v>
      </c>
      <c r="B27" s="7">
        <v>2484.02</v>
      </c>
      <c r="D27" s="7">
        <v>2499.0529999999999</v>
      </c>
      <c r="E27" s="7">
        <v>2468.1019999999999</v>
      </c>
      <c r="F27" s="7">
        <v>2797.13</v>
      </c>
      <c r="G27" s="7">
        <v>2018.567</v>
      </c>
      <c r="H27" s="7">
        <v>2435.415</v>
      </c>
      <c r="I27" s="7">
        <v>2461.65</v>
      </c>
      <c r="J27" s="7">
        <v>2847.0659999999998</v>
      </c>
      <c r="K27" s="7">
        <v>3012.5230000000001</v>
      </c>
      <c r="L27" s="7">
        <v>2812.5329999999999</v>
      </c>
      <c r="M27" s="7">
        <v>2686.027</v>
      </c>
      <c r="N27" s="7">
        <v>2744.819</v>
      </c>
      <c r="O27" s="7">
        <v>2775.9540000000002</v>
      </c>
      <c r="P27" s="7">
        <v>2270.569</v>
      </c>
      <c r="R27" s="5">
        <f t="shared" si="0"/>
        <v>2593.8162857142861</v>
      </c>
      <c r="S27" s="5">
        <f t="shared" si="1"/>
        <v>70.629112135653003</v>
      </c>
      <c r="U27" s="7">
        <v>21.25</v>
      </c>
      <c r="V27" s="7">
        <v>2389.348</v>
      </c>
      <c r="X27" s="7">
        <v>1921.4559999999999</v>
      </c>
      <c r="Y27" s="7">
        <v>2522.8150000000001</v>
      </c>
      <c r="Z27" s="7">
        <v>2676.7220000000002</v>
      </c>
      <c r="AA27" s="7">
        <v>2563.6619999999998</v>
      </c>
      <c r="AB27" s="7">
        <v>2300.5819999999999</v>
      </c>
      <c r="AC27" s="7">
        <v>2377.346</v>
      </c>
      <c r="AD27" s="7">
        <v>2693.509</v>
      </c>
      <c r="AE27" s="7">
        <v>2227.8470000000002</v>
      </c>
      <c r="AF27" s="7">
        <v>2470.873</v>
      </c>
      <c r="AH27" s="7">
        <v>2816.4609999999998</v>
      </c>
      <c r="AJ27" s="7">
        <v>2735.529</v>
      </c>
      <c r="AL27" s="6">
        <f t="shared" si="2"/>
        <v>2553.5941666666663</v>
      </c>
      <c r="AM27" s="6">
        <f t="shared" si="3"/>
        <v>94.126305301765157</v>
      </c>
    </row>
    <row r="28" spans="1:39" x14ac:dyDescent="0.2">
      <c r="A28" s="7">
        <v>22.5</v>
      </c>
      <c r="B28" s="7">
        <v>2463.0909999999999</v>
      </c>
      <c r="D28" s="7">
        <v>2495.3870000000002</v>
      </c>
      <c r="E28" s="7">
        <v>2447.2570000000001</v>
      </c>
      <c r="F28" s="7">
        <v>2779.0219999999999</v>
      </c>
      <c r="G28" s="7">
        <v>2005.636</v>
      </c>
      <c r="H28" s="7">
        <v>2425.857</v>
      </c>
      <c r="I28" s="7">
        <v>2453.23</v>
      </c>
      <c r="J28" s="7">
        <v>2815.3049999999998</v>
      </c>
      <c r="K28" s="7">
        <v>2980.9110000000001</v>
      </c>
      <c r="L28" s="7">
        <v>2804.2109999999998</v>
      </c>
      <c r="M28" s="7">
        <v>2674.5569999999998</v>
      </c>
      <c r="N28" s="7">
        <v>2736.0279999999998</v>
      </c>
      <c r="O28" s="7">
        <v>2767.1869999999999</v>
      </c>
      <c r="P28" s="7">
        <v>2252.0839999999998</v>
      </c>
      <c r="R28" s="5">
        <f t="shared" si="0"/>
        <v>2578.5545000000006</v>
      </c>
      <c r="S28" s="5">
        <f t="shared" si="1"/>
        <v>69.928349058377023</v>
      </c>
      <c r="U28" s="7">
        <v>22.5</v>
      </c>
      <c r="V28" s="7">
        <v>2380.5120000000002</v>
      </c>
      <c r="X28" s="7">
        <v>1904.9059999999999</v>
      </c>
      <c r="Y28" s="7">
        <v>2501.739</v>
      </c>
      <c r="Z28" s="7">
        <v>2656.7849999999999</v>
      </c>
      <c r="AA28" s="7">
        <v>2539.9720000000002</v>
      </c>
      <c r="AB28" s="7">
        <v>2281.3200000000002</v>
      </c>
      <c r="AC28" s="7">
        <v>2374.1320000000001</v>
      </c>
      <c r="AD28" s="7">
        <v>2688.2150000000001</v>
      </c>
      <c r="AE28" s="7">
        <v>2198.5540000000001</v>
      </c>
      <c r="AF28" s="7">
        <v>2462.8119999999999</v>
      </c>
      <c r="AH28" s="7">
        <v>2800.9070000000002</v>
      </c>
      <c r="AJ28" s="7">
        <v>2751.415</v>
      </c>
      <c r="AL28" s="6">
        <f t="shared" si="2"/>
        <v>2546.0058333333332</v>
      </c>
      <c r="AM28" s="6">
        <f t="shared" si="3"/>
        <v>97.395342561273338</v>
      </c>
    </row>
    <row r="29" spans="1:39" x14ac:dyDescent="0.2">
      <c r="A29" s="7">
        <v>23.75</v>
      </c>
      <c r="B29" s="7">
        <v>2450.8220000000001</v>
      </c>
      <c r="D29" s="7">
        <v>2480.9920000000002</v>
      </c>
      <c r="E29" s="7">
        <v>2449.81</v>
      </c>
      <c r="F29" s="7">
        <v>2766.7640000000001</v>
      </c>
      <c r="G29" s="7">
        <v>1994.15</v>
      </c>
      <c r="H29" s="7">
        <v>2435.3960000000002</v>
      </c>
      <c r="I29" s="7">
        <v>2440.498</v>
      </c>
      <c r="J29" s="7">
        <v>2806.8409999999999</v>
      </c>
      <c r="K29" s="7">
        <v>2966.4450000000002</v>
      </c>
      <c r="L29" s="7">
        <v>2796.902</v>
      </c>
      <c r="M29" s="7">
        <v>2662.4290000000001</v>
      </c>
      <c r="N29" s="7">
        <v>2711.0410000000002</v>
      </c>
      <c r="O29" s="7">
        <v>2750.5639999999999</v>
      </c>
      <c r="P29" s="7">
        <v>2245.4639999999999</v>
      </c>
      <c r="R29" s="5">
        <f t="shared" si="0"/>
        <v>2568.4370000000004</v>
      </c>
      <c r="S29" s="5">
        <f t="shared" si="1"/>
        <v>69.252485388890278</v>
      </c>
      <c r="U29" s="7">
        <v>23.75</v>
      </c>
      <c r="V29" s="7">
        <v>2363.6909999999998</v>
      </c>
      <c r="X29" s="7">
        <v>1888.9949999999999</v>
      </c>
      <c r="Y29" s="7">
        <v>2493.3580000000002</v>
      </c>
      <c r="Z29" s="7">
        <v>2644.471</v>
      </c>
      <c r="AA29" s="7">
        <v>2509.712</v>
      </c>
      <c r="AB29" s="7">
        <v>2263.3139999999999</v>
      </c>
      <c r="AC29" s="7">
        <v>2336.0569999999998</v>
      </c>
      <c r="AD29" s="7">
        <v>2682.4050000000002</v>
      </c>
      <c r="AE29" s="7">
        <v>2187.6909999999998</v>
      </c>
      <c r="AF29" s="7">
        <v>2444.489</v>
      </c>
      <c r="AH29" s="7">
        <v>2803.4369999999999</v>
      </c>
      <c r="AJ29" s="7">
        <v>2738.393</v>
      </c>
      <c r="AL29" s="6">
        <f t="shared" si="2"/>
        <v>2532.0786666666668</v>
      </c>
      <c r="AM29" s="6">
        <f t="shared" si="3"/>
        <v>100.58135416390284</v>
      </c>
    </row>
    <row r="30" spans="1:39" x14ac:dyDescent="0.2">
      <c r="A30" s="7">
        <v>25</v>
      </c>
      <c r="B30" s="7">
        <v>2455.8960000000002</v>
      </c>
      <c r="D30" s="7">
        <v>2481.4389999999999</v>
      </c>
      <c r="E30" s="7">
        <v>2460.6370000000002</v>
      </c>
      <c r="F30" s="7">
        <v>2777.7579999999998</v>
      </c>
      <c r="G30" s="7">
        <v>2002.2360000000001</v>
      </c>
      <c r="H30" s="7">
        <v>2443.2429999999999</v>
      </c>
      <c r="I30" s="7">
        <v>2432.4690000000001</v>
      </c>
      <c r="J30" s="7">
        <v>2799.4989999999998</v>
      </c>
      <c r="K30" s="7">
        <v>2955.1849999999999</v>
      </c>
      <c r="L30" s="7">
        <v>2794.1689999999999</v>
      </c>
      <c r="M30" s="7">
        <v>2660.95</v>
      </c>
      <c r="N30" s="7">
        <v>2698.9450000000002</v>
      </c>
      <c r="O30" s="7">
        <v>2732.0309999999999</v>
      </c>
      <c r="P30" s="7">
        <v>2242.645</v>
      </c>
      <c r="R30" s="5">
        <f t="shared" si="0"/>
        <v>2566.935857142857</v>
      </c>
      <c r="S30" s="5">
        <f t="shared" si="1"/>
        <v>68.049599124935057</v>
      </c>
      <c r="U30" s="7">
        <v>25</v>
      </c>
      <c r="V30" s="7">
        <v>2357.6030000000001</v>
      </c>
      <c r="X30" s="7">
        <v>1896.0630000000001</v>
      </c>
      <c r="Y30" s="7">
        <v>2506.5120000000002</v>
      </c>
      <c r="Z30" s="7">
        <v>2653.7150000000001</v>
      </c>
      <c r="AA30" s="7">
        <v>2512.3040000000001</v>
      </c>
      <c r="AB30" s="7">
        <v>2252.1469999999999</v>
      </c>
      <c r="AC30" s="7">
        <v>2321.5070000000001</v>
      </c>
      <c r="AD30" s="7">
        <v>2674.7370000000001</v>
      </c>
      <c r="AE30" s="7">
        <v>2185.9839999999999</v>
      </c>
      <c r="AF30" s="7">
        <v>2438.4</v>
      </c>
      <c r="AH30" s="7">
        <v>2828.2330000000002</v>
      </c>
      <c r="AJ30" s="7">
        <v>2730.123</v>
      </c>
      <c r="AL30" s="6">
        <f t="shared" si="2"/>
        <v>2529.8306666666667</v>
      </c>
      <c r="AM30" s="6">
        <f t="shared" si="3"/>
        <v>103.30338230173196</v>
      </c>
    </row>
    <row r="31" spans="1:39" x14ac:dyDescent="0.2">
      <c r="A31" s="7">
        <v>26.25</v>
      </c>
      <c r="B31" s="7">
        <v>2483.884</v>
      </c>
      <c r="D31" s="7">
        <v>2497.1129999999998</v>
      </c>
      <c r="E31" s="7">
        <v>2477.9789999999998</v>
      </c>
      <c r="F31" s="7">
        <v>2812.424</v>
      </c>
      <c r="G31" s="7">
        <v>2040.7239999999999</v>
      </c>
      <c r="H31" s="7">
        <v>2464.2280000000001</v>
      </c>
      <c r="I31" s="7">
        <v>2445.5830000000001</v>
      </c>
      <c r="J31" s="7">
        <v>2834.37</v>
      </c>
      <c r="K31" s="7">
        <v>2981.9</v>
      </c>
      <c r="L31" s="7">
        <v>2837.1579999999999</v>
      </c>
      <c r="M31" s="7">
        <v>2689.529</v>
      </c>
      <c r="N31" s="7">
        <v>2716.8240000000001</v>
      </c>
      <c r="O31" s="7">
        <v>2757.3150000000001</v>
      </c>
      <c r="P31" s="7">
        <v>2264.5830000000001</v>
      </c>
      <c r="R31" s="5">
        <f t="shared" si="0"/>
        <v>2593.1152857142852</v>
      </c>
      <c r="S31" s="5">
        <f t="shared" si="1"/>
        <v>68.517388753659418</v>
      </c>
      <c r="U31" s="7">
        <v>26.25</v>
      </c>
      <c r="V31" s="7">
        <v>2408.08</v>
      </c>
      <c r="X31" s="7">
        <v>1912.857</v>
      </c>
      <c r="Y31" s="7">
        <v>2514.3539999999998</v>
      </c>
      <c r="Z31" s="7">
        <v>2703.1460000000002</v>
      </c>
      <c r="AA31" s="7">
        <v>2554.0459999999998</v>
      </c>
      <c r="AB31" s="7">
        <v>2263.31</v>
      </c>
      <c r="AC31" s="7">
        <v>2351.7280000000001</v>
      </c>
      <c r="AD31" s="7">
        <v>2702.6979999999999</v>
      </c>
      <c r="AE31" s="7">
        <v>2195.098</v>
      </c>
      <c r="AF31" s="7">
        <v>2473.163</v>
      </c>
      <c r="AH31" s="7">
        <v>2852.5</v>
      </c>
      <c r="AJ31" s="7">
        <v>2761.18</v>
      </c>
      <c r="AL31" s="6">
        <f t="shared" si="2"/>
        <v>2556.0611666666668</v>
      </c>
      <c r="AM31" s="6">
        <f t="shared" si="3"/>
        <v>104.93976610621819</v>
      </c>
    </row>
    <row r="32" spans="1:39" x14ac:dyDescent="0.2">
      <c r="A32" s="7">
        <v>27.5</v>
      </c>
      <c r="B32" s="7">
        <v>2522.152</v>
      </c>
      <c r="D32" s="7">
        <v>2516.7840000000001</v>
      </c>
      <c r="E32" s="7">
        <v>2498.7530000000002</v>
      </c>
      <c r="F32" s="7">
        <v>2846.0650000000001</v>
      </c>
      <c r="G32" s="7">
        <v>2076.1489999999999</v>
      </c>
      <c r="H32" s="7">
        <v>2493.402</v>
      </c>
      <c r="I32" s="7">
        <v>2481.181</v>
      </c>
      <c r="J32" s="7">
        <v>2872.1390000000001</v>
      </c>
      <c r="K32" s="7">
        <v>3009.6860000000001</v>
      </c>
      <c r="L32" s="7">
        <v>2867.288</v>
      </c>
      <c r="M32" s="7">
        <v>2724.5729999999999</v>
      </c>
      <c r="N32" s="7">
        <v>2747.3240000000001</v>
      </c>
      <c r="O32" s="7">
        <v>2797.0590000000002</v>
      </c>
      <c r="P32" s="7">
        <v>2286.5210000000002</v>
      </c>
      <c r="R32" s="5">
        <f t="shared" si="0"/>
        <v>2624.2197142857144</v>
      </c>
      <c r="S32" s="5">
        <f t="shared" si="1"/>
        <v>68.866092503792999</v>
      </c>
      <c r="U32" s="7">
        <v>27.5</v>
      </c>
      <c r="V32" s="7">
        <v>2445.5929999999998</v>
      </c>
      <c r="X32" s="7">
        <v>1931.43</v>
      </c>
      <c r="Y32" s="7">
        <v>2533.828</v>
      </c>
      <c r="Z32" s="7">
        <v>2730.328</v>
      </c>
      <c r="AA32" s="7">
        <v>2611.1370000000002</v>
      </c>
      <c r="AB32" s="7">
        <v>2281.4760000000001</v>
      </c>
      <c r="AC32" s="7">
        <v>2386.0619999999999</v>
      </c>
      <c r="AD32" s="7">
        <v>2744.6460000000002</v>
      </c>
      <c r="AE32" s="7">
        <v>2237.0639999999999</v>
      </c>
      <c r="AF32" s="7">
        <v>2508.578</v>
      </c>
      <c r="AH32" s="7">
        <v>2869.1990000000001</v>
      </c>
      <c r="AJ32" s="7">
        <v>2774.759</v>
      </c>
      <c r="AL32" s="6">
        <f t="shared" si="2"/>
        <v>2586.7180000000003</v>
      </c>
      <c r="AM32" s="6">
        <f t="shared" si="3"/>
        <v>101.44338254711349</v>
      </c>
    </row>
    <row r="33" spans="1:39" x14ac:dyDescent="0.2">
      <c r="A33" s="7">
        <v>28.75</v>
      </c>
      <c r="B33" s="7">
        <v>2536.569</v>
      </c>
      <c r="D33" s="7">
        <v>2523.2730000000001</v>
      </c>
      <c r="E33" s="7">
        <v>2498.6660000000002</v>
      </c>
      <c r="F33" s="7">
        <v>2863.15</v>
      </c>
      <c r="G33" s="7">
        <v>2082.2109999999998</v>
      </c>
      <c r="H33" s="7">
        <v>2507.721</v>
      </c>
      <c r="I33" s="7">
        <v>2497.181</v>
      </c>
      <c r="J33" s="7">
        <v>2894.7460000000001</v>
      </c>
      <c r="K33" s="7">
        <v>3022.2939999999999</v>
      </c>
      <c r="L33" s="7">
        <v>2880.529</v>
      </c>
      <c r="M33" s="7">
        <v>2736.2820000000002</v>
      </c>
      <c r="N33" s="7">
        <v>2742.2350000000001</v>
      </c>
      <c r="O33" s="7">
        <v>2803.0250000000001</v>
      </c>
      <c r="P33" s="7">
        <v>2294.569</v>
      </c>
      <c r="R33" s="5">
        <f t="shared" si="0"/>
        <v>2634.460785714286</v>
      </c>
      <c r="S33" s="5">
        <f t="shared" si="1"/>
        <v>69.42498389907324</v>
      </c>
      <c r="U33" s="7">
        <v>28.75</v>
      </c>
      <c r="V33" s="7">
        <v>2433.3200000000002</v>
      </c>
      <c r="X33" s="7">
        <v>1941.0160000000001</v>
      </c>
      <c r="Y33" s="7">
        <v>2528.6889999999999</v>
      </c>
      <c r="Z33" s="7">
        <v>2742.8139999999999</v>
      </c>
      <c r="AA33" s="7">
        <v>2627.0279999999998</v>
      </c>
      <c r="AB33" s="7">
        <v>2308.0970000000002</v>
      </c>
      <c r="AC33" s="7">
        <v>2398.8910000000001</v>
      </c>
      <c r="AD33" s="7">
        <v>2754.7289999999998</v>
      </c>
      <c r="AE33" s="7">
        <v>2267.605</v>
      </c>
      <c r="AF33" s="7">
        <v>2540.11</v>
      </c>
      <c r="AH33" s="7">
        <v>2880.4789999999998</v>
      </c>
      <c r="AJ33" s="7">
        <v>2792.5720000000001</v>
      </c>
      <c r="AL33" s="6">
        <f t="shared" si="2"/>
        <v>2605.7310000000002</v>
      </c>
      <c r="AM33" s="6">
        <f t="shared" si="3"/>
        <v>98.997393889266917</v>
      </c>
    </row>
    <row r="34" spans="1:39" x14ac:dyDescent="0.2">
      <c r="A34" s="7">
        <v>30</v>
      </c>
      <c r="B34" s="7">
        <v>2546.654</v>
      </c>
      <c r="D34" s="7">
        <v>2539.4340000000002</v>
      </c>
      <c r="E34" s="7">
        <v>2514.5880000000002</v>
      </c>
      <c r="F34" s="7">
        <v>2865.8339999999998</v>
      </c>
      <c r="G34" s="7">
        <v>2088.8710000000001</v>
      </c>
      <c r="H34" s="7">
        <v>2523.0230000000001</v>
      </c>
      <c r="I34" s="7">
        <v>2504.7440000000001</v>
      </c>
      <c r="J34" s="7">
        <v>2900.9279999999999</v>
      </c>
      <c r="K34" s="7">
        <v>3024.7750000000001</v>
      </c>
      <c r="L34" s="7">
        <v>2885.9050000000002</v>
      </c>
      <c r="M34" s="7">
        <v>2748.3809999999999</v>
      </c>
      <c r="N34" s="7">
        <v>2766.5859999999998</v>
      </c>
      <c r="O34" s="7">
        <v>2818.3609999999999</v>
      </c>
      <c r="P34" s="7">
        <v>2312.4789999999998</v>
      </c>
      <c r="R34" s="5">
        <f t="shared" si="0"/>
        <v>2645.7544999999996</v>
      </c>
      <c r="S34" s="5">
        <f t="shared" si="1"/>
        <v>68.911120470043244</v>
      </c>
      <c r="U34" s="7">
        <v>30</v>
      </c>
      <c r="V34" s="7">
        <v>2430.7109999999998</v>
      </c>
      <c r="X34" s="7">
        <v>1945.0989999999999</v>
      </c>
      <c r="Y34" s="7">
        <v>2535.527</v>
      </c>
      <c r="Z34" s="7">
        <v>2770.6260000000002</v>
      </c>
      <c r="AA34" s="7">
        <v>2640.8530000000001</v>
      </c>
      <c r="AB34" s="7">
        <v>2343.2489999999998</v>
      </c>
      <c r="AC34" s="7">
        <v>2414.1909999999998</v>
      </c>
      <c r="AD34" s="7">
        <v>2759.3530000000001</v>
      </c>
      <c r="AE34" s="7">
        <v>2252.886</v>
      </c>
      <c r="AF34" s="7">
        <v>2564.6390000000001</v>
      </c>
      <c r="AH34" s="7">
        <v>2907.0340000000001</v>
      </c>
      <c r="AJ34" s="7">
        <v>2827.0129999999999</v>
      </c>
      <c r="AL34" s="6">
        <f t="shared" si="2"/>
        <v>2620.8526666666662</v>
      </c>
      <c r="AM34" s="6">
        <f t="shared" si="3"/>
        <v>104.0597055363464</v>
      </c>
    </row>
    <row r="35" spans="1:39" x14ac:dyDescent="0.2">
      <c r="A35" s="7">
        <v>31.25</v>
      </c>
      <c r="B35" s="7">
        <v>2541.7159999999999</v>
      </c>
      <c r="D35" s="7">
        <v>2564.5659999999998</v>
      </c>
      <c r="E35" s="7">
        <v>2535.0659999999998</v>
      </c>
      <c r="F35" s="7">
        <v>2882.3229999999999</v>
      </c>
      <c r="G35" s="7">
        <v>2096.431</v>
      </c>
      <c r="H35" s="7">
        <v>2554.7449999999999</v>
      </c>
      <c r="I35" s="7">
        <v>2514.0149999999999</v>
      </c>
      <c r="J35" s="7">
        <v>2910</v>
      </c>
      <c r="K35" s="7">
        <v>3034.567</v>
      </c>
      <c r="L35" s="7">
        <v>2890.4810000000002</v>
      </c>
      <c r="M35" s="7">
        <v>2747.3429999999998</v>
      </c>
      <c r="N35" s="7">
        <v>2776.989</v>
      </c>
      <c r="O35" s="7">
        <v>2821.1669999999999</v>
      </c>
      <c r="P35" s="7">
        <v>2324.2640000000001</v>
      </c>
      <c r="R35" s="5">
        <f t="shared" si="0"/>
        <v>2656.6909285714287</v>
      </c>
      <c r="S35" s="5">
        <f t="shared" si="1"/>
        <v>68.496905583468489</v>
      </c>
      <c r="U35" s="7">
        <v>31.25</v>
      </c>
      <c r="V35" s="7">
        <v>2423.902</v>
      </c>
      <c r="X35" s="7">
        <v>1948.1590000000001</v>
      </c>
      <c r="Y35" s="7">
        <v>2574.9540000000002</v>
      </c>
      <c r="Z35" s="7">
        <v>2792.6489999999999</v>
      </c>
      <c r="AA35" s="7">
        <v>2654.0709999999999</v>
      </c>
      <c r="AB35" s="7">
        <v>2350.5219999999999</v>
      </c>
      <c r="AC35" s="7">
        <v>2432.9879999999998</v>
      </c>
      <c r="AD35" s="7">
        <v>2798.0810000000001</v>
      </c>
      <c r="AE35" s="7">
        <v>2255.1689999999999</v>
      </c>
      <c r="AF35" s="7">
        <v>2586.3670000000002</v>
      </c>
      <c r="AH35" s="7">
        <v>2935.1019999999999</v>
      </c>
      <c r="AJ35" s="7">
        <v>2882.6770000000001</v>
      </c>
      <c r="AL35" s="6">
        <f t="shared" si="2"/>
        <v>2648.3973333333329</v>
      </c>
      <c r="AM35" s="6">
        <f t="shared" si="3"/>
        <v>110.20725829776873</v>
      </c>
    </row>
    <row r="36" spans="1:39" x14ac:dyDescent="0.2">
      <c r="A36" s="7">
        <v>32.5</v>
      </c>
      <c r="B36" s="7">
        <v>2557.0300000000002</v>
      </c>
      <c r="D36" s="7">
        <v>2561.5680000000002</v>
      </c>
      <c r="E36" s="7">
        <v>2533.1529999999998</v>
      </c>
      <c r="F36" s="7">
        <v>2875.5450000000001</v>
      </c>
      <c r="G36" s="7">
        <v>2100.2109999999998</v>
      </c>
      <c r="H36" s="7">
        <v>2559.855</v>
      </c>
      <c r="I36" s="7">
        <v>2518.5630000000001</v>
      </c>
      <c r="J36" s="7">
        <v>2914.4079999999999</v>
      </c>
      <c r="K36" s="7">
        <v>3040.3649999999998</v>
      </c>
      <c r="L36" s="7">
        <v>2877.5419999999999</v>
      </c>
      <c r="M36" s="7">
        <v>2734.2139999999999</v>
      </c>
      <c r="N36" s="7">
        <v>2788.4119999999998</v>
      </c>
      <c r="O36" s="7">
        <v>2810.7910000000002</v>
      </c>
      <c r="P36" s="7">
        <v>2314.4549999999999</v>
      </c>
      <c r="R36" s="5">
        <f t="shared" si="0"/>
        <v>2656.1508571428571</v>
      </c>
      <c r="S36" s="5">
        <f t="shared" si="1"/>
        <v>68.214809128260598</v>
      </c>
      <c r="U36" s="7">
        <v>32.5</v>
      </c>
      <c r="V36" s="7">
        <v>2448.0120000000002</v>
      </c>
      <c r="X36" s="7">
        <v>1949.9390000000001</v>
      </c>
      <c r="Y36" s="7">
        <v>2594.1309999999999</v>
      </c>
      <c r="Z36" s="7">
        <v>2790.0479999999998</v>
      </c>
      <c r="AA36" s="7">
        <v>2655.2020000000002</v>
      </c>
      <c r="AB36" s="7">
        <v>2354.4369999999999</v>
      </c>
      <c r="AC36" s="7">
        <v>2432.4920000000002</v>
      </c>
      <c r="AD36" s="7">
        <v>2818.6289999999999</v>
      </c>
      <c r="AE36" s="7">
        <v>2276.1909999999998</v>
      </c>
      <c r="AF36" s="7">
        <v>2599.4780000000001</v>
      </c>
      <c r="AH36" s="7">
        <v>2941.5540000000001</v>
      </c>
      <c r="AJ36" s="7">
        <v>2884.1390000000001</v>
      </c>
      <c r="AL36" s="6">
        <f t="shared" si="2"/>
        <v>2658.7471666666665</v>
      </c>
      <c r="AM36" s="6">
        <f t="shared" si="3"/>
        <v>109.14773464725592</v>
      </c>
    </row>
    <row r="37" spans="1:39" x14ac:dyDescent="0.2">
      <c r="A37" s="7">
        <v>33.75</v>
      </c>
      <c r="B37" s="7">
        <v>2547.46</v>
      </c>
      <c r="D37" s="7">
        <v>2550.3319999999999</v>
      </c>
      <c r="E37" s="7">
        <v>2523.8589999999999</v>
      </c>
      <c r="F37" s="7">
        <v>2860.2109999999998</v>
      </c>
      <c r="G37" s="7">
        <v>2104.866</v>
      </c>
      <c r="H37" s="7">
        <v>2544.6350000000002</v>
      </c>
      <c r="I37" s="7">
        <v>2518.223</v>
      </c>
      <c r="J37" s="7">
        <v>2910.4679999999998</v>
      </c>
      <c r="K37" s="7">
        <v>3019.1729999999998</v>
      </c>
      <c r="L37" s="7">
        <v>2866.556</v>
      </c>
      <c r="M37" s="7">
        <v>2725.377</v>
      </c>
      <c r="N37" s="7">
        <v>2776.8870000000002</v>
      </c>
      <c r="O37" s="7">
        <v>2806.0940000000001</v>
      </c>
      <c r="P37" s="7">
        <v>2311.7280000000001</v>
      </c>
      <c r="R37" s="5">
        <f t="shared" si="0"/>
        <v>2647.5620714285715</v>
      </c>
      <c r="S37" s="5">
        <f t="shared" si="1"/>
        <v>67.029076764373087</v>
      </c>
      <c r="U37" s="7">
        <v>33.75</v>
      </c>
      <c r="V37" s="7">
        <v>2441.9279999999999</v>
      </c>
      <c r="X37" s="7">
        <v>1947.15</v>
      </c>
      <c r="Y37" s="7">
        <v>2570.3209999999999</v>
      </c>
      <c r="Z37" s="7">
        <v>2779.0360000000001</v>
      </c>
      <c r="AA37" s="7">
        <v>2640.703</v>
      </c>
      <c r="AB37" s="7">
        <v>2349.2550000000001</v>
      </c>
      <c r="AC37" s="7">
        <v>2427.056</v>
      </c>
      <c r="AD37" s="7">
        <v>2811.8739999999998</v>
      </c>
      <c r="AE37" s="7">
        <v>2300.2170000000001</v>
      </c>
      <c r="AF37" s="7">
        <v>2591.2979999999998</v>
      </c>
      <c r="AH37" s="7">
        <v>2934.3290000000002</v>
      </c>
      <c r="AJ37" s="7">
        <v>2847.7959999999998</v>
      </c>
      <c r="AL37" s="6">
        <f t="shared" si="2"/>
        <v>2652.0949999999998</v>
      </c>
      <c r="AM37" s="6">
        <f t="shared" si="3"/>
        <v>103.54406382663052</v>
      </c>
    </row>
    <row r="38" spans="1:39" x14ac:dyDescent="0.2">
      <c r="A38" s="7">
        <v>35</v>
      </c>
      <c r="B38" s="7">
        <v>2510.27</v>
      </c>
      <c r="D38" s="7">
        <v>2506.8670000000002</v>
      </c>
      <c r="E38" s="7">
        <v>2488.3780000000002</v>
      </c>
      <c r="F38" s="7">
        <v>2820.1770000000001</v>
      </c>
      <c r="G38" s="7">
        <v>2072.567</v>
      </c>
      <c r="H38" s="7">
        <v>2496.41</v>
      </c>
      <c r="I38" s="7">
        <v>2478.2069999999999</v>
      </c>
      <c r="J38" s="7">
        <v>2861.7979999999998</v>
      </c>
      <c r="K38" s="7">
        <v>2972.3519999999999</v>
      </c>
      <c r="L38" s="7">
        <v>2844.8989999999999</v>
      </c>
      <c r="M38" s="7">
        <v>2710.886</v>
      </c>
      <c r="N38" s="7">
        <v>2726.4589999999998</v>
      </c>
      <c r="O38" s="7">
        <v>2759.31</v>
      </c>
      <c r="P38" s="7">
        <v>2274.2510000000002</v>
      </c>
      <c r="R38" s="5">
        <f t="shared" si="0"/>
        <v>2608.773642857142</v>
      </c>
      <c r="S38" s="5">
        <f t="shared" si="1"/>
        <v>66.600099148575424</v>
      </c>
      <c r="U38" s="7">
        <v>35</v>
      </c>
      <c r="V38" s="7">
        <v>2423.2130000000002</v>
      </c>
      <c r="X38" s="7">
        <v>1918.433</v>
      </c>
      <c r="Y38" s="7">
        <v>2539.3850000000002</v>
      </c>
      <c r="Z38" s="7">
        <v>2746.3760000000002</v>
      </c>
      <c r="AA38" s="7">
        <v>2612.8270000000002</v>
      </c>
      <c r="AB38" s="7">
        <v>2315.1080000000002</v>
      </c>
      <c r="AC38" s="7">
        <v>2409.223</v>
      </c>
      <c r="AD38" s="7">
        <v>2780.6419999999998</v>
      </c>
      <c r="AE38" s="7">
        <v>2288.415</v>
      </c>
      <c r="AF38" s="7">
        <v>2571.2249999999999</v>
      </c>
      <c r="AH38" s="7">
        <v>2906.627</v>
      </c>
      <c r="AJ38" s="7">
        <v>2789.9969999999998</v>
      </c>
      <c r="AL38" s="6">
        <f t="shared" si="2"/>
        <v>2624.3548333333333</v>
      </c>
      <c r="AM38" s="6">
        <f t="shared" si="3"/>
        <v>98.910841744949508</v>
      </c>
    </row>
    <row r="39" spans="1:39" x14ac:dyDescent="0.2">
      <c r="A39" s="7">
        <v>36.25</v>
      </c>
      <c r="B39" s="7">
        <v>2413.951</v>
      </c>
      <c r="D39" s="7">
        <v>2402.172</v>
      </c>
      <c r="E39" s="7">
        <v>2370.39</v>
      </c>
      <c r="F39" s="7">
        <v>2684.2710000000002</v>
      </c>
      <c r="G39" s="7">
        <v>1970.104</v>
      </c>
      <c r="H39" s="7">
        <v>2388.2570000000001</v>
      </c>
      <c r="I39" s="7">
        <v>2340.2759999999998</v>
      </c>
      <c r="J39" s="7">
        <v>2708.7849999999999</v>
      </c>
      <c r="K39" s="7">
        <v>2820.0639999999999</v>
      </c>
      <c r="L39" s="7">
        <v>2689.0039999999999</v>
      </c>
      <c r="M39" s="7">
        <v>2591.6489999999999</v>
      </c>
      <c r="N39" s="7">
        <v>2596.7689999999998</v>
      </c>
      <c r="O39" s="7">
        <v>2618.3139999999999</v>
      </c>
      <c r="P39" s="7">
        <v>2163.806</v>
      </c>
      <c r="R39" s="5">
        <f t="shared" si="0"/>
        <v>2482.7008571428569</v>
      </c>
      <c r="S39" s="5">
        <f t="shared" si="1"/>
        <v>62.409086444296037</v>
      </c>
      <c r="U39" s="7">
        <v>36.25</v>
      </c>
      <c r="V39" s="7">
        <v>2315.9580000000001</v>
      </c>
      <c r="X39" s="7">
        <v>1808.4480000000001</v>
      </c>
      <c r="Y39" s="7">
        <v>2435.8040000000001</v>
      </c>
      <c r="Z39" s="7">
        <v>2616.6219999999998</v>
      </c>
      <c r="AA39" s="7">
        <v>2458.4369999999999</v>
      </c>
      <c r="AB39" s="7">
        <v>2195.098</v>
      </c>
      <c r="AC39" s="7">
        <v>2304.355</v>
      </c>
      <c r="AD39" s="7">
        <v>2638.3560000000002</v>
      </c>
      <c r="AE39" s="7">
        <v>2163.59</v>
      </c>
      <c r="AF39" s="7">
        <v>2442.549</v>
      </c>
      <c r="AH39" s="7">
        <v>2746.0610000000001</v>
      </c>
      <c r="AJ39" s="7">
        <v>2640.3040000000001</v>
      </c>
      <c r="AL39" s="6">
        <f t="shared" si="2"/>
        <v>2489.2024999999999</v>
      </c>
      <c r="AM39" s="6">
        <f t="shared" si="3"/>
        <v>91.909986102617466</v>
      </c>
    </row>
    <row r="40" spans="1:39" x14ac:dyDescent="0.2">
      <c r="A40" s="7">
        <v>37.5</v>
      </c>
      <c r="B40" s="7">
        <v>2218.6579999999999</v>
      </c>
      <c r="D40" s="7">
        <v>2201.9250000000002</v>
      </c>
      <c r="E40" s="7">
        <v>2187.7130000000002</v>
      </c>
      <c r="F40" s="7">
        <v>2460.6799999999998</v>
      </c>
      <c r="G40" s="7">
        <v>1805.231</v>
      </c>
      <c r="H40" s="7">
        <v>2200.4189999999999</v>
      </c>
      <c r="I40" s="7">
        <v>2150.6709999999998</v>
      </c>
      <c r="J40" s="7">
        <v>2495.5540000000001</v>
      </c>
      <c r="K40" s="7">
        <v>2580.44</v>
      </c>
      <c r="L40" s="7">
        <v>2464.67</v>
      </c>
      <c r="M40" s="7">
        <v>2367.6089999999999</v>
      </c>
      <c r="N40" s="7">
        <v>2380.1889999999999</v>
      </c>
      <c r="O40" s="7">
        <v>2414.6219999999998</v>
      </c>
      <c r="P40" s="7">
        <v>1983.4179999999999</v>
      </c>
      <c r="R40" s="5">
        <f t="shared" si="0"/>
        <v>2279.4142142857145</v>
      </c>
      <c r="S40" s="5">
        <f t="shared" si="1"/>
        <v>57.134336211044655</v>
      </c>
      <c r="U40" s="7">
        <v>37.5</v>
      </c>
      <c r="V40" s="7">
        <v>2111.8409999999999</v>
      </c>
      <c r="X40" s="7">
        <v>1653.2339999999999</v>
      </c>
      <c r="Y40" s="7">
        <v>2221.4499999999998</v>
      </c>
      <c r="Z40" s="7">
        <v>2392.835</v>
      </c>
      <c r="AA40" s="7">
        <v>2238.402</v>
      </c>
      <c r="AB40" s="7">
        <v>2016.98</v>
      </c>
      <c r="AC40" s="7">
        <v>2096.2959999999998</v>
      </c>
      <c r="AD40" s="7">
        <v>2403.14</v>
      </c>
      <c r="AE40" s="7">
        <v>1958.529</v>
      </c>
      <c r="AF40" s="7">
        <v>2217.4470000000001</v>
      </c>
      <c r="AH40" s="7">
        <v>2498.7069999999999</v>
      </c>
      <c r="AJ40" s="7">
        <v>2393.605</v>
      </c>
      <c r="AL40" s="6">
        <f t="shared" si="2"/>
        <v>2261.2873333333332</v>
      </c>
      <c r="AM40" s="6">
        <f t="shared" si="3"/>
        <v>84.617761212276108</v>
      </c>
    </row>
    <row r="41" spans="1:39" x14ac:dyDescent="0.2">
      <c r="A41" s="7">
        <v>38.75</v>
      </c>
      <c r="B41" s="7">
        <v>2030.7249999999999</v>
      </c>
      <c r="D41" s="7">
        <v>2021.623</v>
      </c>
      <c r="E41" s="7">
        <v>2015.3140000000001</v>
      </c>
      <c r="F41" s="7">
        <v>2258.0630000000001</v>
      </c>
      <c r="G41" s="7">
        <v>1660.7339999999999</v>
      </c>
      <c r="H41" s="7">
        <v>2005.6790000000001</v>
      </c>
      <c r="I41" s="7">
        <v>1971.2850000000001</v>
      </c>
      <c r="J41" s="7">
        <v>2300.232</v>
      </c>
      <c r="K41" s="7">
        <v>2381.0140000000001</v>
      </c>
      <c r="L41" s="7">
        <v>2277.2310000000002</v>
      </c>
      <c r="M41" s="7">
        <v>2175.3249999999998</v>
      </c>
      <c r="N41" s="7">
        <v>2195.8780000000002</v>
      </c>
      <c r="O41" s="7">
        <v>2226.0630000000001</v>
      </c>
      <c r="P41" s="7">
        <v>1826.35</v>
      </c>
      <c r="R41" s="5">
        <f t="shared" si="0"/>
        <v>2096.108285714286</v>
      </c>
      <c r="S41" s="5">
        <f t="shared" si="1"/>
        <v>53.319449554200702</v>
      </c>
      <c r="U41" s="7">
        <v>38.75</v>
      </c>
      <c r="V41" s="7">
        <v>1922.989</v>
      </c>
      <c r="X41" s="7">
        <v>1517.0989999999999</v>
      </c>
      <c r="Y41" s="7">
        <v>2030.633</v>
      </c>
      <c r="Z41" s="7">
        <v>2204.558</v>
      </c>
      <c r="AA41" s="7">
        <v>2060.989</v>
      </c>
      <c r="AB41" s="7">
        <v>1834.32</v>
      </c>
      <c r="AC41" s="7">
        <v>1917.9469999999999</v>
      </c>
      <c r="AD41" s="7">
        <v>2192.1280000000002</v>
      </c>
      <c r="AE41" s="7">
        <v>1795.04</v>
      </c>
      <c r="AF41" s="7">
        <v>2042.6780000000001</v>
      </c>
      <c r="AH41" s="7">
        <v>2309.6959999999999</v>
      </c>
      <c r="AJ41" s="7">
        <v>2210.9299999999998</v>
      </c>
      <c r="AL41" s="6">
        <f t="shared" si="2"/>
        <v>2078.0698333333335</v>
      </c>
      <c r="AM41" s="6">
        <f t="shared" si="3"/>
        <v>79.856028896348491</v>
      </c>
    </row>
    <row r="42" spans="1:39" x14ac:dyDescent="0.2">
      <c r="A42" s="7">
        <v>40</v>
      </c>
      <c r="B42" s="7">
        <v>1926.175</v>
      </c>
      <c r="D42" s="7">
        <v>1916.7650000000001</v>
      </c>
      <c r="E42" s="7">
        <v>1917.202</v>
      </c>
      <c r="F42" s="7">
        <v>2140.7829999999999</v>
      </c>
      <c r="G42" s="7">
        <v>1568.1780000000001</v>
      </c>
      <c r="H42" s="7">
        <v>1891.6110000000001</v>
      </c>
      <c r="I42" s="7">
        <v>1889.1859999999999</v>
      </c>
      <c r="J42" s="7">
        <v>2180.0320000000002</v>
      </c>
      <c r="K42" s="7">
        <v>2259.2979999999998</v>
      </c>
      <c r="L42" s="7">
        <v>2169.634</v>
      </c>
      <c r="M42" s="7">
        <v>2070.5329999999999</v>
      </c>
      <c r="N42" s="7">
        <v>2088.5889999999999</v>
      </c>
      <c r="O42" s="7">
        <v>2117.6669999999999</v>
      </c>
      <c r="P42" s="7">
        <v>1756.597</v>
      </c>
      <c r="R42" s="5">
        <f t="shared" si="0"/>
        <v>1992.3035714285718</v>
      </c>
      <c r="S42" s="5">
        <f t="shared" si="1"/>
        <v>50.440834193753126</v>
      </c>
      <c r="U42" s="7">
        <v>40</v>
      </c>
      <c r="V42" s="7">
        <v>1822.405</v>
      </c>
      <c r="X42" s="7">
        <v>1439.663</v>
      </c>
      <c r="Y42" s="7">
        <v>1934.604</v>
      </c>
      <c r="Z42" s="7">
        <v>2108.9209999999998</v>
      </c>
      <c r="AA42" s="7">
        <v>1951.7460000000001</v>
      </c>
      <c r="AB42" s="7">
        <v>1734.373</v>
      </c>
      <c r="AC42" s="7">
        <v>1813.354</v>
      </c>
      <c r="AD42" s="7">
        <v>2076.107</v>
      </c>
      <c r="AE42" s="7">
        <v>1704.9760000000001</v>
      </c>
      <c r="AF42" s="7">
        <v>1949.586</v>
      </c>
      <c r="AH42" s="7">
        <v>2213.366</v>
      </c>
      <c r="AJ42" s="7">
        <v>2110.7159999999999</v>
      </c>
      <c r="AL42" s="6">
        <f t="shared" si="2"/>
        <v>1978.0174999999999</v>
      </c>
      <c r="AM42" s="6">
        <f t="shared" si="3"/>
        <v>78.547955099947259</v>
      </c>
    </row>
    <row r="43" spans="1:39" x14ac:dyDescent="0.2">
      <c r="A43" s="7">
        <v>41.25</v>
      </c>
      <c r="B43" s="7">
        <v>1883.626</v>
      </c>
      <c r="D43" s="7">
        <v>1882.9259999999999</v>
      </c>
      <c r="E43" s="7">
        <v>1880.4570000000001</v>
      </c>
      <c r="F43" s="7">
        <v>2093.7289999999998</v>
      </c>
      <c r="G43" s="7">
        <v>1537.14</v>
      </c>
      <c r="H43" s="7">
        <v>1851.741</v>
      </c>
      <c r="I43" s="7">
        <v>1857.1569999999999</v>
      </c>
      <c r="J43" s="7">
        <v>2130.105</v>
      </c>
      <c r="K43" s="7">
        <v>2205.384</v>
      </c>
      <c r="L43" s="7">
        <v>2114.3339999999998</v>
      </c>
      <c r="M43" s="7">
        <v>2033.8150000000001</v>
      </c>
      <c r="N43" s="7">
        <v>2045.6780000000001</v>
      </c>
      <c r="O43" s="7">
        <v>2076.902</v>
      </c>
      <c r="P43" s="7">
        <v>1720.346</v>
      </c>
      <c r="R43" s="5">
        <f t="shared" si="0"/>
        <v>1950.9528571428571</v>
      </c>
      <c r="S43" s="5">
        <f t="shared" si="1"/>
        <v>48.765123274041819</v>
      </c>
      <c r="U43" s="7">
        <v>41.25</v>
      </c>
      <c r="V43" s="7">
        <v>1785.6780000000001</v>
      </c>
      <c r="X43" s="7">
        <v>1426.9659999999999</v>
      </c>
      <c r="Y43" s="7">
        <v>1892.655</v>
      </c>
      <c r="Z43" s="7">
        <v>2072.703</v>
      </c>
      <c r="AA43" s="7">
        <v>1919.2729999999999</v>
      </c>
      <c r="AB43" s="7">
        <v>1704.48</v>
      </c>
      <c r="AC43" s="7">
        <v>1771.0350000000001</v>
      </c>
      <c r="AD43" s="7">
        <v>2048.7579999999998</v>
      </c>
      <c r="AE43" s="7">
        <v>1677.239</v>
      </c>
      <c r="AF43" s="7">
        <v>1906.799</v>
      </c>
      <c r="AH43" s="7">
        <v>2164.7629999999999</v>
      </c>
      <c r="AJ43" s="7">
        <v>2049.3789999999999</v>
      </c>
      <c r="AL43" s="6">
        <f t="shared" si="2"/>
        <v>1936.328833333333</v>
      </c>
      <c r="AM43" s="6">
        <f t="shared" si="3"/>
        <v>75.921984153215519</v>
      </c>
    </row>
    <row r="44" spans="1:39" x14ac:dyDescent="0.2">
      <c r="A44" s="7">
        <v>42.5</v>
      </c>
      <c r="B44" s="7">
        <v>1882.211</v>
      </c>
      <c r="D44" s="7">
        <v>1889.1679999999999</v>
      </c>
      <c r="E44" s="7">
        <v>1867.162</v>
      </c>
      <c r="F44" s="7">
        <v>2091.8589999999999</v>
      </c>
      <c r="G44" s="7">
        <v>1549.0409999999999</v>
      </c>
      <c r="H44" s="7">
        <v>1858.635</v>
      </c>
      <c r="I44" s="7">
        <v>1863.6849999999999</v>
      </c>
      <c r="J44" s="7">
        <v>2130.893</v>
      </c>
      <c r="K44" s="7">
        <v>2206.5120000000002</v>
      </c>
      <c r="L44" s="7">
        <v>2109.7339999999999</v>
      </c>
      <c r="M44" s="7">
        <v>2035.944</v>
      </c>
      <c r="N44" s="7">
        <v>2050.9209999999998</v>
      </c>
      <c r="O44" s="7">
        <v>2068.9920000000002</v>
      </c>
      <c r="P44" s="7">
        <v>1711.8689999999999</v>
      </c>
      <c r="R44" s="5">
        <f t="shared" si="0"/>
        <v>1951.1875714285711</v>
      </c>
      <c r="S44" s="5">
        <f t="shared" si="1"/>
        <v>48.283772635761558</v>
      </c>
      <c r="U44" s="7">
        <v>42.5</v>
      </c>
      <c r="V44" s="7">
        <v>1774.202</v>
      </c>
      <c r="X44" s="7">
        <v>1429.36</v>
      </c>
      <c r="Y44" s="7">
        <v>1884.7339999999999</v>
      </c>
      <c r="Z44" s="7">
        <v>2067.8780000000002</v>
      </c>
      <c r="AA44" s="7">
        <v>1925.232</v>
      </c>
      <c r="AB44" s="7">
        <v>1708.9860000000001</v>
      </c>
      <c r="AC44" s="7">
        <v>1775.11</v>
      </c>
      <c r="AD44" s="7">
        <v>2045.7090000000001</v>
      </c>
      <c r="AE44" s="7">
        <v>1673.8789999999999</v>
      </c>
      <c r="AF44" s="7">
        <v>1909.7439999999999</v>
      </c>
      <c r="AH44" s="7">
        <v>2139.6559999999999</v>
      </c>
      <c r="AJ44" s="7">
        <v>2088.3000000000002</v>
      </c>
      <c r="AL44" s="6">
        <f t="shared" si="2"/>
        <v>1938.7330000000002</v>
      </c>
      <c r="AM44" s="6">
        <f t="shared" si="3"/>
        <v>75.70660331393384</v>
      </c>
    </row>
    <row r="45" spans="1:39" x14ac:dyDescent="0.2">
      <c r="A45" s="7">
        <v>43.75</v>
      </c>
      <c r="B45" s="7">
        <v>1894.297</v>
      </c>
      <c r="D45" s="7">
        <v>1890.9349999999999</v>
      </c>
      <c r="E45" s="7">
        <v>1860.317</v>
      </c>
      <c r="F45" s="7">
        <v>2115.3620000000001</v>
      </c>
      <c r="G45" s="7">
        <v>1566.182</v>
      </c>
      <c r="H45" s="7">
        <v>1884.742</v>
      </c>
      <c r="I45" s="7">
        <v>1880.4269999999999</v>
      </c>
      <c r="J45" s="7">
        <v>2141.1990000000001</v>
      </c>
      <c r="K45" s="7">
        <v>2223.087</v>
      </c>
      <c r="L45" s="7">
        <v>2122.7220000000002</v>
      </c>
      <c r="M45" s="7">
        <v>2046.6980000000001</v>
      </c>
      <c r="N45" s="7">
        <v>2048.2440000000001</v>
      </c>
      <c r="O45" s="7">
        <v>2086.0320000000002</v>
      </c>
      <c r="P45" s="7">
        <v>1723.2349999999999</v>
      </c>
      <c r="R45" s="5">
        <f t="shared" si="0"/>
        <v>1963.105642857143</v>
      </c>
      <c r="S45" s="5">
        <f t="shared" si="1"/>
        <v>48.373870159234706</v>
      </c>
      <c r="U45" s="7">
        <v>43.75</v>
      </c>
      <c r="V45" s="7">
        <v>1784.8420000000001</v>
      </c>
      <c r="X45" s="7">
        <v>1435.9580000000001</v>
      </c>
      <c r="Y45" s="7">
        <v>1899.3050000000001</v>
      </c>
      <c r="Z45" s="7">
        <v>2076.201</v>
      </c>
      <c r="AA45" s="7">
        <v>1925.6289999999999</v>
      </c>
      <c r="AB45" s="7">
        <v>1723.749</v>
      </c>
      <c r="AC45" s="7">
        <v>1789.1089999999999</v>
      </c>
      <c r="AD45" s="7">
        <v>2053.6109999999999</v>
      </c>
      <c r="AE45" s="7">
        <v>1674.1610000000001</v>
      </c>
      <c r="AF45" s="7">
        <v>1917.9860000000001</v>
      </c>
      <c r="AH45" s="7">
        <v>2138.123</v>
      </c>
      <c r="AJ45" s="7">
        <v>2095.3159999999998</v>
      </c>
      <c r="AL45" s="6">
        <f t="shared" si="2"/>
        <v>1944.7176666666667</v>
      </c>
      <c r="AM45" s="6">
        <f t="shared" si="3"/>
        <v>75.293379087259567</v>
      </c>
    </row>
    <row r="46" spans="1:39" x14ac:dyDescent="0.2">
      <c r="A46" s="7">
        <v>45</v>
      </c>
      <c r="B46" s="7">
        <v>1908.4860000000001</v>
      </c>
      <c r="D46" s="7">
        <v>1893.2049999999999</v>
      </c>
      <c r="E46" s="7">
        <v>1872.3309999999999</v>
      </c>
      <c r="F46" s="7">
        <v>2145.1379999999999</v>
      </c>
      <c r="G46" s="7">
        <v>1566.03</v>
      </c>
      <c r="H46" s="7">
        <v>1901.8979999999999</v>
      </c>
      <c r="I46" s="7">
        <v>1894.0229999999999</v>
      </c>
      <c r="J46" s="7">
        <v>2167.625</v>
      </c>
      <c r="K46" s="7">
        <v>2235.4920000000002</v>
      </c>
      <c r="L46" s="7">
        <v>2136.335</v>
      </c>
      <c r="M46" s="7">
        <v>2063.5540000000001</v>
      </c>
      <c r="N46" s="7">
        <v>2053.614</v>
      </c>
      <c r="O46" s="7">
        <v>2102.2260000000001</v>
      </c>
      <c r="P46" s="7">
        <v>1735.193</v>
      </c>
      <c r="R46" s="5">
        <f t="shared" si="0"/>
        <v>1976.7964285714284</v>
      </c>
      <c r="S46" s="5">
        <f t="shared" si="1"/>
        <v>49.637152296286835</v>
      </c>
      <c r="U46" s="7">
        <v>45</v>
      </c>
      <c r="V46" s="7">
        <v>1803.829</v>
      </c>
      <c r="X46" s="7">
        <v>1455.325</v>
      </c>
      <c r="Y46" s="7">
        <v>1911.942</v>
      </c>
      <c r="Z46" s="7">
        <v>2094.422</v>
      </c>
      <c r="AA46" s="7">
        <v>1931.481</v>
      </c>
      <c r="AB46" s="7">
        <v>1736.162</v>
      </c>
      <c r="AC46" s="7">
        <v>1805.424</v>
      </c>
      <c r="AD46" s="7">
        <v>2077.6370000000002</v>
      </c>
      <c r="AE46" s="7">
        <v>1684.778</v>
      </c>
      <c r="AF46" s="7">
        <v>1930.796</v>
      </c>
      <c r="AH46" s="7">
        <v>2150.9870000000001</v>
      </c>
      <c r="AJ46" s="7">
        <v>2098.0360000000001</v>
      </c>
      <c r="AL46" s="6">
        <f t="shared" si="2"/>
        <v>1957.943</v>
      </c>
      <c r="AM46" s="6">
        <f t="shared" si="3"/>
        <v>75.241125814720974</v>
      </c>
    </row>
    <row r="47" spans="1:39" x14ac:dyDescent="0.2">
      <c r="A47" s="7">
        <v>46.25</v>
      </c>
      <c r="B47" s="7">
        <v>1937.7339999999999</v>
      </c>
      <c r="D47" s="7">
        <v>1921.0360000000001</v>
      </c>
      <c r="E47" s="7">
        <v>1911.088</v>
      </c>
      <c r="F47" s="7">
        <v>2197.3389999999999</v>
      </c>
      <c r="G47" s="7">
        <v>1590.711</v>
      </c>
      <c r="H47" s="7">
        <v>1928.172</v>
      </c>
      <c r="I47" s="7">
        <v>1939.778</v>
      </c>
      <c r="J47" s="7">
        <v>2200.009</v>
      </c>
      <c r="K47" s="7">
        <v>2258.3159999999998</v>
      </c>
      <c r="L47" s="7">
        <v>2166.1480000000001</v>
      </c>
      <c r="M47" s="7">
        <v>2097.502</v>
      </c>
      <c r="N47" s="7">
        <v>2084.4850000000001</v>
      </c>
      <c r="O47" s="7">
        <v>2123.634</v>
      </c>
      <c r="P47" s="7">
        <v>1762.8009999999999</v>
      </c>
      <c r="R47" s="5">
        <f t="shared" si="0"/>
        <v>2008.4823571428574</v>
      </c>
      <c r="S47" s="5">
        <f t="shared" si="1"/>
        <v>49.988214235969437</v>
      </c>
      <c r="U47" s="7">
        <v>46.25</v>
      </c>
      <c r="V47" s="7">
        <v>1822.683</v>
      </c>
      <c r="X47" s="7">
        <v>1479.5820000000001</v>
      </c>
      <c r="Y47" s="7">
        <v>1932.134</v>
      </c>
      <c r="Z47" s="7">
        <v>2126.3510000000001</v>
      </c>
      <c r="AA47" s="7">
        <v>1976.63</v>
      </c>
      <c r="AB47" s="7">
        <v>1774.047</v>
      </c>
      <c r="AC47" s="7">
        <v>1824.34</v>
      </c>
      <c r="AD47" s="7">
        <v>2105.424</v>
      </c>
      <c r="AE47" s="7">
        <v>1714.3119999999999</v>
      </c>
      <c r="AF47" s="7">
        <v>1973.7370000000001</v>
      </c>
      <c r="AH47" s="7">
        <v>2180.2620000000002</v>
      </c>
      <c r="AJ47" s="7">
        <v>2182.3130000000001</v>
      </c>
      <c r="AL47" s="6">
        <f t="shared" si="2"/>
        <v>1996.7313333333334</v>
      </c>
      <c r="AM47" s="6">
        <f t="shared" si="3"/>
        <v>79.571005483851451</v>
      </c>
    </row>
    <row r="48" spans="1:39" x14ac:dyDescent="0.2">
      <c r="A48" s="7">
        <v>47.5</v>
      </c>
      <c r="B48" s="7">
        <v>2016.5239999999999</v>
      </c>
      <c r="D48" s="7">
        <v>1995.1659999999999</v>
      </c>
      <c r="E48" s="7">
        <v>2014.453</v>
      </c>
      <c r="F48" s="7">
        <v>2287.3589999999999</v>
      </c>
      <c r="G48" s="7">
        <v>1660.771</v>
      </c>
      <c r="H48" s="7">
        <v>2018.329</v>
      </c>
      <c r="I48" s="7">
        <v>2030.21</v>
      </c>
      <c r="J48" s="7">
        <v>2260.5810000000001</v>
      </c>
      <c r="K48" s="7">
        <v>2330.625</v>
      </c>
      <c r="L48" s="7">
        <v>2246.846</v>
      </c>
      <c r="M48" s="7">
        <v>2163.0479999999998</v>
      </c>
      <c r="N48" s="7">
        <v>2158.3980000000001</v>
      </c>
      <c r="O48" s="7">
        <v>2185.73</v>
      </c>
      <c r="P48" s="7">
        <v>1831.325</v>
      </c>
      <c r="R48" s="5">
        <f t="shared" si="0"/>
        <v>2085.6689285714288</v>
      </c>
      <c r="S48" s="5">
        <f t="shared" si="1"/>
        <v>49.692839580974713</v>
      </c>
      <c r="U48" s="7">
        <v>47.5</v>
      </c>
      <c r="V48" s="7">
        <v>1889.691</v>
      </c>
      <c r="X48" s="7">
        <v>1563.8520000000001</v>
      </c>
      <c r="Y48" s="7">
        <v>2008.0340000000001</v>
      </c>
      <c r="Z48" s="7">
        <v>2205.886</v>
      </c>
      <c r="AA48" s="7">
        <v>2047.3489999999999</v>
      </c>
      <c r="AB48" s="7">
        <v>1853.268</v>
      </c>
      <c r="AC48" s="7">
        <v>1887.454</v>
      </c>
      <c r="AD48" s="7">
        <v>2177.9569999999999</v>
      </c>
      <c r="AE48" s="7">
        <v>1797.683</v>
      </c>
      <c r="AF48" s="7">
        <v>2061.8589999999999</v>
      </c>
      <c r="AH48" s="7">
        <v>2271.4659999999999</v>
      </c>
      <c r="AJ48" s="7">
        <v>2293.9549999999999</v>
      </c>
      <c r="AL48" s="6">
        <f t="shared" si="2"/>
        <v>2081.7289999999998</v>
      </c>
      <c r="AM48" s="6">
        <f t="shared" si="3"/>
        <v>83.490429565310052</v>
      </c>
    </row>
    <row r="49" spans="1:39" x14ac:dyDescent="0.2">
      <c r="A49" s="7">
        <v>48.75</v>
      </c>
      <c r="B49" s="7">
        <v>2126.6950000000002</v>
      </c>
      <c r="D49" s="7">
        <v>2094.7109999999998</v>
      </c>
      <c r="E49" s="7">
        <v>2128.203</v>
      </c>
      <c r="F49" s="7">
        <v>2387.2469999999998</v>
      </c>
      <c r="G49" s="7">
        <v>1754.172</v>
      </c>
      <c r="H49" s="7">
        <v>2120.3879999999999</v>
      </c>
      <c r="I49" s="7">
        <v>2154.4549999999999</v>
      </c>
      <c r="J49" s="7">
        <v>2357.09</v>
      </c>
      <c r="K49" s="7">
        <v>2441.5230000000001</v>
      </c>
      <c r="L49" s="7">
        <v>2359.8310000000001</v>
      </c>
      <c r="M49" s="7">
        <v>2263.1039999999998</v>
      </c>
      <c r="N49" s="7">
        <v>2262.6460000000002</v>
      </c>
      <c r="O49" s="7">
        <v>2289.462</v>
      </c>
      <c r="P49" s="7">
        <v>1918.711</v>
      </c>
      <c r="R49" s="5">
        <f t="shared" si="0"/>
        <v>2189.8741428571429</v>
      </c>
      <c r="S49" s="5">
        <f t="shared" si="1"/>
        <v>50.601077684942169</v>
      </c>
      <c r="U49" s="7">
        <v>48.75</v>
      </c>
      <c r="V49" s="7">
        <v>1995.6010000000001</v>
      </c>
      <c r="X49" s="7">
        <v>1634.5129999999999</v>
      </c>
      <c r="Y49" s="7">
        <v>2116.63</v>
      </c>
      <c r="Z49" s="7">
        <v>2329.538</v>
      </c>
      <c r="AA49" s="7">
        <v>2135.65</v>
      </c>
      <c r="AB49" s="7">
        <v>1945.107</v>
      </c>
      <c r="AC49" s="7">
        <v>2012.606</v>
      </c>
      <c r="AD49" s="7">
        <v>2300.1289999999999</v>
      </c>
      <c r="AE49" s="7">
        <v>1889.4590000000001</v>
      </c>
      <c r="AF49" s="7">
        <v>2163.0740000000001</v>
      </c>
      <c r="AH49" s="7">
        <v>2407.4490000000001</v>
      </c>
      <c r="AJ49" s="7">
        <v>2392.3139999999999</v>
      </c>
      <c r="AL49" s="6">
        <f t="shared" si="2"/>
        <v>2194.1718333333333</v>
      </c>
      <c r="AM49" s="6">
        <f t="shared" si="3"/>
        <v>86.169895568934677</v>
      </c>
    </row>
    <row r="50" spans="1:39" x14ac:dyDescent="0.2">
      <c r="A50" s="7">
        <v>50</v>
      </c>
      <c r="B50" s="7">
        <v>2190.0390000000002</v>
      </c>
      <c r="D50" s="7">
        <v>2180.7220000000002</v>
      </c>
      <c r="E50" s="7">
        <v>2199.4450000000002</v>
      </c>
      <c r="F50" s="7">
        <v>2464.098</v>
      </c>
      <c r="G50" s="7">
        <v>1823.0550000000001</v>
      </c>
      <c r="H50" s="7">
        <v>2188.0059999999999</v>
      </c>
      <c r="I50" s="7">
        <v>2209.5610000000001</v>
      </c>
      <c r="J50" s="7">
        <v>2438.752</v>
      </c>
      <c r="K50" s="7">
        <v>2527.4630000000002</v>
      </c>
      <c r="L50" s="7">
        <v>2448.7779999999998</v>
      </c>
      <c r="M50" s="7">
        <v>2346.9760000000001</v>
      </c>
      <c r="N50" s="7">
        <v>2342.0650000000001</v>
      </c>
      <c r="O50" s="7">
        <v>2359.7150000000001</v>
      </c>
      <c r="P50" s="7">
        <v>1974.021</v>
      </c>
      <c r="R50" s="5">
        <f t="shared" si="0"/>
        <v>2263.7639999999997</v>
      </c>
      <c r="S50" s="5">
        <f t="shared" si="1"/>
        <v>52.419728486452563</v>
      </c>
      <c r="U50" s="7">
        <v>50</v>
      </c>
      <c r="V50" s="7">
        <v>2069.5149999999999</v>
      </c>
      <c r="X50" s="7">
        <v>1659.3440000000001</v>
      </c>
      <c r="Y50" s="7">
        <v>2191.9609999999998</v>
      </c>
      <c r="Z50" s="7">
        <v>2403.627</v>
      </c>
      <c r="AA50" s="7">
        <v>2207.1970000000001</v>
      </c>
      <c r="AB50" s="7">
        <v>1991.913</v>
      </c>
      <c r="AC50" s="7">
        <v>2085.8629999999998</v>
      </c>
      <c r="AD50" s="7">
        <v>2390.1770000000001</v>
      </c>
      <c r="AE50" s="7">
        <v>1939.8620000000001</v>
      </c>
      <c r="AF50" s="7">
        <v>2235.7339999999999</v>
      </c>
      <c r="AH50" s="7">
        <v>2508.3620000000001</v>
      </c>
      <c r="AJ50" s="7">
        <v>2465.54</v>
      </c>
      <c r="AL50" s="6">
        <f t="shared" si="2"/>
        <v>2270.9230000000002</v>
      </c>
      <c r="AM50" s="6">
        <f t="shared" si="3"/>
        <v>91.935018168269295</v>
      </c>
    </row>
    <row r="51" spans="1:39" x14ac:dyDescent="0.2">
      <c r="A51" s="7">
        <v>51.25</v>
      </c>
      <c r="B51" s="7">
        <v>2212.2060000000001</v>
      </c>
      <c r="D51" s="7">
        <v>2244.1930000000002</v>
      </c>
      <c r="E51" s="7">
        <v>2242.6990000000001</v>
      </c>
      <c r="F51" s="7">
        <v>2521.0169999999998</v>
      </c>
      <c r="G51" s="7">
        <v>1862.9449999999999</v>
      </c>
      <c r="H51" s="7">
        <v>2239.25</v>
      </c>
      <c r="I51" s="7">
        <v>2237.5059999999999</v>
      </c>
      <c r="J51" s="7">
        <v>2511.8620000000001</v>
      </c>
      <c r="K51" s="7">
        <v>2584.5650000000001</v>
      </c>
      <c r="L51" s="7">
        <v>2500.9380000000001</v>
      </c>
      <c r="M51" s="7">
        <v>2390.9070000000002</v>
      </c>
      <c r="N51" s="7">
        <v>2389.7350000000001</v>
      </c>
      <c r="O51" s="7">
        <v>2408.308</v>
      </c>
      <c r="P51" s="7">
        <v>2019.5340000000001</v>
      </c>
      <c r="R51" s="5">
        <f t="shared" si="0"/>
        <v>2311.8332142857139</v>
      </c>
      <c r="S51" s="5">
        <f t="shared" si="1"/>
        <v>54.0936302489254</v>
      </c>
      <c r="U51" s="7">
        <v>51.25</v>
      </c>
      <c r="V51" s="7">
        <v>2115.98</v>
      </c>
      <c r="X51" s="7">
        <v>1680.865</v>
      </c>
      <c r="Y51" s="7">
        <v>2231.3069999999998</v>
      </c>
      <c r="Z51" s="7">
        <v>2446.8510000000001</v>
      </c>
      <c r="AA51" s="7">
        <v>2255.1320000000001</v>
      </c>
      <c r="AB51" s="7">
        <v>2005.4269999999999</v>
      </c>
      <c r="AC51" s="7">
        <v>2101.6439999999998</v>
      </c>
      <c r="AD51" s="7">
        <v>2440.8150000000001</v>
      </c>
      <c r="AE51" s="7">
        <v>1969.6780000000001</v>
      </c>
      <c r="AF51" s="7">
        <v>2260.8409999999999</v>
      </c>
      <c r="AH51" s="7">
        <v>2543.9140000000002</v>
      </c>
      <c r="AJ51" s="7">
        <v>2491.4290000000001</v>
      </c>
      <c r="AL51" s="6">
        <f t="shared" si="2"/>
        <v>2301.3868333333335</v>
      </c>
      <c r="AM51" s="6">
        <f t="shared" si="3"/>
        <v>94.153700497791291</v>
      </c>
    </row>
    <row r="52" spans="1:39" x14ac:dyDescent="0.2">
      <c r="A52" s="7">
        <v>52.5</v>
      </c>
      <c r="B52" s="7">
        <v>2238.3319999999999</v>
      </c>
      <c r="D52" s="7">
        <v>2283.9720000000002</v>
      </c>
      <c r="E52" s="7">
        <v>2275.7060000000001</v>
      </c>
      <c r="F52" s="7">
        <v>2552.2739999999999</v>
      </c>
      <c r="G52" s="7">
        <v>1891.0319999999999</v>
      </c>
      <c r="H52" s="7">
        <v>2263.819</v>
      </c>
      <c r="I52" s="7">
        <v>2243.3310000000001</v>
      </c>
      <c r="J52" s="7">
        <v>2557.1799999999998</v>
      </c>
      <c r="K52" s="7">
        <v>2624.3470000000002</v>
      </c>
      <c r="L52" s="7">
        <v>2540.6039999999998</v>
      </c>
      <c r="M52" s="7">
        <v>2421.8090000000002</v>
      </c>
      <c r="N52" s="7">
        <v>2425.201</v>
      </c>
      <c r="O52" s="7">
        <v>2445.29</v>
      </c>
      <c r="P52" s="7">
        <v>2070.1439999999998</v>
      </c>
      <c r="R52" s="5">
        <f t="shared" si="0"/>
        <v>2345.2172142857139</v>
      </c>
      <c r="S52" s="5">
        <f t="shared" si="1"/>
        <v>54.72868267120122</v>
      </c>
      <c r="U52" s="7">
        <v>52.5</v>
      </c>
      <c r="V52" s="7">
        <v>2131.4160000000002</v>
      </c>
      <c r="X52" s="7">
        <v>1669.2660000000001</v>
      </c>
      <c r="Y52" s="7">
        <v>2244.0540000000001</v>
      </c>
      <c r="Z52" s="7">
        <v>2475.058</v>
      </c>
      <c r="AA52" s="7">
        <v>2283.2489999999998</v>
      </c>
      <c r="AB52" s="7">
        <v>2011.527</v>
      </c>
      <c r="AC52" s="7">
        <v>2105.221</v>
      </c>
      <c r="AD52" s="7">
        <v>2462.2759999999998</v>
      </c>
      <c r="AE52" s="7">
        <v>1972.854</v>
      </c>
      <c r="AF52" s="7">
        <v>2276.8090000000002</v>
      </c>
      <c r="AH52" s="7">
        <v>2567.2289999999998</v>
      </c>
      <c r="AJ52" s="7">
        <v>2458.518</v>
      </c>
      <c r="AL52" s="6">
        <f t="shared" si="2"/>
        <v>2307.1511666666665</v>
      </c>
      <c r="AM52" s="6">
        <f t="shared" si="3"/>
        <v>94.528152150709971</v>
      </c>
    </row>
    <row r="53" spans="1:39" x14ac:dyDescent="0.2">
      <c r="A53" s="7">
        <v>53.75</v>
      </c>
      <c r="B53" s="7">
        <v>2238.8789999999999</v>
      </c>
      <c r="D53" s="7">
        <v>2268.971</v>
      </c>
      <c r="E53" s="7">
        <v>2254.8560000000002</v>
      </c>
      <c r="F53" s="7">
        <v>2519.5749999999998</v>
      </c>
      <c r="G53" s="7">
        <v>1869.4829999999999</v>
      </c>
      <c r="H53" s="7">
        <v>2245.8690000000001</v>
      </c>
      <c r="I53" s="7">
        <v>2192.8270000000002</v>
      </c>
      <c r="J53" s="7">
        <v>2554.9920000000002</v>
      </c>
      <c r="K53" s="7">
        <v>2619.319</v>
      </c>
      <c r="L53" s="7">
        <v>2543.2350000000001</v>
      </c>
      <c r="M53" s="7">
        <v>2437.6370000000002</v>
      </c>
      <c r="N53" s="7">
        <v>2429.7669999999998</v>
      </c>
      <c r="O53" s="7">
        <v>2439.7220000000002</v>
      </c>
      <c r="P53" s="7">
        <v>2075.5810000000001</v>
      </c>
      <c r="R53" s="5">
        <f t="shared" si="0"/>
        <v>2335.0509285714284</v>
      </c>
      <c r="S53" s="5">
        <f t="shared" si="1"/>
        <v>55.930158904396443</v>
      </c>
      <c r="U53" s="7">
        <v>53.75</v>
      </c>
      <c r="V53" s="7">
        <v>2090.8910000000001</v>
      </c>
      <c r="X53" s="7">
        <v>1659.431</v>
      </c>
      <c r="Y53" s="7">
        <v>2228.2710000000002</v>
      </c>
      <c r="Z53" s="7">
        <v>2467.9670000000001</v>
      </c>
      <c r="AA53" s="7">
        <v>2263.8490000000002</v>
      </c>
      <c r="AB53" s="7">
        <v>1983.7850000000001</v>
      </c>
      <c r="AC53" s="7">
        <v>2082.5729999999999</v>
      </c>
      <c r="AD53" s="7">
        <v>2429.5819999999999</v>
      </c>
      <c r="AE53" s="7">
        <v>1948.8320000000001</v>
      </c>
      <c r="AF53" s="7">
        <v>2281.864</v>
      </c>
      <c r="AH53" s="7">
        <v>2573.328</v>
      </c>
      <c r="AJ53" s="7">
        <v>2405.7869999999998</v>
      </c>
      <c r="AL53" s="6">
        <f t="shared" si="2"/>
        <v>2286.9943333333335</v>
      </c>
      <c r="AM53" s="6">
        <f t="shared" si="3"/>
        <v>95.323672214431824</v>
      </c>
    </row>
    <row r="54" spans="1:39" x14ac:dyDescent="0.2">
      <c r="A54" s="7">
        <v>55</v>
      </c>
      <c r="B54" s="7">
        <v>2174.9870000000001</v>
      </c>
      <c r="D54" s="7">
        <v>2191.1410000000001</v>
      </c>
      <c r="E54" s="7">
        <v>2167.1210000000001</v>
      </c>
      <c r="F54" s="7">
        <v>2449.643</v>
      </c>
      <c r="G54" s="7">
        <v>1810.5940000000001</v>
      </c>
      <c r="H54" s="7">
        <v>2165.6239999999998</v>
      </c>
      <c r="I54" s="7">
        <v>2109.2930000000001</v>
      </c>
      <c r="J54" s="7">
        <v>2470.8220000000001</v>
      </c>
      <c r="K54" s="7">
        <v>2530.3989999999999</v>
      </c>
      <c r="L54" s="7">
        <v>2468.998</v>
      </c>
      <c r="M54" s="7">
        <v>2380.8339999999998</v>
      </c>
      <c r="N54" s="7">
        <v>2362.6959999999999</v>
      </c>
      <c r="O54" s="7">
        <v>2366.9319999999998</v>
      </c>
      <c r="P54" s="7">
        <v>2010.2460000000001</v>
      </c>
      <c r="R54" s="5">
        <f t="shared" si="0"/>
        <v>2261.380714285714</v>
      </c>
      <c r="S54" s="5">
        <f t="shared" si="1"/>
        <v>54.988449186422642</v>
      </c>
      <c r="U54" s="7">
        <v>55</v>
      </c>
      <c r="V54" s="7">
        <v>2022.97</v>
      </c>
      <c r="X54" s="7">
        <v>1631.9069999999999</v>
      </c>
      <c r="Y54" s="7">
        <v>2163.21</v>
      </c>
      <c r="Z54" s="7">
        <v>2404.011</v>
      </c>
      <c r="AA54" s="7">
        <v>2202.2139999999999</v>
      </c>
      <c r="AB54" s="7">
        <v>1935.9849999999999</v>
      </c>
      <c r="AC54" s="7">
        <v>2017.5940000000001</v>
      </c>
      <c r="AD54" s="7">
        <v>2345.61</v>
      </c>
      <c r="AE54" s="7">
        <v>1917.787</v>
      </c>
      <c r="AF54" s="7">
        <v>2236.1889999999999</v>
      </c>
      <c r="AH54" s="7">
        <v>2504.527</v>
      </c>
      <c r="AJ54" s="7">
        <v>2323.3139999999999</v>
      </c>
      <c r="AL54" s="6">
        <f t="shared" si="2"/>
        <v>2224.1701666666668</v>
      </c>
      <c r="AM54" s="6">
        <f t="shared" si="3"/>
        <v>89.417726917137514</v>
      </c>
    </row>
    <row r="55" spans="1:39" x14ac:dyDescent="0.2">
      <c r="A55" s="7">
        <v>56.25</v>
      </c>
      <c r="B55" s="7">
        <v>2038.1579999999999</v>
      </c>
      <c r="D55" s="7">
        <v>2053.5509999999999</v>
      </c>
      <c r="E55" s="7">
        <v>2025.0170000000001</v>
      </c>
      <c r="F55" s="7">
        <v>2330.5320000000002</v>
      </c>
      <c r="G55" s="7">
        <v>1718.4939999999999</v>
      </c>
      <c r="H55" s="7">
        <v>2031.306</v>
      </c>
      <c r="I55" s="7">
        <v>1975.7560000000001</v>
      </c>
      <c r="J55" s="7">
        <v>2307.6610000000001</v>
      </c>
      <c r="K55" s="7">
        <v>2358.0030000000002</v>
      </c>
      <c r="L55" s="7">
        <v>2305.3809999999999</v>
      </c>
      <c r="M55" s="7">
        <v>2218.6329999999998</v>
      </c>
      <c r="N55" s="7">
        <v>2207.2080000000001</v>
      </c>
      <c r="O55" s="7">
        <v>2194.9029999999998</v>
      </c>
      <c r="P55" s="7">
        <v>1872.4480000000001</v>
      </c>
      <c r="R55" s="5">
        <f t="shared" si="0"/>
        <v>2116.9322142857141</v>
      </c>
      <c r="S55" s="5">
        <f t="shared" si="1"/>
        <v>50.528073630449846</v>
      </c>
      <c r="U55" s="7">
        <v>56.25</v>
      </c>
      <c r="V55" s="7">
        <v>1912.2460000000001</v>
      </c>
      <c r="X55" s="7">
        <v>1549.3789999999999</v>
      </c>
      <c r="Y55" s="7">
        <v>2050.9380000000001</v>
      </c>
      <c r="Z55" s="7">
        <v>2277.578</v>
      </c>
      <c r="AA55" s="7">
        <v>2055.9670000000001</v>
      </c>
      <c r="AB55" s="7">
        <v>1846.14</v>
      </c>
      <c r="AC55" s="7">
        <v>1920.2059999999999</v>
      </c>
      <c r="AD55" s="7">
        <v>2218.2530000000002</v>
      </c>
      <c r="AE55" s="7">
        <v>1814.758</v>
      </c>
      <c r="AF55" s="7">
        <v>2101.9290000000001</v>
      </c>
      <c r="AH55" s="7">
        <v>2351.4659999999999</v>
      </c>
      <c r="AJ55" s="7">
        <v>2065.2020000000002</v>
      </c>
      <c r="AL55" s="6">
        <f t="shared" si="2"/>
        <v>2078.6356666666666</v>
      </c>
      <c r="AM55" s="6">
        <f t="shared" si="3"/>
        <v>79.453092152400075</v>
      </c>
    </row>
    <row r="56" spans="1:39" x14ac:dyDescent="0.2">
      <c r="A56" s="7">
        <v>57.5</v>
      </c>
      <c r="B56" s="7">
        <v>1852.4880000000001</v>
      </c>
      <c r="D56" s="7">
        <v>1859.857</v>
      </c>
      <c r="E56" s="7">
        <v>1851.348</v>
      </c>
      <c r="F56" s="7">
        <v>2152.35</v>
      </c>
      <c r="G56" s="7">
        <v>1584.614</v>
      </c>
      <c r="H56" s="7">
        <v>1850.413</v>
      </c>
      <c r="I56" s="7">
        <v>1815.537</v>
      </c>
      <c r="J56" s="7">
        <v>2081.3069999999998</v>
      </c>
      <c r="K56" s="7">
        <v>2142.511</v>
      </c>
      <c r="L56" s="7">
        <v>2078.7750000000001</v>
      </c>
      <c r="M56" s="7">
        <v>2001.47</v>
      </c>
      <c r="N56" s="7">
        <v>1983.2850000000001</v>
      </c>
      <c r="O56" s="7">
        <v>1956.807</v>
      </c>
      <c r="P56" s="7">
        <v>1687.0450000000001</v>
      </c>
      <c r="R56" s="5">
        <f t="shared" si="0"/>
        <v>1921.2719285714286</v>
      </c>
      <c r="S56" s="5">
        <f t="shared" si="1"/>
        <v>44.604266802561753</v>
      </c>
      <c r="U56" s="7">
        <v>57.5</v>
      </c>
      <c r="V56" s="7">
        <v>1758.557</v>
      </c>
      <c r="X56" s="7">
        <v>1437.1980000000001</v>
      </c>
      <c r="Y56" s="7">
        <v>1889.2449999999999</v>
      </c>
      <c r="Z56" s="7">
        <v>2092.0050000000001</v>
      </c>
      <c r="AA56" s="7">
        <v>1884.569</v>
      </c>
      <c r="AB56" s="7">
        <v>1706.299</v>
      </c>
      <c r="AC56" s="7">
        <v>1785.539</v>
      </c>
      <c r="AD56" s="7">
        <v>2039.55</v>
      </c>
      <c r="AE56" s="7">
        <v>1652.067</v>
      </c>
      <c r="AF56" s="7">
        <v>1917.3150000000001</v>
      </c>
      <c r="AH56" s="7">
        <v>2134.4609999999998</v>
      </c>
      <c r="AJ56" s="7">
        <v>1748.027</v>
      </c>
      <c r="AL56" s="6">
        <f t="shared" si="2"/>
        <v>1879.4931666666664</v>
      </c>
      <c r="AM56" s="6">
        <f t="shared" si="3"/>
        <v>75.253056793912194</v>
      </c>
    </row>
    <row r="57" spans="1:39" x14ac:dyDescent="0.2">
      <c r="A57" s="7">
        <v>58.75</v>
      </c>
      <c r="B57" s="7">
        <v>1695.8720000000001</v>
      </c>
      <c r="D57" s="7">
        <v>1684.761</v>
      </c>
      <c r="E57" s="7">
        <v>1681.952</v>
      </c>
      <c r="F57" s="7">
        <v>2006.143</v>
      </c>
      <c r="G57" s="7">
        <v>1445.4939999999999</v>
      </c>
      <c r="H57" s="7">
        <v>1697.0550000000001</v>
      </c>
      <c r="I57" s="7">
        <v>1664.665</v>
      </c>
      <c r="J57" s="7">
        <v>1847.211</v>
      </c>
      <c r="K57" s="7">
        <v>1930.42</v>
      </c>
      <c r="L57" s="7">
        <v>1860.8150000000001</v>
      </c>
      <c r="M57" s="7">
        <v>1798.7819999999999</v>
      </c>
      <c r="N57" s="7">
        <v>1764.8019999999999</v>
      </c>
      <c r="O57" s="7">
        <v>1738.4690000000001</v>
      </c>
      <c r="P57" s="7">
        <v>1517.384</v>
      </c>
      <c r="R57" s="5">
        <f t="shared" si="0"/>
        <v>1738.1303571428568</v>
      </c>
      <c r="S57" s="5">
        <f t="shared" si="1"/>
        <v>39.875197125367194</v>
      </c>
      <c r="U57" s="7">
        <v>58.75</v>
      </c>
      <c r="V57" s="7">
        <v>1615.2909999999999</v>
      </c>
      <c r="X57" s="7">
        <v>1346.37</v>
      </c>
      <c r="Y57" s="7">
        <v>1740.701</v>
      </c>
      <c r="Z57" s="7">
        <v>1915.8969999999999</v>
      </c>
      <c r="AA57" s="7">
        <v>1724.414</v>
      </c>
      <c r="AB57" s="7">
        <v>1578.4590000000001</v>
      </c>
      <c r="AC57" s="7">
        <v>1647.8309999999999</v>
      </c>
      <c r="AD57" s="7">
        <v>1877.12</v>
      </c>
      <c r="AE57" s="7">
        <v>1495.018</v>
      </c>
      <c r="AF57" s="7">
        <v>1763.0229999999999</v>
      </c>
      <c r="AH57" s="7">
        <v>1935.6420000000001</v>
      </c>
      <c r="AJ57" s="7">
        <v>1583.672</v>
      </c>
      <c r="AL57" s="6">
        <f t="shared" si="2"/>
        <v>1717.0510000000002</v>
      </c>
      <c r="AM57" s="6">
        <f t="shared" si="3"/>
        <v>70.094591792329695</v>
      </c>
    </row>
    <row r="58" spans="1:39" x14ac:dyDescent="0.2">
      <c r="A58" s="7">
        <v>60</v>
      </c>
      <c r="B58" s="7">
        <v>1592.903</v>
      </c>
      <c r="D58" s="7">
        <v>1593.212</v>
      </c>
      <c r="E58" s="7">
        <v>1573.53</v>
      </c>
      <c r="F58" s="7">
        <v>1921.2670000000001</v>
      </c>
      <c r="G58" s="7">
        <v>1364.4190000000001</v>
      </c>
      <c r="H58" s="7">
        <v>1586.2190000000001</v>
      </c>
      <c r="I58" s="7">
        <v>1566.126</v>
      </c>
      <c r="J58" s="7">
        <v>1733.9880000000001</v>
      </c>
      <c r="K58" s="7">
        <v>1810.453</v>
      </c>
      <c r="L58" s="7">
        <v>1733.826</v>
      </c>
      <c r="M58" s="7">
        <v>1677.373</v>
      </c>
      <c r="N58" s="7">
        <v>1656.79</v>
      </c>
      <c r="O58" s="7">
        <v>1618.6310000000001</v>
      </c>
      <c r="P58" s="7">
        <v>1418.36</v>
      </c>
      <c r="R58" s="5">
        <f t="shared" si="0"/>
        <v>1631.9355</v>
      </c>
      <c r="S58" s="5">
        <f t="shared" si="1"/>
        <v>38.464457142561862</v>
      </c>
      <c r="U58" s="7">
        <v>60</v>
      </c>
      <c r="V58" s="7">
        <v>1514.682</v>
      </c>
      <c r="X58" s="7">
        <v>1272.8969999999999</v>
      </c>
      <c r="Y58" s="7">
        <v>1639.354</v>
      </c>
      <c r="Z58" s="7">
        <v>1824.5930000000001</v>
      </c>
      <c r="AA58" s="7">
        <v>1622.9369999999999</v>
      </c>
      <c r="AB58" s="7">
        <v>1501.7470000000001</v>
      </c>
      <c r="AC58" s="7">
        <v>1556.8489999999999</v>
      </c>
      <c r="AD58" s="7">
        <v>1763.5530000000001</v>
      </c>
      <c r="AE58" s="7">
        <v>1418.1990000000001</v>
      </c>
      <c r="AF58" s="7">
        <v>1665.8789999999999</v>
      </c>
      <c r="AH58" s="7">
        <v>1819.7139999999999</v>
      </c>
      <c r="AJ58" s="7">
        <v>1527.855</v>
      </c>
      <c r="AL58" s="6">
        <f t="shared" si="2"/>
        <v>1625.3414999999998</v>
      </c>
      <c r="AM58" s="6">
        <f t="shared" si="3"/>
        <v>62.083071213630113</v>
      </c>
    </row>
    <row r="59" spans="1:39" x14ac:dyDescent="0.2">
      <c r="A59" s="7">
        <v>61.25</v>
      </c>
      <c r="B59" s="7">
        <v>1539.57</v>
      </c>
      <c r="D59" s="7">
        <v>1544.576</v>
      </c>
      <c r="E59" s="7">
        <v>1514.4449999999999</v>
      </c>
      <c r="F59" s="7">
        <v>1846.386</v>
      </c>
      <c r="G59" s="7">
        <v>1308.6199999999999</v>
      </c>
      <c r="H59" s="7">
        <v>1534.7650000000001</v>
      </c>
      <c r="I59" s="7">
        <v>1524.895</v>
      </c>
      <c r="J59" s="7">
        <v>1662.396</v>
      </c>
      <c r="K59" s="7">
        <v>1738.5530000000001</v>
      </c>
      <c r="L59" s="7">
        <v>1657.9929999999999</v>
      </c>
      <c r="M59" s="7">
        <v>1609.135</v>
      </c>
      <c r="N59" s="7">
        <v>1608.645</v>
      </c>
      <c r="O59" s="7">
        <v>1579.2260000000001</v>
      </c>
      <c r="P59" s="7">
        <v>1376.45</v>
      </c>
      <c r="R59" s="5">
        <f t="shared" si="0"/>
        <v>1574.6896428571429</v>
      </c>
      <c r="S59" s="5">
        <f t="shared" si="1"/>
        <v>36.131408845954027</v>
      </c>
      <c r="U59" s="7">
        <v>61.25</v>
      </c>
      <c r="V59" s="7">
        <v>1456.222</v>
      </c>
      <c r="X59" s="7">
        <v>1229.001</v>
      </c>
      <c r="Y59" s="7">
        <v>1579.828</v>
      </c>
      <c r="Z59" s="7">
        <v>1771.6859999999999</v>
      </c>
      <c r="AA59" s="7">
        <v>1560.1569999999999</v>
      </c>
      <c r="AB59" s="7">
        <v>1444.778</v>
      </c>
      <c r="AC59" s="7">
        <v>1495.163</v>
      </c>
      <c r="AD59" s="7">
        <v>1691.1790000000001</v>
      </c>
      <c r="AE59" s="7">
        <v>1367.433</v>
      </c>
      <c r="AF59" s="7">
        <v>1609.84</v>
      </c>
      <c r="AH59" s="7">
        <v>1749.7439999999999</v>
      </c>
      <c r="AJ59" s="7">
        <v>1533.1759999999999</v>
      </c>
      <c r="AL59" s="6">
        <f t="shared" si="2"/>
        <v>1574.4224999999999</v>
      </c>
      <c r="AM59" s="6">
        <f t="shared" si="3"/>
        <v>56.701588212177377</v>
      </c>
    </row>
    <row r="60" spans="1:39" x14ac:dyDescent="0.2">
      <c r="A60" s="7">
        <v>62.5</v>
      </c>
      <c r="B60" s="7">
        <v>1515.2739999999999</v>
      </c>
      <c r="D60" s="7">
        <v>1515.5239999999999</v>
      </c>
      <c r="E60" s="7">
        <v>1486.1210000000001</v>
      </c>
      <c r="F60" s="7">
        <v>1787.1079999999999</v>
      </c>
      <c r="G60" s="7">
        <v>1267.5050000000001</v>
      </c>
      <c r="H60" s="7">
        <v>1495.9290000000001</v>
      </c>
      <c r="I60" s="7">
        <v>1452.55</v>
      </c>
      <c r="J60" s="7">
        <v>1603.4680000000001</v>
      </c>
      <c r="K60" s="7">
        <v>1697.2819999999999</v>
      </c>
      <c r="L60" s="7">
        <v>1633.9190000000001</v>
      </c>
      <c r="M60" s="7">
        <v>1570.973</v>
      </c>
      <c r="N60" s="7">
        <v>1581.693</v>
      </c>
      <c r="O60" s="7">
        <v>1565.1990000000001</v>
      </c>
      <c r="P60" s="7">
        <v>1358.9659999999999</v>
      </c>
      <c r="R60" s="5">
        <f t="shared" si="0"/>
        <v>1537.9650714285713</v>
      </c>
      <c r="S60" s="5">
        <f t="shared" si="1"/>
        <v>34.976726350416435</v>
      </c>
      <c r="U60" s="7">
        <v>62.5</v>
      </c>
      <c r="V60" s="7">
        <v>1429.5619999999999</v>
      </c>
      <c r="X60" s="7">
        <v>1214.0409999999999</v>
      </c>
      <c r="Y60" s="7">
        <v>1537.8579999999999</v>
      </c>
      <c r="Z60" s="7">
        <v>1727.8150000000001</v>
      </c>
      <c r="AA60" s="7">
        <v>1514.287</v>
      </c>
      <c r="AB60" s="7">
        <v>1418.4290000000001</v>
      </c>
      <c r="AC60" s="7">
        <v>1446.3019999999999</v>
      </c>
      <c r="AD60" s="7">
        <v>1644.4659999999999</v>
      </c>
      <c r="AE60" s="7">
        <v>1331.4570000000001</v>
      </c>
      <c r="AF60" s="7">
        <v>1582.652</v>
      </c>
      <c r="AH60" s="7">
        <v>1702.489</v>
      </c>
      <c r="AJ60" s="7">
        <v>1583.0940000000001</v>
      </c>
      <c r="AL60" s="6">
        <f t="shared" si="2"/>
        <v>1548.4099999999999</v>
      </c>
      <c r="AM60" s="6">
        <f t="shared" si="3"/>
        <v>55.628900064025473</v>
      </c>
    </row>
    <row r="61" spans="1:39" x14ac:dyDescent="0.2">
      <c r="A61" s="7">
        <v>63.75</v>
      </c>
      <c r="B61" s="7">
        <v>1485.16</v>
      </c>
      <c r="D61" s="7">
        <v>1489.7380000000001</v>
      </c>
      <c r="E61" s="7">
        <v>1428.2929999999999</v>
      </c>
      <c r="F61" s="7">
        <v>1740.5260000000001</v>
      </c>
      <c r="G61" s="7">
        <v>1244.056</v>
      </c>
      <c r="H61" s="7">
        <v>1469.5409999999999</v>
      </c>
      <c r="I61" s="7">
        <v>1387.653</v>
      </c>
      <c r="J61" s="7">
        <v>1601.95</v>
      </c>
      <c r="K61" s="7">
        <v>1684.566</v>
      </c>
      <c r="L61" s="7">
        <v>1618.4780000000001</v>
      </c>
      <c r="M61" s="7">
        <v>1574.67</v>
      </c>
      <c r="N61" s="7">
        <v>1561.9159999999999</v>
      </c>
      <c r="O61" s="7">
        <v>1572.982</v>
      </c>
      <c r="P61" s="7">
        <v>1343.779</v>
      </c>
      <c r="R61" s="5">
        <f t="shared" si="0"/>
        <v>1514.5220000000002</v>
      </c>
      <c r="S61" s="5">
        <f t="shared" si="1"/>
        <v>36.090598504867728</v>
      </c>
      <c r="U61" s="7">
        <v>63.75</v>
      </c>
      <c r="V61" s="7">
        <v>1400.7080000000001</v>
      </c>
      <c r="X61" s="7">
        <v>1181.252</v>
      </c>
      <c r="Y61" s="7">
        <v>1497.6949999999999</v>
      </c>
      <c r="Z61" s="7">
        <v>1690.078</v>
      </c>
      <c r="AA61" s="7">
        <v>1490.7149999999999</v>
      </c>
      <c r="AB61" s="7">
        <v>1393.08</v>
      </c>
      <c r="AC61" s="7">
        <v>1421.165</v>
      </c>
      <c r="AD61" s="7">
        <v>1616.925</v>
      </c>
      <c r="AE61" s="7">
        <v>1320.586</v>
      </c>
      <c r="AF61" s="7">
        <v>1566.5319999999999</v>
      </c>
      <c r="AH61" s="7">
        <v>1697.559</v>
      </c>
      <c r="AJ61" s="7">
        <v>1497.2360000000001</v>
      </c>
      <c r="AL61" s="6">
        <f t="shared" si="2"/>
        <v>1520.0005000000001</v>
      </c>
      <c r="AM61" s="6">
        <f t="shared" si="3"/>
        <v>55.71935075163146</v>
      </c>
    </row>
    <row r="62" spans="1:39" x14ac:dyDescent="0.2">
      <c r="A62" s="7">
        <v>65</v>
      </c>
      <c r="B62" s="7">
        <v>1471.712</v>
      </c>
      <c r="D62" s="7">
        <v>1470.3979999999999</v>
      </c>
      <c r="E62" s="7">
        <v>1412.2270000000001</v>
      </c>
      <c r="F62" s="7">
        <v>1702.2149999999999</v>
      </c>
      <c r="G62" s="7">
        <v>1242.8869999999999</v>
      </c>
      <c r="H62" s="7">
        <v>1438.35</v>
      </c>
      <c r="I62" s="7">
        <v>1398.5340000000001</v>
      </c>
      <c r="J62" s="7">
        <v>1612.6510000000001</v>
      </c>
      <c r="K62" s="7">
        <v>1677.6559999999999</v>
      </c>
      <c r="L62" s="7">
        <v>1611.2270000000001</v>
      </c>
      <c r="M62" s="7">
        <v>1572.912</v>
      </c>
      <c r="N62" s="7">
        <v>1562.644</v>
      </c>
      <c r="O62" s="7">
        <v>1567.799</v>
      </c>
      <c r="P62" s="7">
        <v>1319.6510000000001</v>
      </c>
      <c r="R62" s="5">
        <f t="shared" si="0"/>
        <v>1504.3473571428569</v>
      </c>
      <c r="S62" s="5">
        <f t="shared" si="1"/>
        <v>35.7952290299053</v>
      </c>
      <c r="U62" s="7">
        <v>65</v>
      </c>
      <c r="V62" s="7">
        <v>1391.5239999999999</v>
      </c>
      <c r="X62" s="7">
        <v>1169.4670000000001</v>
      </c>
      <c r="Y62" s="7">
        <v>1455.202</v>
      </c>
      <c r="Z62" s="7">
        <v>1675.8810000000001</v>
      </c>
      <c r="AA62" s="7">
        <v>1487.318</v>
      </c>
      <c r="AB62" s="7">
        <v>1366.0429999999999</v>
      </c>
      <c r="AC62" s="7">
        <v>1400.924</v>
      </c>
      <c r="AD62" s="7">
        <v>1606.518</v>
      </c>
      <c r="AE62" s="7">
        <v>1317.89</v>
      </c>
      <c r="AF62" s="7">
        <v>1542.9490000000001</v>
      </c>
      <c r="AH62" s="7">
        <v>1702.7380000000001</v>
      </c>
      <c r="AJ62" s="7">
        <v>1390.9069999999999</v>
      </c>
      <c r="AL62" s="6">
        <f t="shared" si="2"/>
        <v>1493.6543333333336</v>
      </c>
      <c r="AM62" s="6">
        <f t="shared" si="3"/>
        <v>60.258659455532026</v>
      </c>
    </row>
    <row r="63" spans="1:39" x14ac:dyDescent="0.2">
      <c r="A63" s="7">
        <v>66.25</v>
      </c>
      <c r="B63" s="7">
        <v>1457.1030000000001</v>
      </c>
      <c r="D63" s="7">
        <v>1461.1669999999999</v>
      </c>
      <c r="E63" s="7">
        <v>1460.193</v>
      </c>
      <c r="F63" s="7">
        <v>1673.1849999999999</v>
      </c>
      <c r="G63" s="7">
        <v>1245.3969999999999</v>
      </c>
      <c r="H63" s="7">
        <v>1436.9849999999999</v>
      </c>
      <c r="I63" s="7">
        <v>1394.0609999999999</v>
      </c>
      <c r="J63" s="7">
        <v>1622.24</v>
      </c>
      <c r="K63" s="7">
        <v>1665.761</v>
      </c>
      <c r="L63" s="7">
        <v>1612.47</v>
      </c>
      <c r="M63" s="7">
        <v>1578.306</v>
      </c>
      <c r="N63" s="7">
        <v>1580.347</v>
      </c>
      <c r="O63" s="7">
        <v>1587.7729999999999</v>
      </c>
      <c r="P63" s="7">
        <v>1317.633</v>
      </c>
      <c r="R63" s="5">
        <f t="shared" si="0"/>
        <v>1506.6157857142859</v>
      </c>
      <c r="S63" s="5">
        <f t="shared" si="1"/>
        <v>34.9998276857891</v>
      </c>
      <c r="U63" s="7">
        <v>66.25</v>
      </c>
      <c r="V63" s="7">
        <v>1381.489</v>
      </c>
      <c r="X63" s="7">
        <v>1173.327</v>
      </c>
      <c r="Y63" s="7">
        <v>1444.56</v>
      </c>
      <c r="Z63" s="7">
        <v>1674.779</v>
      </c>
      <c r="AA63" s="7">
        <v>1483.587</v>
      </c>
      <c r="AB63" s="7">
        <v>1371.3</v>
      </c>
      <c r="AC63" s="7">
        <v>1402.761</v>
      </c>
      <c r="AD63" s="7">
        <v>1606.742</v>
      </c>
      <c r="AE63" s="7">
        <v>1308.26</v>
      </c>
      <c r="AF63" s="7">
        <v>1528.518</v>
      </c>
      <c r="AH63" s="7">
        <v>1703.855</v>
      </c>
      <c r="AJ63" s="7">
        <v>1475.5920000000001</v>
      </c>
      <c r="AL63" s="6">
        <f t="shared" si="2"/>
        <v>1504.2880000000002</v>
      </c>
      <c r="AM63" s="6">
        <f t="shared" si="3"/>
        <v>57.870277758103086</v>
      </c>
    </row>
    <row r="64" spans="1:39" x14ac:dyDescent="0.2">
      <c r="A64" s="7">
        <v>67.5</v>
      </c>
      <c r="B64" s="7">
        <v>1461.4290000000001</v>
      </c>
      <c r="D64" s="7">
        <v>1474.152</v>
      </c>
      <c r="E64" s="7">
        <v>1495.7370000000001</v>
      </c>
      <c r="F64" s="7">
        <v>1659.347</v>
      </c>
      <c r="G64" s="7">
        <v>1242.5609999999999</v>
      </c>
      <c r="H64" s="7">
        <v>1432.73</v>
      </c>
      <c r="I64" s="7">
        <v>1350.5160000000001</v>
      </c>
      <c r="J64" s="7">
        <v>1639.2560000000001</v>
      </c>
      <c r="K64" s="7">
        <v>1678.8209999999999</v>
      </c>
      <c r="L64" s="7">
        <v>1622.0340000000001</v>
      </c>
      <c r="M64" s="7">
        <v>1606.9349999999999</v>
      </c>
      <c r="N64" s="7">
        <v>1587.3209999999999</v>
      </c>
      <c r="O64" s="7">
        <v>1593.384</v>
      </c>
      <c r="P64" s="7">
        <v>1332.818</v>
      </c>
      <c r="R64" s="5">
        <f t="shared" si="0"/>
        <v>1512.6457857142855</v>
      </c>
      <c r="S64" s="5">
        <f t="shared" si="1"/>
        <v>36.348748835758286</v>
      </c>
      <c r="U64" s="7">
        <v>67.5</v>
      </c>
      <c r="V64" s="7">
        <v>1379.893</v>
      </c>
      <c r="X64" s="7">
        <v>1183.547</v>
      </c>
      <c r="Y64" s="7">
        <v>1443.9780000000001</v>
      </c>
      <c r="Z64" s="7">
        <v>1676.01</v>
      </c>
      <c r="AA64" s="7">
        <v>1483.7270000000001</v>
      </c>
      <c r="AB64" s="7">
        <v>1357.65</v>
      </c>
      <c r="AC64" s="7">
        <v>1395.902</v>
      </c>
      <c r="AD64" s="7">
        <v>1614.086</v>
      </c>
      <c r="AE64" s="7">
        <v>1299.751</v>
      </c>
      <c r="AF64" s="7">
        <v>1529.796</v>
      </c>
      <c r="AH64" s="7">
        <v>1715.933</v>
      </c>
      <c r="AJ64" s="7">
        <v>1510.425</v>
      </c>
      <c r="AL64" s="6">
        <f t="shared" si="2"/>
        <v>1510.9821666666667</v>
      </c>
      <c r="AM64" s="6">
        <f t="shared" si="3"/>
        <v>60.786940983195109</v>
      </c>
    </row>
    <row r="65" spans="1:39" x14ac:dyDescent="0.2">
      <c r="A65" s="7">
        <v>68.75</v>
      </c>
      <c r="B65" s="7">
        <v>1464.943</v>
      </c>
      <c r="D65" s="7">
        <v>1488.53</v>
      </c>
      <c r="E65" s="7">
        <v>1495.125</v>
      </c>
      <c r="F65" s="7">
        <v>1638.556</v>
      </c>
      <c r="G65" s="7">
        <v>1233.1279999999999</v>
      </c>
      <c r="H65" s="7">
        <v>1444.7049999999999</v>
      </c>
      <c r="I65" s="7">
        <v>1384.0730000000001</v>
      </c>
      <c r="J65" s="7">
        <v>1656.925</v>
      </c>
      <c r="K65" s="7">
        <v>1680.9970000000001</v>
      </c>
      <c r="L65" s="7">
        <v>1622.6079999999999</v>
      </c>
      <c r="M65" s="7">
        <v>1610.163</v>
      </c>
      <c r="N65" s="7">
        <v>1596.509</v>
      </c>
      <c r="O65" s="7">
        <v>1600.703</v>
      </c>
      <c r="P65" s="7">
        <v>1344.0650000000001</v>
      </c>
      <c r="R65" s="5">
        <f t="shared" si="0"/>
        <v>1518.6450000000002</v>
      </c>
      <c r="S65" s="5">
        <f t="shared" si="1"/>
        <v>35.684610118938657</v>
      </c>
      <c r="U65" s="7">
        <v>68.75</v>
      </c>
      <c r="V65" s="7">
        <v>1379.9380000000001</v>
      </c>
      <c r="X65" s="7">
        <v>1182.375</v>
      </c>
      <c r="Y65" s="7">
        <v>1450.4929999999999</v>
      </c>
      <c r="Z65" s="7">
        <v>1683.3320000000001</v>
      </c>
      <c r="AA65" s="7">
        <v>1484.85</v>
      </c>
      <c r="AB65" s="7">
        <v>1351.893</v>
      </c>
      <c r="AC65" s="7">
        <v>1393.857</v>
      </c>
      <c r="AD65" s="7">
        <v>1613.0319999999999</v>
      </c>
      <c r="AE65" s="7">
        <v>1289.5830000000001</v>
      </c>
      <c r="AF65" s="7">
        <v>1537.8710000000001</v>
      </c>
      <c r="AH65" s="7">
        <v>1711.3679999999999</v>
      </c>
      <c r="AJ65" s="7">
        <v>1542.758</v>
      </c>
      <c r="AL65" s="6">
        <f t="shared" si="2"/>
        <v>1514.7448333333332</v>
      </c>
      <c r="AM65" s="6">
        <f t="shared" si="3"/>
        <v>61.901080585838265</v>
      </c>
    </row>
    <row r="66" spans="1:39" x14ac:dyDescent="0.2">
      <c r="A66" s="7">
        <v>70</v>
      </c>
      <c r="B66" s="7">
        <v>1451.2360000000001</v>
      </c>
      <c r="D66" s="7">
        <v>1477.1030000000001</v>
      </c>
      <c r="E66" s="7">
        <v>1462.473</v>
      </c>
      <c r="F66" s="7">
        <v>1632.345</v>
      </c>
      <c r="G66" s="7">
        <v>1229.7550000000001</v>
      </c>
      <c r="H66" s="7">
        <v>1439.9079999999999</v>
      </c>
      <c r="I66" s="7">
        <v>1389.2260000000001</v>
      </c>
      <c r="J66" s="7">
        <v>1661.7449999999999</v>
      </c>
      <c r="K66" s="7">
        <v>1671.423</v>
      </c>
      <c r="L66" s="7">
        <v>1612.8320000000001</v>
      </c>
      <c r="M66" s="7">
        <v>1613.8050000000001</v>
      </c>
      <c r="N66" s="7">
        <v>1590.1990000000001</v>
      </c>
      <c r="O66" s="7">
        <v>1600.674</v>
      </c>
      <c r="P66" s="7">
        <v>1344.7329999999999</v>
      </c>
      <c r="R66" s="5">
        <f t="shared" si="0"/>
        <v>1512.6755000000001</v>
      </c>
      <c r="S66" s="5">
        <f t="shared" si="1"/>
        <v>35.710949608213014</v>
      </c>
      <c r="U66" s="7">
        <v>70</v>
      </c>
      <c r="V66" s="7">
        <v>1364.383</v>
      </c>
      <c r="X66" s="7">
        <v>1170.4739999999999</v>
      </c>
      <c r="Y66" s="7">
        <v>1434.8579999999999</v>
      </c>
      <c r="Z66" s="7">
        <v>1677.298</v>
      </c>
      <c r="AA66" s="7">
        <v>1474.904</v>
      </c>
      <c r="AB66" s="7">
        <v>1336.347</v>
      </c>
      <c r="AC66" s="7">
        <v>1391.8009999999999</v>
      </c>
      <c r="AD66" s="7">
        <v>1594.22</v>
      </c>
      <c r="AE66" s="7">
        <v>1301.559</v>
      </c>
      <c r="AF66" s="7">
        <v>1532.0309999999999</v>
      </c>
      <c r="AH66" s="7">
        <v>1704.069</v>
      </c>
      <c r="AJ66" s="7">
        <v>1554.655</v>
      </c>
      <c r="AL66" s="6">
        <f t="shared" si="2"/>
        <v>1513.0558333333336</v>
      </c>
      <c r="AM66" s="6">
        <f t="shared" si="3"/>
        <v>59.047394671521666</v>
      </c>
    </row>
    <row r="67" spans="1:39" x14ac:dyDescent="0.2">
      <c r="A67" s="7">
        <v>71.25</v>
      </c>
      <c r="B67" s="7">
        <v>1440.7249999999999</v>
      </c>
      <c r="D67" s="7">
        <v>1461.3989999999999</v>
      </c>
      <c r="E67" s="7">
        <v>1410.6659999999999</v>
      </c>
      <c r="F67" s="7">
        <v>1631.057</v>
      </c>
      <c r="G67" s="7">
        <v>1221.335</v>
      </c>
      <c r="H67" s="7">
        <v>1423.22</v>
      </c>
      <c r="I67" s="7">
        <v>1330.41</v>
      </c>
      <c r="J67" s="7">
        <v>1664.172</v>
      </c>
      <c r="K67" s="7">
        <v>1659.07</v>
      </c>
      <c r="L67" s="7">
        <v>1603.8689999999999</v>
      </c>
      <c r="M67" s="7">
        <v>1614.729</v>
      </c>
      <c r="N67" s="7">
        <v>1579.777</v>
      </c>
      <c r="O67" s="7">
        <v>1591.123</v>
      </c>
      <c r="P67" s="7">
        <v>1333.575</v>
      </c>
      <c r="R67" s="5">
        <f t="shared" si="0"/>
        <v>1497.5090714285718</v>
      </c>
      <c r="S67" s="5">
        <f t="shared" si="1"/>
        <v>37.865841167519086</v>
      </c>
      <c r="U67" s="7">
        <v>71.25</v>
      </c>
      <c r="V67" s="7">
        <v>1353.0309999999999</v>
      </c>
      <c r="X67" s="7">
        <v>1158.2670000000001</v>
      </c>
      <c r="Y67" s="7">
        <v>1434.5050000000001</v>
      </c>
      <c r="Z67" s="7">
        <v>1664.8440000000001</v>
      </c>
      <c r="AA67" s="7">
        <v>1457.241</v>
      </c>
      <c r="AB67" s="7">
        <v>1333.8320000000001</v>
      </c>
      <c r="AC67" s="7">
        <v>1369.874</v>
      </c>
      <c r="AD67" s="7">
        <v>1577.288</v>
      </c>
      <c r="AE67" s="7">
        <v>1284.7090000000001</v>
      </c>
      <c r="AF67" s="7">
        <v>1516.4739999999999</v>
      </c>
      <c r="AH67" s="7">
        <v>1689.674</v>
      </c>
      <c r="AJ67" s="7">
        <v>1357.95</v>
      </c>
      <c r="AL67" s="6">
        <f t="shared" si="2"/>
        <v>1465.9948333333334</v>
      </c>
      <c r="AM67" s="6">
        <f t="shared" si="3"/>
        <v>62.913734269721338</v>
      </c>
    </row>
    <row r="68" spans="1:39" x14ac:dyDescent="0.2">
      <c r="A68" s="7">
        <v>72.5</v>
      </c>
      <c r="B68" s="7">
        <v>1424.3030000000001</v>
      </c>
      <c r="D68" s="7">
        <v>1447.373</v>
      </c>
      <c r="E68" s="7">
        <v>1409.338</v>
      </c>
      <c r="F68" s="7">
        <v>1620.009</v>
      </c>
      <c r="G68" s="7">
        <v>1210.0540000000001</v>
      </c>
      <c r="H68" s="7">
        <v>1411.433</v>
      </c>
      <c r="I68" s="7">
        <v>1307.954</v>
      </c>
      <c r="J68" s="7">
        <v>1636.605</v>
      </c>
      <c r="K68" s="7">
        <v>1647.2739999999999</v>
      </c>
      <c r="L68" s="7">
        <v>1593.088</v>
      </c>
      <c r="M68" s="7">
        <v>1597.7429999999999</v>
      </c>
      <c r="N68" s="7">
        <v>1556.4459999999999</v>
      </c>
      <c r="O68" s="7">
        <v>1577.9760000000001</v>
      </c>
      <c r="P68" s="7">
        <v>1330.2059999999999</v>
      </c>
      <c r="R68" s="5">
        <f t="shared" si="0"/>
        <v>1483.5572857142854</v>
      </c>
      <c r="S68" s="5">
        <f t="shared" si="1"/>
        <v>37.269202931623795</v>
      </c>
      <c r="U68" s="7">
        <v>72.5</v>
      </c>
      <c r="V68" s="7">
        <v>1329.048</v>
      </c>
      <c r="X68" s="7">
        <v>1163.462</v>
      </c>
      <c r="Y68" s="7">
        <v>1432.614</v>
      </c>
      <c r="Z68" s="7">
        <v>1646.4749999999999</v>
      </c>
      <c r="AA68" s="7">
        <v>1437.614</v>
      </c>
      <c r="AB68" s="7">
        <v>1334.7619999999999</v>
      </c>
      <c r="AC68" s="7">
        <v>1356.9059999999999</v>
      </c>
      <c r="AD68" s="7">
        <v>1570.0930000000001</v>
      </c>
      <c r="AE68" s="7">
        <v>1263.0730000000001</v>
      </c>
      <c r="AF68" s="7">
        <v>1509.903</v>
      </c>
      <c r="AH68" s="7">
        <v>1678.998</v>
      </c>
      <c r="AJ68" s="7">
        <v>1381.3119999999999</v>
      </c>
      <c r="AL68" s="6">
        <f t="shared" si="2"/>
        <v>1460.0474999999999</v>
      </c>
      <c r="AM68" s="6">
        <f t="shared" si="3"/>
        <v>62.761799961839863</v>
      </c>
    </row>
    <row r="69" spans="1:39" x14ac:dyDescent="0.2">
      <c r="A69" s="7">
        <v>73.75</v>
      </c>
      <c r="B69" s="7">
        <v>1424.4280000000001</v>
      </c>
      <c r="D69" s="7">
        <v>1446.596</v>
      </c>
      <c r="E69" s="7">
        <v>1430.174</v>
      </c>
      <c r="F69" s="7">
        <v>1618.22</v>
      </c>
      <c r="G69" s="7">
        <v>1212.8820000000001</v>
      </c>
      <c r="H69" s="7">
        <v>1404.644</v>
      </c>
      <c r="I69" s="7">
        <v>1322.6489999999999</v>
      </c>
      <c r="J69" s="7">
        <v>1617.2550000000001</v>
      </c>
      <c r="K69" s="7">
        <v>1639.0260000000001</v>
      </c>
      <c r="L69" s="7">
        <v>1584.11</v>
      </c>
      <c r="M69" s="7">
        <v>1576.211</v>
      </c>
      <c r="N69" s="7">
        <v>1551.759</v>
      </c>
      <c r="O69" s="7">
        <v>1568.2460000000001</v>
      </c>
      <c r="P69" s="7">
        <v>1327.222</v>
      </c>
      <c r="R69" s="5">
        <f t="shared" ref="R69:R96" si="4">AVERAGE(B69:P69)</f>
        <v>1480.2444285714287</v>
      </c>
      <c r="S69" s="5">
        <f t="shared" ref="S69:S96" si="5">STDEV(B69:P69)/SQRT(COUNT(B69:P69))</f>
        <v>35.400534445694696</v>
      </c>
      <c r="U69" s="7">
        <v>73.75</v>
      </c>
      <c r="V69" s="7">
        <v>1321.2260000000001</v>
      </c>
      <c r="X69" s="7">
        <v>1192.7670000000001</v>
      </c>
      <c r="Y69" s="7">
        <v>1419.85</v>
      </c>
      <c r="Z69" s="7">
        <v>1647.076</v>
      </c>
      <c r="AA69" s="7">
        <v>1443.5170000000001</v>
      </c>
      <c r="AB69" s="7">
        <v>1334.8530000000001</v>
      </c>
      <c r="AC69" s="7">
        <v>1355.4659999999999</v>
      </c>
      <c r="AD69" s="7">
        <v>1564.07</v>
      </c>
      <c r="AE69" s="7">
        <v>1274.7159999999999</v>
      </c>
      <c r="AF69" s="7">
        <v>1512.846</v>
      </c>
      <c r="AH69" s="7">
        <v>1672.9970000000001</v>
      </c>
      <c r="AJ69" s="7">
        <v>1403.796</v>
      </c>
      <c r="AL69" s="6">
        <f t="shared" ref="AL69:AL96" si="6">AVERAGE(AC69:AJ69)</f>
        <v>1463.9818333333333</v>
      </c>
      <c r="AM69" s="6">
        <f t="shared" ref="AM69:AM96" si="7">STDEV(AC69:AJ69)/SQRT(COUNT(AC69:AJ69))</f>
        <v>59.808657141708565</v>
      </c>
    </row>
    <row r="70" spans="1:39" x14ac:dyDescent="0.2">
      <c r="A70" s="7">
        <v>75</v>
      </c>
      <c r="B70" s="7">
        <v>1470.9090000000001</v>
      </c>
      <c r="D70" s="7">
        <v>1500.624</v>
      </c>
      <c r="E70" s="7">
        <v>1484.3050000000001</v>
      </c>
      <c r="F70" s="7">
        <v>1677.6669999999999</v>
      </c>
      <c r="G70" s="7">
        <v>1245.1790000000001</v>
      </c>
      <c r="H70" s="7">
        <v>1471.261</v>
      </c>
      <c r="I70" s="7">
        <v>1455.9760000000001</v>
      </c>
      <c r="J70" s="7">
        <v>1665.037</v>
      </c>
      <c r="K70" s="7">
        <v>1674.52</v>
      </c>
      <c r="L70" s="7">
        <v>1622.0630000000001</v>
      </c>
      <c r="M70" s="7">
        <v>1612.463</v>
      </c>
      <c r="N70" s="7">
        <v>1610.789</v>
      </c>
      <c r="O70" s="7">
        <v>1603.741</v>
      </c>
      <c r="P70" s="7">
        <v>1349.9069999999999</v>
      </c>
      <c r="R70" s="5">
        <f t="shared" si="4"/>
        <v>1531.7457857142861</v>
      </c>
      <c r="S70" s="5">
        <f t="shared" si="5"/>
        <v>34.534047375348884</v>
      </c>
      <c r="U70" s="7">
        <v>75</v>
      </c>
      <c r="V70" s="7">
        <v>1373.347</v>
      </c>
      <c r="X70" s="7">
        <v>1225.5530000000001</v>
      </c>
      <c r="Y70" s="7">
        <v>1464.6769999999999</v>
      </c>
      <c r="Z70" s="7">
        <v>1685.952</v>
      </c>
      <c r="AA70" s="7">
        <v>1530.586</v>
      </c>
      <c r="AB70" s="7">
        <v>1380.49</v>
      </c>
      <c r="AC70" s="7">
        <v>1400.825</v>
      </c>
      <c r="AD70" s="7">
        <v>1610.5930000000001</v>
      </c>
      <c r="AE70" s="7">
        <v>1306.7270000000001</v>
      </c>
      <c r="AF70" s="7">
        <v>1577.9269999999999</v>
      </c>
      <c r="AH70" s="7">
        <v>1738.6220000000001</v>
      </c>
      <c r="AJ70" s="7">
        <v>1564.4169999999999</v>
      </c>
      <c r="AL70" s="6">
        <f t="shared" si="6"/>
        <v>1533.1851666666669</v>
      </c>
      <c r="AM70" s="6">
        <f t="shared" si="7"/>
        <v>63.239238658930034</v>
      </c>
    </row>
    <row r="71" spans="1:39" x14ac:dyDescent="0.2">
      <c r="A71" s="7">
        <v>76.25</v>
      </c>
      <c r="B71" s="7">
        <v>1608.0070000000001</v>
      </c>
      <c r="D71" s="7">
        <v>1621.136</v>
      </c>
      <c r="E71" s="7">
        <v>1621.4860000000001</v>
      </c>
      <c r="F71" s="7">
        <v>1802.577</v>
      </c>
      <c r="G71" s="7">
        <v>1354.2729999999999</v>
      </c>
      <c r="H71" s="7">
        <v>1614.5930000000001</v>
      </c>
      <c r="I71" s="7">
        <v>1579.2940000000001</v>
      </c>
      <c r="J71" s="7">
        <v>1805.7470000000001</v>
      </c>
      <c r="K71" s="7">
        <v>1791.614</v>
      </c>
      <c r="L71" s="7">
        <v>1753.952</v>
      </c>
      <c r="M71" s="7">
        <v>1761.355</v>
      </c>
      <c r="N71" s="7">
        <v>1738.11</v>
      </c>
      <c r="O71" s="7">
        <v>1727.5920000000001</v>
      </c>
      <c r="P71" s="7">
        <v>1455.489</v>
      </c>
      <c r="R71" s="5">
        <f t="shared" si="4"/>
        <v>1659.6589285714288</v>
      </c>
      <c r="S71" s="5">
        <f t="shared" si="5"/>
        <v>36.179245666005059</v>
      </c>
      <c r="U71" s="7">
        <v>76.25</v>
      </c>
      <c r="V71" s="7">
        <v>1510.5889999999999</v>
      </c>
      <c r="X71" s="7">
        <v>1325.03</v>
      </c>
      <c r="Y71" s="7">
        <v>1594.011</v>
      </c>
      <c r="Z71" s="7">
        <v>1817.9739999999999</v>
      </c>
      <c r="AA71" s="7">
        <v>1669.5139999999999</v>
      </c>
      <c r="AB71" s="7">
        <v>1512.6389999999999</v>
      </c>
      <c r="AC71" s="7">
        <v>1550.905</v>
      </c>
      <c r="AD71" s="7">
        <v>1760.4369999999999</v>
      </c>
      <c r="AE71" s="7">
        <v>1426.1389999999999</v>
      </c>
      <c r="AF71" s="7">
        <v>1707.3109999999999</v>
      </c>
      <c r="AH71" s="7">
        <v>1876.0820000000001</v>
      </c>
      <c r="AJ71" s="7">
        <v>1792.0989999999999</v>
      </c>
      <c r="AL71" s="6">
        <f t="shared" si="6"/>
        <v>1685.4955</v>
      </c>
      <c r="AM71" s="6">
        <f t="shared" si="7"/>
        <v>68.107772791730639</v>
      </c>
    </row>
    <row r="72" spans="1:39" x14ac:dyDescent="0.2">
      <c r="A72" s="7">
        <v>77.5</v>
      </c>
      <c r="B72" s="7">
        <v>1673.153</v>
      </c>
      <c r="D72" s="7">
        <v>1660.172</v>
      </c>
      <c r="E72" s="7">
        <v>1664.961</v>
      </c>
      <c r="F72" s="7">
        <v>1847.8989999999999</v>
      </c>
      <c r="G72" s="7">
        <v>1408.703</v>
      </c>
      <c r="H72" s="7">
        <v>1647.932</v>
      </c>
      <c r="I72" s="7">
        <v>1632.297</v>
      </c>
      <c r="J72" s="7">
        <v>1869.298</v>
      </c>
      <c r="K72" s="7">
        <v>1855.4670000000001</v>
      </c>
      <c r="L72" s="7">
        <v>1803.3009999999999</v>
      </c>
      <c r="M72" s="7">
        <v>1829.0229999999999</v>
      </c>
      <c r="N72" s="7">
        <v>1764.162</v>
      </c>
      <c r="O72" s="7">
        <v>1773.3989999999999</v>
      </c>
      <c r="P72" s="7">
        <v>1503.0519999999999</v>
      </c>
      <c r="R72" s="5">
        <f t="shared" si="4"/>
        <v>1709.4870714285717</v>
      </c>
      <c r="S72" s="5">
        <f t="shared" si="5"/>
        <v>36.670499760521679</v>
      </c>
      <c r="U72" s="7">
        <v>77.5</v>
      </c>
      <c r="V72" s="7">
        <v>1551.0409999999999</v>
      </c>
      <c r="X72" s="7">
        <v>1338.405</v>
      </c>
      <c r="Y72" s="7">
        <v>1653.498</v>
      </c>
      <c r="Z72" s="7">
        <v>1893.0260000000001</v>
      </c>
      <c r="AA72" s="7">
        <v>1690.27</v>
      </c>
      <c r="AB72" s="7">
        <v>1583.2539999999999</v>
      </c>
      <c r="AC72" s="7">
        <v>1645.578</v>
      </c>
      <c r="AD72" s="7">
        <v>1832.2919999999999</v>
      </c>
      <c r="AE72" s="7">
        <v>1470.732</v>
      </c>
      <c r="AF72" s="7">
        <v>1752.9780000000001</v>
      </c>
      <c r="AH72" s="7">
        <v>1942.538</v>
      </c>
      <c r="AJ72" s="7">
        <v>1802.597</v>
      </c>
      <c r="AL72" s="6">
        <f t="shared" si="6"/>
        <v>1741.1191666666666</v>
      </c>
      <c r="AM72" s="6">
        <f t="shared" si="7"/>
        <v>67.091858002004329</v>
      </c>
    </row>
    <row r="73" spans="1:39" x14ac:dyDescent="0.2">
      <c r="A73" s="7">
        <v>78.75</v>
      </c>
      <c r="B73" s="7">
        <v>1617.5509999999999</v>
      </c>
      <c r="D73" s="7">
        <v>1597.9870000000001</v>
      </c>
      <c r="E73" s="7">
        <v>1601.7</v>
      </c>
      <c r="F73" s="7">
        <v>1788.5429999999999</v>
      </c>
      <c r="G73" s="7">
        <v>1368.261</v>
      </c>
      <c r="H73" s="7">
        <v>1579.8050000000001</v>
      </c>
      <c r="I73" s="7">
        <v>1554.5129999999999</v>
      </c>
      <c r="J73" s="7">
        <v>1810.8019999999999</v>
      </c>
      <c r="K73" s="7">
        <v>1791.89</v>
      </c>
      <c r="L73" s="7">
        <v>1746.9449999999999</v>
      </c>
      <c r="M73" s="7">
        <v>1773.85</v>
      </c>
      <c r="N73" s="7">
        <v>1704.673</v>
      </c>
      <c r="O73" s="7">
        <v>1714.1610000000001</v>
      </c>
      <c r="P73" s="7">
        <v>1453.71</v>
      </c>
      <c r="R73" s="5">
        <f t="shared" si="4"/>
        <v>1650.3136428571427</v>
      </c>
      <c r="S73" s="5">
        <f t="shared" si="5"/>
        <v>35.938644334936249</v>
      </c>
      <c r="U73" s="7">
        <v>78.75</v>
      </c>
      <c r="V73" s="7">
        <v>1503.5409999999999</v>
      </c>
      <c r="X73" s="7">
        <v>1288.579</v>
      </c>
      <c r="Y73" s="7">
        <v>1604.02</v>
      </c>
      <c r="Z73" s="7">
        <v>1838.0619999999999</v>
      </c>
      <c r="AA73" s="7">
        <v>1642.68</v>
      </c>
      <c r="AB73" s="7">
        <v>1522.5329999999999</v>
      </c>
      <c r="AC73" s="7">
        <v>1581.664</v>
      </c>
      <c r="AD73" s="7">
        <v>1777.345</v>
      </c>
      <c r="AE73" s="7">
        <v>1425.5350000000001</v>
      </c>
      <c r="AF73" s="7">
        <v>1700.9949999999999</v>
      </c>
      <c r="AH73" s="7">
        <v>1872.521</v>
      </c>
      <c r="AJ73" s="7">
        <v>1719.354</v>
      </c>
      <c r="AL73" s="6">
        <f t="shared" si="6"/>
        <v>1679.5689999999997</v>
      </c>
      <c r="AM73" s="6">
        <f t="shared" si="7"/>
        <v>64.018539596484601</v>
      </c>
    </row>
    <row r="74" spans="1:39" x14ac:dyDescent="0.2">
      <c r="A74" s="7">
        <v>80</v>
      </c>
      <c r="B74" s="7">
        <v>1567.319</v>
      </c>
      <c r="D74" s="7">
        <v>1567.057</v>
      </c>
      <c r="E74" s="7">
        <v>1582.93</v>
      </c>
      <c r="F74" s="7">
        <v>1772.877</v>
      </c>
      <c r="G74" s="7">
        <v>1322.183</v>
      </c>
      <c r="H74" s="7">
        <v>1556.6790000000001</v>
      </c>
      <c r="I74" s="7">
        <v>1626.152</v>
      </c>
      <c r="J74" s="7">
        <v>1750.374</v>
      </c>
      <c r="K74" s="7">
        <v>1744.6690000000001</v>
      </c>
      <c r="L74" s="7">
        <v>1689.48</v>
      </c>
      <c r="M74" s="7">
        <v>1736.127</v>
      </c>
      <c r="N74" s="7">
        <v>1669.3530000000001</v>
      </c>
      <c r="O74" s="7">
        <v>1672.3530000000001</v>
      </c>
      <c r="P74" s="7">
        <v>1409.5909999999999</v>
      </c>
      <c r="R74" s="5">
        <f t="shared" si="4"/>
        <v>1619.0817142857143</v>
      </c>
      <c r="S74" s="5">
        <f t="shared" si="5"/>
        <v>35.031819104393541</v>
      </c>
      <c r="U74" s="7">
        <v>80</v>
      </c>
      <c r="V74" s="7">
        <v>1466.1780000000001</v>
      </c>
      <c r="X74" s="7">
        <v>1269.279</v>
      </c>
      <c r="Y74" s="7">
        <v>1569.4469999999999</v>
      </c>
      <c r="Z74" s="7">
        <v>1783.4469999999999</v>
      </c>
      <c r="AA74" s="7">
        <v>1628.8530000000001</v>
      </c>
      <c r="AB74" s="7">
        <v>1442.7909999999999</v>
      </c>
      <c r="AC74" s="7">
        <v>1501.0930000000001</v>
      </c>
      <c r="AD74" s="7">
        <v>1735.066</v>
      </c>
      <c r="AE74" s="7">
        <v>1408.7819999999999</v>
      </c>
      <c r="AF74" s="7">
        <v>1664.5630000000001</v>
      </c>
      <c r="AH74" s="7">
        <v>1844.932</v>
      </c>
      <c r="AJ74" s="7">
        <v>1689.6690000000001</v>
      </c>
      <c r="AL74" s="6">
        <f t="shared" si="6"/>
        <v>1640.6841666666667</v>
      </c>
      <c r="AM74" s="6">
        <f t="shared" si="7"/>
        <v>65.02797582036861</v>
      </c>
    </row>
    <row r="75" spans="1:39" x14ac:dyDescent="0.2">
      <c r="A75" s="7">
        <v>81.25</v>
      </c>
      <c r="B75" s="7">
        <v>1693.2380000000001</v>
      </c>
      <c r="D75" s="7">
        <v>1778.702</v>
      </c>
      <c r="E75" s="7">
        <v>1824.433</v>
      </c>
      <c r="F75" s="7">
        <v>2027.7950000000001</v>
      </c>
      <c r="G75" s="7">
        <v>1457.825</v>
      </c>
      <c r="H75" s="7">
        <v>1817.932</v>
      </c>
      <c r="I75" s="7">
        <v>2065.8000000000002</v>
      </c>
      <c r="J75" s="7">
        <v>1869.7750000000001</v>
      </c>
      <c r="K75" s="7">
        <v>1841.7329999999999</v>
      </c>
      <c r="L75" s="7">
        <v>1799.886</v>
      </c>
      <c r="M75" s="7">
        <v>1866.6210000000001</v>
      </c>
      <c r="N75" s="7">
        <v>1754.712</v>
      </c>
      <c r="O75" s="7">
        <v>1768.9090000000001</v>
      </c>
      <c r="P75" s="7">
        <v>1456.777</v>
      </c>
      <c r="R75" s="5">
        <f t="shared" si="4"/>
        <v>1787.4384285714284</v>
      </c>
      <c r="S75" s="5">
        <f t="shared" si="5"/>
        <v>45.816963402133773</v>
      </c>
      <c r="U75" s="7">
        <v>81.25</v>
      </c>
      <c r="V75" s="7">
        <v>1613.546</v>
      </c>
      <c r="X75" s="7">
        <v>1446.5719999999999</v>
      </c>
      <c r="Y75" s="7">
        <v>1765.374</v>
      </c>
      <c r="Z75" s="7">
        <v>1983.761</v>
      </c>
      <c r="AA75" s="7">
        <v>1860.4490000000001</v>
      </c>
      <c r="AB75" s="7">
        <v>1531.0409999999999</v>
      </c>
      <c r="AC75" s="7">
        <v>1636.884</v>
      </c>
      <c r="AD75" s="7">
        <v>1942.5709999999999</v>
      </c>
      <c r="AE75" s="7">
        <v>1551.335</v>
      </c>
      <c r="AF75" s="7">
        <v>1862.6389999999999</v>
      </c>
      <c r="AH75" s="7">
        <v>2026.068</v>
      </c>
      <c r="AJ75" s="7">
        <v>2040.09</v>
      </c>
      <c r="AL75" s="6">
        <f t="shared" si="6"/>
        <v>1843.2645</v>
      </c>
      <c r="AM75" s="6">
        <f t="shared" si="7"/>
        <v>83.707883540620003</v>
      </c>
    </row>
    <row r="76" spans="1:39" x14ac:dyDescent="0.2">
      <c r="A76" s="7">
        <v>82.5</v>
      </c>
      <c r="B76" s="7">
        <v>2197.163</v>
      </c>
      <c r="D76" s="7">
        <v>2344.9409999999998</v>
      </c>
      <c r="E76" s="7">
        <v>2539.9349999999999</v>
      </c>
      <c r="F76" s="7">
        <v>2671.027</v>
      </c>
      <c r="G76" s="7">
        <v>2025.2929999999999</v>
      </c>
      <c r="H76" s="7">
        <v>2582.279</v>
      </c>
      <c r="I76" s="7">
        <v>2813.5859999999998</v>
      </c>
      <c r="J76" s="7">
        <v>2429.2570000000001</v>
      </c>
      <c r="K76" s="7">
        <v>2291.2460000000001</v>
      </c>
      <c r="L76" s="7">
        <v>2261.777</v>
      </c>
      <c r="M76" s="7">
        <v>2329.2150000000001</v>
      </c>
      <c r="N76" s="7">
        <v>2247.011</v>
      </c>
      <c r="O76" s="7">
        <v>2170.6080000000002</v>
      </c>
      <c r="P76" s="7">
        <v>1737.067</v>
      </c>
      <c r="R76" s="5">
        <f t="shared" si="4"/>
        <v>2331.4575</v>
      </c>
      <c r="S76" s="5">
        <f t="shared" si="5"/>
        <v>72.945452094657654</v>
      </c>
      <c r="U76" s="7">
        <v>82.5</v>
      </c>
      <c r="V76" s="7">
        <v>2235.9690000000001</v>
      </c>
      <c r="X76" s="7">
        <v>1970.7909999999999</v>
      </c>
      <c r="Y76" s="7">
        <v>2379.5529999999999</v>
      </c>
      <c r="Z76" s="7">
        <v>2755.4580000000001</v>
      </c>
      <c r="AA76" s="7">
        <v>2554.194</v>
      </c>
      <c r="AB76" s="7">
        <v>2127.3560000000002</v>
      </c>
      <c r="AC76" s="7">
        <v>2311.7579999999998</v>
      </c>
      <c r="AD76" s="7">
        <v>2690.8119999999999</v>
      </c>
      <c r="AE76" s="7">
        <v>2103.9870000000001</v>
      </c>
      <c r="AF76" s="7">
        <v>2560.0129999999999</v>
      </c>
      <c r="AH76" s="7">
        <v>2708.55</v>
      </c>
      <c r="AJ76" s="7">
        <v>2706.884</v>
      </c>
      <c r="AL76" s="6">
        <f t="shared" si="6"/>
        <v>2513.6673333333333</v>
      </c>
      <c r="AM76" s="6">
        <f t="shared" si="7"/>
        <v>102.86648987876364</v>
      </c>
    </row>
    <row r="77" spans="1:39" x14ac:dyDescent="0.2">
      <c r="A77" s="7">
        <v>83.75</v>
      </c>
      <c r="B77" s="7">
        <v>2993.623</v>
      </c>
      <c r="D77" s="7">
        <v>3146.0830000000001</v>
      </c>
      <c r="E77" s="7">
        <v>3443.5140000000001</v>
      </c>
      <c r="F77" s="7">
        <v>3641.1529999999998</v>
      </c>
      <c r="G77" s="7">
        <v>2869.9459999999999</v>
      </c>
      <c r="H77" s="7">
        <v>3565.3330000000001</v>
      </c>
      <c r="I77" s="7">
        <v>3655.4090000000001</v>
      </c>
      <c r="J77" s="7">
        <v>3268.0250000000001</v>
      </c>
      <c r="K77" s="7">
        <v>2960.056</v>
      </c>
      <c r="L77" s="7">
        <v>2976.9839999999999</v>
      </c>
      <c r="M77" s="7">
        <v>3011.8270000000002</v>
      </c>
      <c r="N77" s="7">
        <v>2982.7939999999999</v>
      </c>
      <c r="O77" s="7">
        <v>2796.319</v>
      </c>
      <c r="P77" s="7">
        <v>2234.8939999999998</v>
      </c>
      <c r="R77" s="5">
        <f t="shared" si="4"/>
        <v>3110.4257142857145</v>
      </c>
      <c r="S77" s="5">
        <f t="shared" si="5"/>
        <v>102.86546040399345</v>
      </c>
      <c r="U77" s="7">
        <v>83.75</v>
      </c>
      <c r="V77" s="7">
        <v>3031.89</v>
      </c>
      <c r="X77" s="7">
        <v>2704.598</v>
      </c>
      <c r="Y77" s="7">
        <v>3212.3980000000001</v>
      </c>
      <c r="Z77" s="7">
        <v>3879.1579999999999</v>
      </c>
      <c r="AA77" s="7">
        <v>3478.3739999999998</v>
      </c>
      <c r="AB77" s="7">
        <v>3142.7440000000001</v>
      </c>
      <c r="AC77" s="7">
        <v>3356.799</v>
      </c>
      <c r="AD77" s="7">
        <v>3696.9949999999999</v>
      </c>
      <c r="AE77" s="7">
        <v>2918.3020000000001</v>
      </c>
      <c r="AF77" s="7">
        <v>3487.1979999999999</v>
      </c>
      <c r="AH77" s="7">
        <v>3721.8879999999999</v>
      </c>
      <c r="AJ77" s="7">
        <v>3649.221</v>
      </c>
      <c r="AL77" s="6">
        <f t="shared" si="6"/>
        <v>3471.7338333333337</v>
      </c>
      <c r="AM77" s="6">
        <f t="shared" si="7"/>
        <v>124.43972371538399</v>
      </c>
    </row>
    <row r="78" spans="1:39" x14ac:dyDescent="0.2">
      <c r="A78" s="7">
        <v>85</v>
      </c>
      <c r="B78" s="7">
        <v>3634.806</v>
      </c>
      <c r="D78" s="7">
        <v>3722.4279999999999</v>
      </c>
      <c r="E78" s="7">
        <v>4084.45</v>
      </c>
      <c r="F78" s="7">
        <v>4272.1170000000002</v>
      </c>
      <c r="G78" s="7">
        <v>3558.4969999999998</v>
      </c>
      <c r="H78" s="7">
        <v>4234.1170000000002</v>
      </c>
      <c r="I78" s="7">
        <v>4135.4629999999997</v>
      </c>
      <c r="J78" s="7">
        <v>3898.6280000000002</v>
      </c>
      <c r="K78" s="7">
        <v>3576.2310000000002</v>
      </c>
      <c r="L78" s="7">
        <v>3476.5639999999999</v>
      </c>
      <c r="M78" s="7">
        <v>3537.25</v>
      </c>
      <c r="N78" s="7">
        <v>3498.3240000000001</v>
      </c>
      <c r="O78" s="7">
        <v>3310.38</v>
      </c>
      <c r="P78" s="7">
        <v>2676.27</v>
      </c>
      <c r="R78" s="5">
        <f t="shared" si="4"/>
        <v>3686.8232142857137</v>
      </c>
      <c r="S78" s="5">
        <f t="shared" si="5"/>
        <v>113.48760316547252</v>
      </c>
      <c r="U78" s="7">
        <v>85</v>
      </c>
      <c r="V78" s="7">
        <v>3628.43</v>
      </c>
      <c r="X78" s="7">
        <v>3227.8879999999999</v>
      </c>
      <c r="Y78" s="7">
        <v>3926.8739999999998</v>
      </c>
      <c r="Z78" s="7">
        <v>4713.0550000000003</v>
      </c>
      <c r="AA78" s="7">
        <v>4108.8549999999996</v>
      </c>
      <c r="AB78" s="7">
        <v>4087.06</v>
      </c>
      <c r="AC78" s="7">
        <v>4354.1660000000002</v>
      </c>
      <c r="AD78" s="7">
        <v>4430.0110000000004</v>
      </c>
      <c r="AE78" s="7">
        <v>3471.7840000000001</v>
      </c>
      <c r="AF78" s="7">
        <v>4182.4560000000001</v>
      </c>
      <c r="AH78" s="7">
        <v>4525.6260000000002</v>
      </c>
      <c r="AJ78" s="7">
        <v>4277.268</v>
      </c>
      <c r="AL78" s="6">
        <f t="shared" si="6"/>
        <v>4206.8851666666669</v>
      </c>
      <c r="AM78" s="6">
        <f t="shared" si="7"/>
        <v>154.81136401535403</v>
      </c>
    </row>
    <row r="79" spans="1:39" x14ac:dyDescent="0.2">
      <c r="A79" s="7">
        <v>86.25</v>
      </c>
      <c r="B79" s="7">
        <v>3833.136</v>
      </c>
      <c r="D79" s="7">
        <v>3785.33</v>
      </c>
      <c r="E79" s="7">
        <v>4163.3370000000004</v>
      </c>
      <c r="F79" s="7">
        <v>4360.05</v>
      </c>
      <c r="G79" s="7">
        <v>3733.2190000000001</v>
      </c>
      <c r="H79" s="7">
        <v>4304.2879999999996</v>
      </c>
      <c r="I79" s="7">
        <v>4107.4809999999998</v>
      </c>
      <c r="J79" s="7">
        <v>3973.038</v>
      </c>
      <c r="K79" s="7">
        <v>3699.058</v>
      </c>
      <c r="L79" s="7">
        <v>3515.239</v>
      </c>
      <c r="M79" s="7">
        <v>3600.6570000000002</v>
      </c>
      <c r="N79" s="7">
        <v>3494.6109999999999</v>
      </c>
      <c r="O79" s="7">
        <v>3362.7150000000001</v>
      </c>
      <c r="P79" s="7">
        <v>2765.136</v>
      </c>
      <c r="R79" s="5">
        <f t="shared" si="4"/>
        <v>3764.0924999999997</v>
      </c>
      <c r="S79" s="5">
        <f t="shared" si="5"/>
        <v>112.38241138057008</v>
      </c>
      <c r="U79" s="7">
        <v>86.25</v>
      </c>
      <c r="V79" s="7">
        <v>3750.723</v>
      </c>
      <c r="X79" s="7">
        <v>3296.3829999999998</v>
      </c>
      <c r="Y79" s="7">
        <v>4097.3900000000003</v>
      </c>
      <c r="Z79" s="7">
        <v>4908.8729999999996</v>
      </c>
      <c r="AA79" s="7">
        <v>4137.2550000000001</v>
      </c>
      <c r="AB79" s="7">
        <v>4399.76</v>
      </c>
      <c r="AC79" s="7">
        <v>4707.83</v>
      </c>
      <c r="AD79" s="7">
        <v>4463.2780000000002</v>
      </c>
      <c r="AE79" s="7">
        <v>3541.7040000000002</v>
      </c>
      <c r="AF79" s="7">
        <v>4268.3609999999999</v>
      </c>
      <c r="AH79" s="7">
        <v>4630.9480000000003</v>
      </c>
      <c r="AJ79" s="7">
        <v>4353.6980000000003</v>
      </c>
      <c r="AL79" s="6">
        <f t="shared" si="6"/>
        <v>4327.6364999999996</v>
      </c>
      <c r="AM79" s="6">
        <f t="shared" si="7"/>
        <v>170.9606447144586</v>
      </c>
    </row>
    <row r="80" spans="1:39" x14ac:dyDescent="0.2">
      <c r="A80" s="7">
        <v>87.5</v>
      </c>
      <c r="B80" s="7">
        <v>3462</v>
      </c>
      <c r="D80" s="7">
        <v>3334.5329999999999</v>
      </c>
      <c r="E80" s="7">
        <v>3693.0219999999999</v>
      </c>
      <c r="F80" s="7">
        <v>3859.1289999999999</v>
      </c>
      <c r="G80" s="7">
        <v>3370.4740000000002</v>
      </c>
      <c r="H80" s="7">
        <v>3788.9580000000001</v>
      </c>
      <c r="I80" s="7">
        <v>3652.1170000000002</v>
      </c>
      <c r="J80" s="7">
        <v>3485.2420000000002</v>
      </c>
      <c r="K80" s="7">
        <v>3326.355</v>
      </c>
      <c r="L80" s="7">
        <v>3100.6120000000001</v>
      </c>
      <c r="M80" s="7">
        <v>3172.9430000000002</v>
      </c>
      <c r="N80" s="7">
        <v>3053.0149999999999</v>
      </c>
      <c r="O80" s="7">
        <v>2956.9659999999999</v>
      </c>
      <c r="P80" s="7">
        <v>2496.79</v>
      </c>
      <c r="R80" s="5">
        <f t="shared" si="4"/>
        <v>3339.4397142857138</v>
      </c>
      <c r="S80" s="5">
        <f t="shared" si="5"/>
        <v>98.212388610147045</v>
      </c>
      <c r="U80" s="7">
        <v>87.5</v>
      </c>
      <c r="V80" s="7">
        <v>3328.9490000000001</v>
      </c>
      <c r="X80" s="7">
        <v>2924.654</v>
      </c>
      <c r="Y80" s="7">
        <v>3660.0729999999999</v>
      </c>
      <c r="Z80" s="7">
        <v>4388.7259999999997</v>
      </c>
      <c r="AA80" s="7">
        <v>3585.2159999999999</v>
      </c>
      <c r="AB80" s="7">
        <v>3987.335</v>
      </c>
      <c r="AC80" s="7">
        <v>4346.4139999999998</v>
      </c>
      <c r="AD80" s="7">
        <v>3910.4520000000002</v>
      </c>
      <c r="AE80" s="7">
        <v>3107.1729999999998</v>
      </c>
      <c r="AF80" s="7">
        <v>3770.83</v>
      </c>
      <c r="AH80" s="7">
        <v>4053.6010000000001</v>
      </c>
      <c r="AJ80" s="7">
        <v>3869.172</v>
      </c>
      <c r="AL80" s="6">
        <f t="shared" si="6"/>
        <v>3842.9403333333335</v>
      </c>
      <c r="AM80" s="6">
        <f t="shared" si="7"/>
        <v>168.2917153787171</v>
      </c>
    </row>
    <row r="81" spans="1:39" x14ac:dyDescent="0.2">
      <c r="A81" s="7">
        <v>88.75</v>
      </c>
      <c r="B81" s="7">
        <v>2877.884</v>
      </c>
      <c r="D81" s="7">
        <v>2757.058</v>
      </c>
      <c r="E81" s="7">
        <v>3063.61</v>
      </c>
      <c r="F81" s="7">
        <v>3182.91</v>
      </c>
      <c r="G81" s="7">
        <v>2758.21</v>
      </c>
      <c r="H81" s="7">
        <v>3123.893</v>
      </c>
      <c r="I81" s="7">
        <v>3101.17</v>
      </c>
      <c r="J81" s="7">
        <v>2858.9369999999999</v>
      </c>
      <c r="K81" s="7">
        <v>2779.6379999999999</v>
      </c>
      <c r="L81" s="7">
        <v>2620.7800000000002</v>
      </c>
      <c r="M81" s="7">
        <v>2628.28</v>
      </c>
      <c r="N81" s="7">
        <v>2535.9659999999999</v>
      </c>
      <c r="O81" s="7">
        <v>2446.8130000000001</v>
      </c>
      <c r="P81" s="7">
        <v>2094.5700000000002</v>
      </c>
      <c r="R81" s="5">
        <f t="shared" si="4"/>
        <v>2773.5513571428569</v>
      </c>
      <c r="S81" s="5">
        <f t="shared" si="5"/>
        <v>80.149773754290308</v>
      </c>
      <c r="U81" s="7">
        <v>88.75</v>
      </c>
      <c r="V81" s="7">
        <v>2689.8490000000002</v>
      </c>
      <c r="X81" s="7">
        <v>2414.1170000000002</v>
      </c>
      <c r="Y81" s="7">
        <v>3001.4859999999999</v>
      </c>
      <c r="Z81" s="7">
        <v>3582.3159999999998</v>
      </c>
      <c r="AA81" s="7">
        <v>2908.3620000000001</v>
      </c>
      <c r="AB81" s="7">
        <v>3183.8449999999998</v>
      </c>
      <c r="AC81" s="7">
        <v>3499.2310000000002</v>
      </c>
      <c r="AD81" s="7">
        <v>3185.203</v>
      </c>
      <c r="AE81" s="7">
        <v>2518.3229999999999</v>
      </c>
      <c r="AF81" s="7">
        <v>3071.3420000000001</v>
      </c>
      <c r="AH81" s="7">
        <v>3275.6909999999998</v>
      </c>
      <c r="AJ81" s="7">
        <v>3148.7350000000001</v>
      </c>
      <c r="AL81" s="6">
        <f t="shared" si="6"/>
        <v>3116.4208333333336</v>
      </c>
      <c r="AM81" s="6">
        <f t="shared" si="7"/>
        <v>133.84554792307358</v>
      </c>
    </row>
    <row r="82" spans="1:39" x14ac:dyDescent="0.2">
      <c r="A82" s="7">
        <v>90</v>
      </c>
      <c r="B82" s="7">
        <v>2563.0720000000001</v>
      </c>
      <c r="D82" s="7">
        <v>2561.1799999999998</v>
      </c>
      <c r="E82" s="7">
        <v>2868.6750000000002</v>
      </c>
      <c r="F82" s="7">
        <v>2950.0790000000002</v>
      </c>
      <c r="G82" s="7">
        <v>2503.6010000000001</v>
      </c>
      <c r="H82" s="7">
        <v>2939.011</v>
      </c>
      <c r="I82" s="7">
        <v>3026.2550000000001</v>
      </c>
      <c r="J82" s="7">
        <v>2599.8440000000001</v>
      </c>
      <c r="K82" s="7">
        <v>2442.0569999999998</v>
      </c>
      <c r="L82" s="7">
        <v>2340.1759999999999</v>
      </c>
      <c r="M82" s="7">
        <v>2404.2779999999998</v>
      </c>
      <c r="N82" s="7">
        <v>2338.7829999999999</v>
      </c>
      <c r="O82" s="7">
        <v>2244.5509999999999</v>
      </c>
      <c r="P82" s="7">
        <v>1874.7850000000001</v>
      </c>
      <c r="R82" s="5">
        <f t="shared" si="4"/>
        <v>2546.8819285714294</v>
      </c>
      <c r="S82" s="5">
        <f t="shared" si="5"/>
        <v>85.011379502816098</v>
      </c>
      <c r="U82" s="7">
        <v>90</v>
      </c>
      <c r="V82" s="7">
        <v>2431.4430000000002</v>
      </c>
      <c r="X82" s="7">
        <v>2237.7440000000001</v>
      </c>
      <c r="Y82" s="7">
        <v>2670.0949999999998</v>
      </c>
      <c r="Z82" s="7">
        <v>3209.01</v>
      </c>
      <c r="AA82" s="7">
        <v>2726.54</v>
      </c>
      <c r="AB82" s="7">
        <v>2821.3670000000002</v>
      </c>
      <c r="AC82" s="7">
        <v>3036.873</v>
      </c>
      <c r="AD82" s="7">
        <v>2896.2640000000001</v>
      </c>
      <c r="AE82" s="7">
        <v>2255.7020000000002</v>
      </c>
      <c r="AF82" s="7">
        <v>2768.6019999999999</v>
      </c>
      <c r="AH82" s="7">
        <v>3004.451</v>
      </c>
      <c r="AJ82" s="7">
        <v>2808.7449999999999</v>
      </c>
      <c r="AL82" s="6">
        <f t="shared" si="6"/>
        <v>2795.1061666666665</v>
      </c>
      <c r="AM82" s="6">
        <f t="shared" si="7"/>
        <v>116.09690088181125</v>
      </c>
    </row>
    <row r="83" spans="1:39" x14ac:dyDescent="0.2">
      <c r="A83" s="7">
        <v>91.25</v>
      </c>
      <c r="B83" s="7">
        <v>2721.3009999999999</v>
      </c>
      <c r="D83" s="7">
        <v>2755.95</v>
      </c>
      <c r="E83" s="7">
        <v>3179.029</v>
      </c>
      <c r="F83" s="7">
        <v>3137.7269999999999</v>
      </c>
      <c r="G83" s="7">
        <v>2781.7910000000002</v>
      </c>
      <c r="H83" s="7">
        <v>3263.5390000000002</v>
      </c>
      <c r="I83" s="7">
        <v>3275.915</v>
      </c>
      <c r="J83" s="7">
        <v>2755.683</v>
      </c>
      <c r="K83" s="7">
        <v>2481.6610000000001</v>
      </c>
      <c r="L83" s="7">
        <v>2415.0909999999999</v>
      </c>
      <c r="M83" s="7">
        <v>2509.6019999999999</v>
      </c>
      <c r="N83" s="7">
        <v>2442.2280000000001</v>
      </c>
      <c r="O83" s="7">
        <v>2313.0749999999998</v>
      </c>
      <c r="P83" s="7">
        <v>1888.643</v>
      </c>
      <c r="R83" s="5">
        <f t="shared" si="4"/>
        <v>2708.6596428571429</v>
      </c>
      <c r="S83" s="5">
        <f t="shared" si="5"/>
        <v>107.9836842897936</v>
      </c>
      <c r="U83" s="7">
        <v>91.25</v>
      </c>
      <c r="V83" s="7">
        <v>2640.0529999999999</v>
      </c>
      <c r="X83" s="7">
        <v>2521.7260000000001</v>
      </c>
      <c r="Y83" s="7">
        <v>2814.7330000000002</v>
      </c>
      <c r="Z83" s="7">
        <v>3501.8620000000001</v>
      </c>
      <c r="AA83" s="7">
        <v>2993.6860000000001</v>
      </c>
      <c r="AB83" s="7">
        <v>3234.9929999999999</v>
      </c>
      <c r="AC83" s="7">
        <v>3365.9720000000002</v>
      </c>
      <c r="AD83" s="7">
        <v>3121.7820000000002</v>
      </c>
      <c r="AE83" s="7">
        <v>2425.165</v>
      </c>
      <c r="AF83" s="7">
        <v>2969.8</v>
      </c>
      <c r="AH83" s="7">
        <v>3180.0740000000001</v>
      </c>
      <c r="AJ83" s="7">
        <v>2919.7379999999998</v>
      </c>
      <c r="AL83" s="6">
        <f t="shared" si="6"/>
        <v>2997.0885000000003</v>
      </c>
      <c r="AM83" s="6">
        <f t="shared" si="7"/>
        <v>131.52077790974073</v>
      </c>
    </row>
    <row r="84" spans="1:39" x14ac:dyDescent="0.2">
      <c r="A84" s="7">
        <v>92.5</v>
      </c>
      <c r="B84" s="7">
        <v>2957.6390000000001</v>
      </c>
      <c r="D84" s="7">
        <v>2946.096</v>
      </c>
      <c r="E84" s="7">
        <v>3464.4969999999998</v>
      </c>
      <c r="F84" s="7">
        <v>3360.3890000000001</v>
      </c>
      <c r="G84" s="7">
        <v>3093.462</v>
      </c>
      <c r="H84" s="7">
        <v>3535.1930000000002</v>
      </c>
      <c r="I84" s="7">
        <v>3494.6089999999999</v>
      </c>
      <c r="J84" s="7">
        <v>2973.5540000000001</v>
      </c>
      <c r="K84" s="7">
        <v>2693.7269999999999</v>
      </c>
      <c r="L84" s="7">
        <v>2673.4229999999998</v>
      </c>
      <c r="M84" s="7">
        <v>2703.027</v>
      </c>
      <c r="N84" s="7">
        <v>2646.6680000000001</v>
      </c>
      <c r="O84" s="7">
        <v>2505.002</v>
      </c>
      <c r="P84" s="7">
        <v>2064.2660000000001</v>
      </c>
      <c r="R84" s="5">
        <f t="shared" si="4"/>
        <v>2936.5394285714283</v>
      </c>
      <c r="S84" s="5">
        <f t="shared" si="5"/>
        <v>114.07954160096871</v>
      </c>
      <c r="U84" s="7">
        <v>92.5</v>
      </c>
      <c r="V84" s="7">
        <v>2837.328</v>
      </c>
      <c r="X84" s="7">
        <v>2782.0529999999999</v>
      </c>
      <c r="Y84" s="7">
        <v>3030.2449999999999</v>
      </c>
      <c r="Z84" s="7">
        <v>3904.9830000000002</v>
      </c>
      <c r="AA84" s="7">
        <v>3187.16</v>
      </c>
      <c r="AB84" s="7">
        <v>3680.8449999999998</v>
      </c>
      <c r="AC84" s="7">
        <v>3882.2370000000001</v>
      </c>
      <c r="AD84" s="7">
        <v>3360.337</v>
      </c>
      <c r="AE84" s="7">
        <v>2627.6590000000001</v>
      </c>
      <c r="AF84" s="7">
        <v>3215.674</v>
      </c>
      <c r="AH84" s="7">
        <v>3409.0889999999999</v>
      </c>
      <c r="AJ84" s="7">
        <v>3126.5219999999999</v>
      </c>
      <c r="AL84" s="6">
        <f t="shared" si="6"/>
        <v>3270.2530000000002</v>
      </c>
      <c r="AM84" s="6">
        <f t="shared" si="7"/>
        <v>167.1804907523593</v>
      </c>
    </row>
    <row r="85" spans="1:39" x14ac:dyDescent="0.2">
      <c r="A85" s="7">
        <v>93.75</v>
      </c>
      <c r="B85" s="7">
        <v>3077.6080000000002</v>
      </c>
      <c r="D85" s="7">
        <v>3077.3</v>
      </c>
      <c r="E85" s="7">
        <v>3497.1390000000001</v>
      </c>
      <c r="F85" s="7">
        <v>3495.038</v>
      </c>
      <c r="G85" s="7">
        <v>3131.19</v>
      </c>
      <c r="H85" s="7">
        <v>3540.46</v>
      </c>
      <c r="I85" s="7">
        <v>3484.8560000000002</v>
      </c>
      <c r="J85" s="7">
        <v>3243.5450000000001</v>
      </c>
      <c r="K85" s="7">
        <v>3076.8429999999998</v>
      </c>
      <c r="L85" s="7">
        <v>3091.442</v>
      </c>
      <c r="M85" s="7">
        <v>3030.5590000000002</v>
      </c>
      <c r="N85" s="7">
        <v>2989.2620000000002</v>
      </c>
      <c r="O85" s="7">
        <v>2855.0830000000001</v>
      </c>
      <c r="P85" s="7">
        <v>2382.223</v>
      </c>
      <c r="R85" s="5">
        <f t="shared" si="4"/>
        <v>3140.8962857142856</v>
      </c>
      <c r="S85" s="5">
        <f t="shared" si="5"/>
        <v>82.806399028521014</v>
      </c>
      <c r="U85" s="7">
        <v>93.75</v>
      </c>
      <c r="V85" s="7">
        <v>2919.56</v>
      </c>
      <c r="X85" s="7">
        <v>2799.279</v>
      </c>
      <c r="Y85" s="7">
        <v>3153.6509999999998</v>
      </c>
      <c r="Z85" s="7">
        <v>4018.04</v>
      </c>
      <c r="AA85" s="7">
        <v>3272.3989999999999</v>
      </c>
      <c r="AB85" s="7">
        <v>3768.944</v>
      </c>
      <c r="AC85" s="7">
        <v>4036.0529999999999</v>
      </c>
      <c r="AD85" s="7">
        <v>3474.5740000000001</v>
      </c>
      <c r="AE85" s="7">
        <v>2738.63</v>
      </c>
      <c r="AF85" s="7">
        <v>3363.12</v>
      </c>
      <c r="AH85" s="7">
        <v>3578.9839999999999</v>
      </c>
      <c r="AJ85" s="7">
        <v>3325.8870000000002</v>
      </c>
      <c r="AL85" s="6">
        <f t="shared" si="6"/>
        <v>3419.5413333333331</v>
      </c>
      <c r="AM85" s="6">
        <f t="shared" si="7"/>
        <v>171.6713855363725</v>
      </c>
    </row>
    <row r="86" spans="1:39" x14ac:dyDescent="0.2">
      <c r="A86" s="7">
        <v>95</v>
      </c>
      <c r="B86" s="7">
        <v>3231.8879999999999</v>
      </c>
      <c r="D86" s="7">
        <v>3278.0050000000001</v>
      </c>
      <c r="E86" s="7">
        <v>3461.511</v>
      </c>
      <c r="F86" s="7">
        <v>3670.1849999999999</v>
      </c>
      <c r="G86" s="7">
        <v>3031.6909999999998</v>
      </c>
      <c r="H86" s="7">
        <v>3471.9409999999998</v>
      </c>
      <c r="I86" s="7">
        <v>3449.77</v>
      </c>
      <c r="J86" s="7">
        <v>3637.864</v>
      </c>
      <c r="K86" s="7">
        <v>3527.2660000000001</v>
      </c>
      <c r="L86" s="7">
        <v>3554.3649999999998</v>
      </c>
      <c r="M86" s="7">
        <v>3444.7429999999999</v>
      </c>
      <c r="N86" s="7">
        <v>3424.6819999999998</v>
      </c>
      <c r="O86" s="7">
        <v>3332.0920000000001</v>
      </c>
      <c r="P86" s="7">
        <v>2791.72</v>
      </c>
      <c r="R86" s="5">
        <f t="shared" si="4"/>
        <v>3379.1230714285712</v>
      </c>
      <c r="S86" s="5">
        <f t="shared" si="5"/>
        <v>63.374079451836941</v>
      </c>
      <c r="U86" s="7">
        <v>95</v>
      </c>
      <c r="V86" s="7">
        <v>3041.7130000000002</v>
      </c>
      <c r="X86" s="7">
        <v>2717.49</v>
      </c>
      <c r="Y86" s="7">
        <v>3286.1129999999998</v>
      </c>
      <c r="Z86" s="7">
        <v>3979.0729999999999</v>
      </c>
      <c r="AA86" s="7">
        <v>3340.239</v>
      </c>
      <c r="AB86" s="7">
        <v>3552.52</v>
      </c>
      <c r="AC86" s="7">
        <v>3837.4349999999999</v>
      </c>
      <c r="AD86" s="7">
        <v>3663.7809999999999</v>
      </c>
      <c r="AE86" s="7">
        <v>2906.9789999999998</v>
      </c>
      <c r="AF86" s="7">
        <v>3607.576</v>
      </c>
      <c r="AH86" s="7">
        <v>3811.0639999999999</v>
      </c>
      <c r="AJ86" s="7">
        <v>3628.806</v>
      </c>
      <c r="AL86" s="6">
        <f t="shared" si="6"/>
        <v>3575.9401666666668</v>
      </c>
      <c r="AM86" s="6">
        <f t="shared" si="7"/>
        <v>139.36563919594545</v>
      </c>
    </row>
    <row r="87" spans="1:39" x14ac:dyDescent="0.2">
      <c r="A87" s="7">
        <v>96.25</v>
      </c>
      <c r="B87" s="7">
        <v>3535.8989999999999</v>
      </c>
      <c r="D87" s="7">
        <v>3584.7</v>
      </c>
      <c r="E87" s="7">
        <v>3637.4430000000002</v>
      </c>
      <c r="F87" s="7">
        <v>3998.31</v>
      </c>
      <c r="G87" s="7">
        <v>3094.1880000000001</v>
      </c>
      <c r="H87" s="7">
        <v>3594.2669999999998</v>
      </c>
      <c r="I87" s="7">
        <v>3590.6660000000002</v>
      </c>
      <c r="J87" s="7">
        <v>4068.221</v>
      </c>
      <c r="K87" s="7">
        <v>3951.1930000000002</v>
      </c>
      <c r="L87" s="7">
        <v>4013.6190000000001</v>
      </c>
      <c r="M87" s="7">
        <v>3881.2669999999998</v>
      </c>
      <c r="N87" s="7">
        <v>3868.67</v>
      </c>
      <c r="O87" s="7">
        <v>3763.5940000000001</v>
      </c>
      <c r="P87" s="7">
        <v>3169.4870000000001</v>
      </c>
      <c r="R87" s="5">
        <f t="shared" si="4"/>
        <v>3696.5374285714283</v>
      </c>
      <c r="S87" s="5">
        <f t="shared" si="5"/>
        <v>80.073325618880034</v>
      </c>
      <c r="U87" s="7">
        <v>96.25</v>
      </c>
      <c r="V87" s="7">
        <v>3256.3029999999999</v>
      </c>
      <c r="X87" s="7">
        <v>2728.51</v>
      </c>
      <c r="Y87" s="7">
        <v>3516.6280000000002</v>
      </c>
      <c r="Z87" s="7">
        <v>4083.3270000000002</v>
      </c>
      <c r="AA87" s="7">
        <v>3616.2240000000002</v>
      </c>
      <c r="AB87" s="7">
        <v>3379.0459999999998</v>
      </c>
      <c r="AC87" s="7">
        <v>3619.5569999999998</v>
      </c>
      <c r="AD87" s="7">
        <v>3958.3020000000001</v>
      </c>
      <c r="AE87" s="7">
        <v>3167.4560000000001</v>
      </c>
      <c r="AF87" s="7">
        <v>3894.0709999999999</v>
      </c>
      <c r="AH87" s="7">
        <v>4141.027</v>
      </c>
      <c r="AJ87" s="7">
        <v>4029.3580000000002</v>
      </c>
      <c r="AL87" s="6">
        <f t="shared" si="6"/>
        <v>3801.6285000000003</v>
      </c>
      <c r="AM87" s="6">
        <f t="shared" si="7"/>
        <v>145.54140982889834</v>
      </c>
    </row>
    <row r="88" spans="1:39" x14ac:dyDescent="0.2">
      <c r="A88" s="7">
        <v>97.5</v>
      </c>
      <c r="B88" s="7">
        <v>3873.61</v>
      </c>
      <c r="D88" s="7">
        <v>3951.5590000000002</v>
      </c>
      <c r="E88" s="7">
        <v>3942.915</v>
      </c>
      <c r="F88" s="7">
        <v>4357.28</v>
      </c>
      <c r="G88" s="7">
        <v>3317.8470000000002</v>
      </c>
      <c r="H88" s="7">
        <v>3861.78</v>
      </c>
      <c r="I88" s="7">
        <v>3814.1190000000001</v>
      </c>
      <c r="J88" s="7">
        <v>4519.62</v>
      </c>
      <c r="K88" s="7">
        <v>4363.8729999999996</v>
      </c>
      <c r="L88" s="7">
        <v>4441.05</v>
      </c>
      <c r="M88" s="7">
        <v>4339.3090000000002</v>
      </c>
      <c r="N88" s="7">
        <v>4237.3360000000002</v>
      </c>
      <c r="O88" s="7">
        <v>4137.6289999999999</v>
      </c>
      <c r="P88" s="7">
        <v>3503.096</v>
      </c>
      <c r="R88" s="5">
        <f t="shared" si="4"/>
        <v>4047.2159285714288</v>
      </c>
      <c r="S88" s="5">
        <f t="shared" si="5"/>
        <v>95.826508230230857</v>
      </c>
      <c r="U88" s="7">
        <v>97.5</v>
      </c>
      <c r="V88" s="7">
        <v>3539.6460000000002</v>
      </c>
      <c r="X88" s="7">
        <v>2839.884</v>
      </c>
      <c r="Y88" s="7">
        <v>3822.826</v>
      </c>
      <c r="Z88" s="7">
        <v>4391.1229999999996</v>
      </c>
      <c r="AA88" s="7">
        <v>3941.471</v>
      </c>
      <c r="AB88" s="7">
        <v>3498.527</v>
      </c>
      <c r="AC88" s="7">
        <v>3694.223</v>
      </c>
      <c r="AD88" s="7">
        <v>4315.9859999999999</v>
      </c>
      <c r="AE88" s="7">
        <v>3461.2570000000001</v>
      </c>
      <c r="AF88" s="7">
        <v>4246.75</v>
      </c>
      <c r="AH88" s="7">
        <v>4578.8890000000001</v>
      </c>
      <c r="AJ88" s="7">
        <v>4422.8869999999997</v>
      </c>
      <c r="AL88" s="6">
        <f t="shared" si="6"/>
        <v>4119.9986666666664</v>
      </c>
      <c r="AM88" s="6">
        <f t="shared" si="7"/>
        <v>180.00223309293818</v>
      </c>
    </row>
    <row r="89" spans="1:39" x14ac:dyDescent="0.2">
      <c r="A89" s="7">
        <v>98.75</v>
      </c>
      <c r="B89" s="7">
        <v>4187.5219999999999</v>
      </c>
      <c r="D89" s="7">
        <v>4224.7209999999995</v>
      </c>
      <c r="E89" s="7">
        <v>4236.4309999999996</v>
      </c>
      <c r="F89" s="7">
        <v>4624.47</v>
      </c>
      <c r="G89" s="7">
        <v>3528.598</v>
      </c>
      <c r="H89" s="7">
        <v>4136.7389999999996</v>
      </c>
      <c r="I89" s="7">
        <v>4117.6000000000004</v>
      </c>
      <c r="J89" s="7">
        <v>4799.5659999999998</v>
      </c>
      <c r="K89" s="7">
        <v>4660.6440000000002</v>
      </c>
      <c r="L89" s="7">
        <v>4707.6790000000001</v>
      </c>
      <c r="M89" s="7">
        <v>4747.1040000000003</v>
      </c>
      <c r="N89" s="7">
        <v>4522.0640000000003</v>
      </c>
      <c r="O89" s="7">
        <v>4458.2020000000002</v>
      </c>
      <c r="P89" s="7">
        <v>3747.576</v>
      </c>
      <c r="R89" s="5">
        <f t="shared" si="4"/>
        <v>4335.6368571428566</v>
      </c>
      <c r="S89" s="5">
        <f t="shared" si="5"/>
        <v>101.90741850180355</v>
      </c>
      <c r="U89" s="7">
        <v>98.75</v>
      </c>
      <c r="V89" s="7">
        <v>3802.8919999999998</v>
      </c>
      <c r="X89" s="7">
        <v>3016.2379999999998</v>
      </c>
      <c r="Y89" s="7">
        <v>4113.1000000000004</v>
      </c>
      <c r="Z89" s="7">
        <v>4694.72</v>
      </c>
      <c r="AA89" s="7">
        <v>4221.9930000000004</v>
      </c>
      <c r="AB89" s="7">
        <v>3720.748</v>
      </c>
      <c r="AC89" s="7">
        <v>3927.8490000000002</v>
      </c>
      <c r="AD89" s="7">
        <v>4663.58</v>
      </c>
      <c r="AE89" s="7">
        <v>3674.3440000000001</v>
      </c>
      <c r="AF89" s="7">
        <v>4543.2190000000001</v>
      </c>
      <c r="AH89" s="7">
        <v>4938.7150000000001</v>
      </c>
      <c r="AJ89" s="7">
        <v>4838.6909999999998</v>
      </c>
      <c r="AL89" s="6">
        <f t="shared" si="6"/>
        <v>4431.0663333333332</v>
      </c>
      <c r="AM89" s="6">
        <f t="shared" si="7"/>
        <v>209.47253103953952</v>
      </c>
    </row>
    <row r="90" spans="1:39" x14ac:dyDescent="0.2">
      <c r="A90" s="7">
        <v>100</v>
      </c>
      <c r="B90" s="7">
        <v>4362.1220000000003</v>
      </c>
      <c r="D90" s="7">
        <v>4285.4210000000003</v>
      </c>
      <c r="E90" s="7">
        <v>4331.2870000000003</v>
      </c>
      <c r="F90" s="7">
        <v>4675.4359999999997</v>
      </c>
      <c r="G90" s="7">
        <v>3660.027</v>
      </c>
      <c r="H90" s="7">
        <v>4267.7489999999998</v>
      </c>
      <c r="I90" s="7">
        <v>4236.723</v>
      </c>
      <c r="J90" s="7">
        <v>4825.9430000000002</v>
      </c>
      <c r="K90" s="7">
        <v>4763.4589999999998</v>
      </c>
      <c r="L90" s="7">
        <v>4722.6000000000004</v>
      </c>
      <c r="M90" s="7">
        <v>4895.4189999999999</v>
      </c>
      <c r="N90" s="7">
        <v>4538.3509999999997</v>
      </c>
      <c r="O90" s="7">
        <v>4570.0420000000004</v>
      </c>
      <c r="P90" s="7">
        <v>3799.357</v>
      </c>
      <c r="R90" s="5">
        <f t="shared" si="4"/>
        <v>4423.8525714285724</v>
      </c>
      <c r="S90" s="5">
        <f t="shared" si="5"/>
        <v>98.079413738248945</v>
      </c>
      <c r="U90" s="7">
        <v>100</v>
      </c>
      <c r="V90" s="7">
        <v>3937.6219999999998</v>
      </c>
      <c r="X90" s="7">
        <v>3092.7809999999999</v>
      </c>
      <c r="Y90" s="7">
        <v>4247.5429999999997</v>
      </c>
      <c r="Z90" s="7">
        <v>4848.3</v>
      </c>
      <c r="AA90" s="7">
        <v>4339.3159999999998</v>
      </c>
      <c r="AB90" s="7">
        <v>3900.3580000000002</v>
      </c>
      <c r="AC90" s="7">
        <v>4091.922</v>
      </c>
      <c r="AD90" s="7">
        <v>4810.0780000000004</v>
      </c>
      <c r="AE90" s="7">
        <v>3781.6320000000001</v>
      </c>
      <c r="AF90" s="7">
        <v>4643.8249999999998</v>
      </c>
      <c r="AH90" s="7">
        <v>5066.8909999999996</v>
      </c>
      <c r="AJ90" s="7">
        <v>5086.9930000000004</v>
      </c>
      <c r="AL90" s="6">
        <f t="shared" si="6"/>
        <v>4580.2235000000001</v>
      </c>
      <c r="AM90" s="6">
        <f t="shared" si="7"/>
        <v>218.07686431114996</v>
      </c>
    </row>
    <row r="91" spans="1:39" x14ac:dyDescent="0.2">
      <c r="A91" s="7">
        <v>101.25</v>
      </c>
      <c r="B91" s="7">
        <v>4257.24</v>
      </c>
      <c r="D91" s="7">
        <v>4095.77</v>
      </c>
      <c r="E91" s="7">
        <v>4162.83</v>
      </c>
      <c r="F91" s="7">
        <v>4465.3090000000002</v>
      </c>
      <c r="G91" s="7">
        <v>3591.1689999999999</v>
      </c>
      <c r="H91" s="7">
        <v>4119.3590000000004</v>
      </c>
      <c r="I91" s="7">
        <v>4108.585</v>
      </c>
      <c r="J91" s="7">
        <v>4570.9480000000003</v>
      </c>
      <c r="K91" s="7">
        <v>4508.0410000000002</v>
      </c>
      <c r="L91" s="7">
        <v>4463.5219999999999</v>
      </c>
      <c r="M91" s="7">
        <v>4690.95</v>
      </c>
      <c r="N91" s="7">
        <v>4323.4799999999996</v>
      </c>
      <c r="O91" s="7">
        <v>4383.8149999999996</v>
      </c>
      <c r="P91" s="7">
        <v>3597.5639999999999</v>
      </c>
      <c r="R91" s="5">
        <f t="shared" si="4"/>
        <v>4238.4701428571425</v>
      </c>
      <c r="S91" s="5">
        <f t="shared" si="5"/>
        <v>87.88285597596915</v>
      </c>
      <c r="U91" s="7">
        <v>101.25</v>
      </c>
      <c r="V91" s="7">
        <v>3797.7310000000002</v>
      </c>
      <c r="X91" s="7">
        <v>2978.6480000000001</v>
      </c>
      <c r="Y91" s="7">
        <v>4102.5879999999997</v>
      </c>
      <c r="Z91" s="7">
        <v>4731.8230000000003</v>
      </c>
      <c r="AA91" s="7">
        <v>4186.0479999999998</v>
      </c>
      <c r="AB91" s="7">
        <v>3826.0790000000002</v>
      </c>
      <c r="AC91" s="7">
        <v>4006.8710000000001</v>
      </c>
      <c r="AD91" s="7">
        <v>4631.5249999999996</v>
      </c>
      <c r="AE91" s="7">
        <v>3638.643</v>
      </c>
      <c r="AF91" s="7">
        <v>4447.8999999999996</v>
      </c>
      <c r="AH91" s="7">
        <v>4904.0349999999999</v>
      </c>
      <c r="AJ91" s="7">
        <v>4993.7929999999997</v>
      </c>
      <c r="AL91" s="6">
        <f t="shared" si="6"/>
        <v>4437.127833333333</v>
      </c>
      <c r="AM91" s="6">
        <f t="shared" si="7"/>
        <v>215.1343518006687</v>
      </c>
    </row>
    <row r="92" spans="1:39" x14ac:dyDescent="0.2">
      <c r="A92" s="7">
        <v>102.5</v>
      </c>
      <c r="B92" s="7">
        <v>3945.9479999999999</v>
      </c>
      <c r="D92" s="7">
        <v>3823.5030000000002</v>
      </c>
      <c r="E92" s="7">
        <v>3906.45</v>
      </c>
      <c r="F92" s="7">
        <v>4153.9560000000001</v>
      </c>
      <c r="G92" s="7">
        <v>3389.9520000000002</v>
      </c>
      <c r="H92" s="7">
        <v>3858.136</v>
      </c>
      <c r="I92" s="7">
        <v>3865.681</v>
      </c>
      <c r="J92" s="7">
        <v>4266.6400000000003</v>
      </c>
      <c r="K92" s="7">
        <v>4123.1760000000004</v>
      </c>
      <c r="L92" s="7">
        <v>4114.3410000000003</v>
      </c>
      <c r="M92" s="7">
        <v>4364.6040000000003</v>
      </c>
      <c r="N92" s="7">
        <v>4010.9459999999999</v>
      </c>
      <c r="O92" s="7">
        <v>4034.1909999999998</v>
      </c>
      <c r="P92" s="7">
        <v>3289.3820000000001</v>
      </c>
      <c r="R92" s="5">
        <f t="shared" si="4"/>
        <v>3939.0647142857138</v>
      </c>
      <c r="S92" s="5">
        <f t="shared" si="5"/>
        <v>79.95241802942526</v>
      </c>
      <c r="U92" s="7">
        <v>102.5</v>
      </c>
      <c r="V92" s="7">
        <v>3518.9430000000002</v>
      </c>
      <c r="X92" s="7">
        <v>2765.4859999999999</v>
      </c>
      <c r="Y92" s="7">
        <v>3802.3220000000001</v>
      </c>
      <c r="Z92" s="7">
        <v>4456.0420000000004</v>
      </c>
      <c r="AA92" s="7">
        <v>3907.2240000000002</v>
      </c>
      <c r="AB92" s="7">
        <v>3594.3429999999998</v>
      </c>
      <c r="AC92" s="7">
        <v>3764.46</v>
      </c>
      <c r="AD92" s="7">
        <v>4291.4989999999998</v>
      </c>
      <c r="AE92" s="7">
        <v>3358.578</v>
      </c>
      <c r="AF92" s="7">
        <v>4150.0950000000003</v>
      </c>
      <c r="AH92" s="7">
        <v>4597.2910000000002</v>
      </c>
      <c r="AJ92" s="7">
        <v>4641.9920000000002</v>
      </c>
      <c r="AL92" s="6">
        <f t="shared" si="6"/>
        <v>4133.9858333333332</v>
      </c>
      <c r="AM92" s="6">
        <f t="shared" si="7"/>
        <v>202.94486075868173</v>
      </c>
    </row>
    <row r="93" spans="1:39" x14ac:dyDescent="0.2">
      <c r="A93" s="7">
        <v>103.75</v>
      </c>
      <c r="B93" s="7">
        <v>3629.0140000000001</v>
      </c>
      <c r="D93" s="7">
        <v>3505.0770000000002</v>
      </c>
      <c r="E93" s="7">
        <v>3608.2939999999999</v>
      </c>
      <c r="F93" s="7">
        <v>3798.4209999999998</v>
      </c>
      <c r="G93" s="7">
        <v>3146.6509999999998</v>
      </c>
      <c r="H93" s="7">
        <v>3563.9110000000001</v>
      </c>
      <c r="I93" s="7">
        <v>3577.6329999999998</v>
      </c>
      <c r="J93" s="7">
        <v>3902.835</v>
      </c>
      <c r="K93" s="7">
        <v>3726.7660000000001</v>
      </c>
      <c r="L93" s="7">
        <v>3751.5419999999999</v>
      </c>
      <c r="M93" s="7">
        <v>4044.0419999999999</v>
      </c>
      <c r="N93" s="7">
        <v>3660.7460000000001</v>
      </c>
      <c r="O93" s="7">
        <v>3663.6489999999999</v>
      </c>
      <c r="P93" s="7">
        <v>2968.0909999999999</v>
      </c>
      <c r="R93" s="5">
        <f t="shared" si="4"/>
        <v>3610.4765714285713</v>
      </c>
      <c r="S93" s="5">
        <f t="shared" si="5"/>
        <v>73.755255131653641</v>
      </c>
      <c r="U93" s="7">
        <v>103.75</v>
      </c>
      <c r="V93" s="7">
        <v>3219.7539999999999</v>
      </c>
      <c r="X93" s="7">
        <v>2547.788</v>
      </c>
      <c r="Y93" s="7">
        <v>3465.877</v>
      </c>
      <c r="Z93" s="7">
        <v>4095.82</v>
      </c>
      <c r="AA93" s="7">
        <v>3579.6970000000001</v>
      </c>
      <c r="AB93" s="7">
        <v>3316.2060000000001</v>
      </c>
      <c r="AC93" s="7">
        <v>3479.3159999999998</v>
      </c>
      <c r="AD93" s="7">
        <v>3927.2510000000002</v>
      </c>
      <c r="AE93" s="7">
        <v>3036.74</v>
      </c>
      <c r="AF93" s="7">
        <v>3815.5160000000001</v>
      </c>
      <c r="AH93" s="7">
        <v>4182.05</v>
      </c>
      <c r="AJ93" s="7">
        <v>4210.3710000000001</v>
      </c>
      <c r="AL93" s="6">
        <f t="shared" si="6"/>
        <v>3775.2073333333333</v>
      </c>
      <c r="AM93" s="6">
        <f t="shared" si="7"/>
        <v>183.71319322350962</v>
      </c>
    </row>
    <row r="94" spans="1:39" x14ac:dyDescent="0.2">
      <c r="A94" s="7">
        <v>105</v>
      </c>
      <c r="B94" s="7">
        <v>3321.86</v>
      </c>
      <c r="D94" s="7">
        <v>3186.6849999999999</v>
      </c>
      <c r="E94" s="7">
        <v>3308.0720000000001</v>
      </c>
      <c r="F94" s="7">
        <v>3446.6120000000001</v>
      </c>
      <c r="G94" s="7">
        <v>2880.5120000000002</v>
      </c>
      <c r="H94" s="7">
        <v>3262.0529999999999</v>
      </c>
      <c r="I94" s="7">
        <v>3315.817</v>
      </c>
      <c r="J94" s="7">
        <v>3549.654</v>
      </c>
      <c r="K94" s="7">
        <v>3350.7440000000001</v>
      </c>
      <c r="L94" s="7">
        <v>3400.5439999999999</v>
      </c>
      <c r="M94" s="7">
        <v>3713.7820000000002</v>
      </c>
      <c r="N94" s="7">
        <v>3322.0459999999998</v>
      </c>
      <c r="O94" s="7">
        <v>3322.28</v>
      </c>
      <c r="P94" s="7">
        <v>2663.8420000000001</v>
      </c>
      <c r="R94" s="5">
        <f t="shared" si="4"/>
        <v>3288.8930714285711</v>
      </c>
      <c r="S94" s="5">
        <f t="shared" si="5"/>
        <v>68.849164770841384</v>
      </c>
      <c r="U94" s="7">
        <v>105</v>
      </c>
      <c r="V94" s="7">
        <v>2915.0549999999998</v>
      </c>
      <c r="X94" s="7">
        <v>2316.15</v>
      </c>
      <c r="Y94" s="7">
        <v>3115.9720000000002</v>
      </c>
      <c r="Z94" s="7">
        <v>3722.9009999999998</v>
      </c>
      <c r="AA94" s="7">
        <v>3252.2170000000001</v>
      </c>
      <c r="AB94" s="7">
        <v>3012.087</v>
      </c>
      <c r="AC94" s="7">
        <v>3142.1590000000001</v>
      </c>
      <c r="AD94" s="7">
        <v>3568.9290000000001</v>
      </c>
      <c r="AE94" s="7">
        <v>2711.808</v>
      </c>
      <c r="AF94" s="7">
        <v>3458.5650000000001</v>
      </c>
      <c r="AH94" s="7">
        <v>3774.415</v>
      </c>
      <c r="AJ94" s="7">
        <v>3786.8609999999999</v>
      </c>
      <c r="AL94" s="6">
        <f t="shared" si="6"/>
        <v>3407.1228333333333</v>
      </c>
      <c r="AM94" s="6">
        <f t="shared" si="7"/>
        <v>169.46982951043032</v>
      </c>
    </row>
    <row r="95" spans="1:39" x14ac:dyDescent="0.2">
      <c r="A95" s="7">
        <v>106.25</v>
      </c>
      <c r="B95" s="7">
        <v>3103.4050000000002</v>
      </c>
      <c r="D95" s="7">
        <v>3010.4229999999998</v>
      </c>
      <c r="E95" s="7">
        <v>3112.0369999999998</v>
      </c>
      <c r="F95" s="7">
        <v>3237.123</v>
      </c>
      <c r="G95" s="7">
        <v>2689.3939999999998</v>
      </c>
      <c r="H95" s="7">
        <v>3063.5210000000002</v>
      </c>
      <c r="I95" s="7">
        <v>3110.8879999999999</v>
      </c>
      <c r="J95" s="7">
        <v>3339.81</v>
      </c>
      <c r="K95" s="7">
        <v>3099.5030000000002</v>
      </c>
      <c r="L95" s="7">
        <v>3167.576</v>
      </c>
      <c r="M95" s="7">
        <v>3483.0729999999999</v>
      </c>
      <c r="N95" s="7">
        <v>3106.402</v>
      </c>
      <c r="O95" s="7">
        <v>3082.587</v>
      </c>
      <c r="P95" s="7">
        <v>2471.2179999999998</v>
      </c>
      <c r="R95" s="5">
        <f t="shared" si="4"/>
        <v>3076.9257142857141</v>
      </c>
      <c r="S95" s="5">
        <f t="shared" si="5"/>
        <v>66.054730858802884</v>
      </c>
      <c r="U95" s="7">
        <v>106.25</v>
      </c>
      <c r="V95" s="7">
        <v>2695.3409999999999</v>
      </c>
      <c r="X95" s="7">
        <v>2162.9369999999999</v>
      </c>
      <c r="Y95" s="7">
        <v>2898.1129999999998</v>
      </c>
      <c r="Z95" s="7">
        <v>3484.81</v>
      </c>
      <c r="AA95" s="7">
        <v>3028.0729999999999</v>
      </c>
      <c r="AB95" s="7">
        <v>2785.058</v>
      </c>
      <c r="AC95" s="7">
        <v>2901.5610000000001</v>
      </c>
      <c r="AD95" s="7">
        <v>3331.8119999999999</v>
      </c>
      <c r="AE95" s="7">
        <v>2508.703</v>
      </c>
      <c r="AF95" s="7">
        <v>3227.8130000000001</v>
      </c>
      <c r="AH95" s="7">
        <v>3530.7730000000001</v>
      </c>
      <c r="AJ95" s="7">
        <v>3478.0430000000001</v>
      </c>
      <c r="AL95" s="6">
        <f t="shared" si="6"/>
        <v>3163.1175000000003</v>
      </c>
      <c r="AM95" s="6">
        <f t="shared" si="7"/>
        <v>159.54749760739915</v>
      </c>
    </row>
    <row r="96" spans="1:39" x14ac:dyDescent="0.2">
      <c r="A96" s="7">
        <v>107.5</v>
      </c>
      <c r="B96" s="7">
        <v>2984.1750000000002</v>
      </c>
      <c r="D96" s="7">
        <v>2906.692</v>
      </c>
      <c r="E96" s="7">
        <v>2990.3560000000002</v>
      </c>
      <c r="F96" s="7">
        <v>3126.3470000000002</v>
      </c>
      <c r="G96" s="7">
        <v>2589.58</v>
      </c>
      <c r="H96" s="7">
        <v>2944.261</v>
      </c>
      <c r="I96" s="7">
        <v>2987.8530000000001</v>
      </c>
      <c r="J96" s="7">
        <v>3200.0129999999999</v>
      </c>
      <c r="K96" s="7">
        <v>2952.44</v>
      </c>
      <c r="L96" s="7">
        <v>3028.431</v>
      </c>
      <c r="M96" s="7">
        <v>3340.5210000000002</v>
      </c>
      <c r="N96" s="7">
        <v>2968.8969999999999</v>
      </c>
      <c r="O96" s="7">
        <v>2933.5619999999999</v>
      </c>
      <c r="P96" s="7">
        <v>2355.8960000000002</v>
      </c>
      <c r="R96" s="5">
        <f t="shared" si="4"/>
        <v>2950.6445714285705</v>
      </c>
      <c r="S96" s="5">
        <f t="shared" si="5"/>
        <v>63.846068506127835</v>
      </c>
      <c r="U96" s="7">
        <v>107.5</v>
      </c>
      <c r="V96" s="7">
        <v>2570.5120000000002</v>
      </c>
      <c r="X96" s="7">
        <v>2077.788</v>
      </c>
      <c r="Y96" s="7">
        <v>2787.3879999999999</v>
      </c>
      <c r="Z96" s="7">
        <v>3346.6419999999998</v>
      </c>
      <c r="AA96" s="7">
        <v>2898.4830000000002</v>
      </c>
      <c r="AB96" s="7">
        <v>2661.317</v>
      </c>
      <c r="AC96" s="7">
        <v>2757.07</v>
      </c>
      <c r="AD96" s="7">
        <v>3187.201</v>
      </c>
      <c r="AE96" s="7">
        <v>2402.8629999999998</v>
      </c>
      <c r="AF96" s="7">
        <v>3097.105</v>
      </c>
      <c r="AH96" s="7">
        <v>3382.1759999999999</v>
      </c>
      <c r="AJ96" s="7">
        <v>3305.5219999999999</v>
      </c>
      <c r="AL96" s="6">
        <f t="shared" si="6"/>
        <v>3021.9894999999997</v>
      </c>
      <c r="AM96" s="6">
        <f t="shared" si="7"/>
        <v>152.37695975152283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BRIGHT!OCT_RAW___\YA01\_dark_profiles_YA01_DARK</vt:lpstr>
      <vt:lpstr>DIM!OCT_RAW___\YA01\_dark_profiles_YA01_DARK_dim</vt:lpstr>
      <vt:lpstr>BRIGHT!OCT_RAW___\YA01\_light_profiles_YA01_LIGHT</vt:lpstr>
      <vt:lpstr>DIM!OCT_RAW___\YA01\_light_profiles_YA01_LIGHT_dim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2019-11-16T23:08:15Z</dcterms:modified>
</cp:coreProperties>
</file>