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CO443\"/>
    </mc:Choice>
  </mc:AlternateContent>
  <xr:revisionPtr revIDLastSave="0" documentId="13_ncr:1_{0C260148-4CAB-40CD-9FE7-2333937DB3DF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BRIGHT" sheetId="1" r:id="rId1"/>
  </sheets>
  <definedNames>
    <definedName name="OCT_RAW___\CO03\_dark_profiles_CO03_DARK" localSheetId="0">BRIGHT!$A$2:$F$96</definedName>
    <definedName name="OCT_RAW___\CO03\_fovea_dark_profiles_CO03_DARK" localSheetId="0">BRIGHT!#REF!</definedName>
    <definedName name="OCT_RAW___\CO03\_fovea_light_profiles_CO03_LIGHT" localSheetId="0">BRIGHT!#REF!</definedName>
    <definedName name="OCT_RAW___\CO03\_light_profiles_CO03_LIGHT" localSheetId="0">BRIGHT!$K$2:$P$96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2E1A74-89A8-4E42-ACB3-1D2C8ADB269E}" name="[[[OCT RAW]]]\CO03\_dark_profiles_CO03_DARK" type="6" refreshedVersion="6" background="1" saveData="1">
    <textPr codePage="437" sourceFile="E:\[Documents]\[[[OCT RAW]]]\CO03\_dark_profiles_CO03_DARK.txt" space="1" consecutive="1">
      <textFields count="6">
        <textField/>
        <textField/>
        <textField/>
        <textField/>
        <textField/>
        <textField/>
      </textFields>
    </textPr>
  </connection>
  <connection id="2" xr16:uid="{2FD04DEC-5DEE-438E-A6D1-8CBCCC11CDD9}" name="[[[OCT RAW]]]\CO03\_light_profiles_CO03_LIGHT" type="6" refreshedVersion="6" background="1" saveData="1">
    <textPr codePage="437" sourceFile="E:\[Documents]\[[[OCT RAW]]]\CO03\_light_profiles_CO03_LIGHT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<sst xmlns="http://schemas.openxmlformats.org/spreadsheetml/2006/main" count="12" uniqueCount="8">
  <si>
    <t>DARK 500 microns to 2750 microns</t>
  </si>
  <si>
    <t>LIGHT 500 microns to 2750 microns</t>
  </si>
  <si>
    <t>angle</t>
  </si>
  <si>
    <t>whole</t>
  </si>
  <si>
    <t>RPEtoOLM</t>
  </si>
  <si>
    <t>RNFL</t>
  </si>
  <si>
    <t>CO443_DARK</t>
  </si>
  <si>
    <t>CO443_LIGHT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</si>
</sst>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BRIGHT!$H$7:$H$96</c:f>
              <c:numCache>
                <c:formatCode>General</c:formatCode>
                <c:ptCount val="90"/>
                <c:pt idx="0">
                  <c:v>689.17020000000002</c:v>
                </c:pt>
                <c:pt idx="1">
                  <c:v>893.75040000000013</c:v>
                </c:pt>
                <c:pt idx="2">
                  <c:v>1378.16</c:v>
                </c:pt>
                <c:pt idx="3">
                  <c:v>1969.0651999999998</c:v>
                </c:pt>
                <c:pt idx="4">
                  <c:v>2522.5652</c:v>
                </c:pt>
                <c:pt idx="5">
                  <c:v>2953.3604</c:v>
                </c:pt>
                <c:pt idx="6">
                  <c:v>3197.4818</c:v>
                </c:pt>
                <c:pt idx="7">
                  <c:v>3291.9991999999997</c:v>
                </c:pt>
                <c:pt idx="8">
                  <c:v>3328.3866000000003</c:v>
                </c:pt>
                <c:pt idx="9">
                  <c:v>3274.6845999999996</c:v>
                </c:pt>
                <c:pt idx="10">
                  <c:v>3084.8368</c:v>
                </c:pt>
                <c:pt idx="11">
                  <c:v>2758.4296000000004</c:v>
                </c:pt>
                <c:pt idx="12">
                  <c:v>2494.0936000000002</c:v>
                </c:pt>
                <c:pt idx="13">
                  <c:v>2376.2507999999998</c:v>
                </c:pt>
                <c:pt idx="14">
                  <c:v>2351.9597999999996</c:v>
                </c:pt>
                <c:pt idx="15">
                  <c:v>2357.7768000000001</c:v>
                </c:pt>
                <c:pt idx="16">
                  <c:v>2365.6756</c:v>
                </c:pt>
                <c:pt idx="17">
                  <c:v>2366.1084000000001</c:v>
                </c:pt>
                <c:pt idx="18">
                  <c:v>2361.8036000000002</c:v>
                </c:pt>
                <c:pt idx="19">
                  <c:v>2371.5032000000001</c:v>
                </c:pt>
                <c:pt idx="20">
                  <c:v>2384.6330000000003</c:v>
                </c:pt>
                <c:pt idx="21">
                  <c:v>2389.8847999999998</c:v>
                </c:pt>
                <c:pt idx="22">
                  <c:v>2400.6867999999999</c:v>
                </c:pt>
                <c:pt idx="23">
                  <c:v>2423.8182000000002</c:v>
                </c:pt>
                <c:pt idx="24">
                  <c:v>2443.424</c:v>
                </c:pt>
                <c:pt idx="25">
                  <c:v>2444.7707999999998</c:v>
                </c:pt>
                <c:pt idx="26">
                  <c:v>2462.7506000000003</c:v>
                </c:pt>
                <c:pt idx="27">
                  <c:v>2496.4731999999995</c:v>
                </c:pt>
                <c:pt idx="28">
                  <c:v>2515.7712000000001</c:v>
                </c:pt>
                <c:pt idx="29">
                  <c:v>2508.1053999999999</c:v>
                </c:pt>
                <c:pt idx="30">
                  <c:v>2490.2642000000001</c:v>
                </c:pt>
                <c:pt idx="31">
                  <c:v>2450.8161999999998</c:v>
                </c:pt>
                <c:pt idx="32">
                  <c:v>2350.1062000000002</c:v>
                </c:pt>
                <c:pt idx="33">
                  <c:v>2199.4960000000001</c:v>
                </c:pt>
                <c:pt idx="34">
                  <c:v>2045.4574</c:v>
                </c:pt>
                <c:pt idx="35">
                  <c:v>1957.9389999999999</c:v>
                </c:pt>
                <c:pt idx="36">
                  <c:v>1915.0715999999998</c:v>
                </c:pt>
                <c:pt idx="37">
                  <c:v>1905.8245999999999</c:v>
                </c:pt>
                <c:pt idx="38">
                  <c:v>1911.7588000000001</c:v>
                </c:pt>
                <c:pt idx="39">
                  <c:v>1932.6936000000001</c:v>
                </c:pt>
                <c:pt idx="40">
                  <c:v>1991.1396</c:v>
                </c:pt>
                <c:pt idx="41">
                  <c:v>2092.0000000000005</c:v>
                </c:pt>
                <c:pt idx="42">
                  <c:v>2191.4134000000004</c:v>
                </c:pt>
                <c:pt idx="43">
                  <c:v>2275.4228000000003</c:v>
                </c:pt>
                <c:pt idx="44">
                  <c:v>2339.3482000000004</c:v>
                </c:pt>
                <c:pt idx="45">
                  <c:v>2371.8020000000006</c:v>
                </c:pt>
                <c:pt idx="46">
                  <c:v>2381.2554</c:v>
                </c:pt>
                <c:pt idx="47">
                  <c:v>2341.2620000000002</c:v>
                </c:pt>
                <c:pt idx="48">
                  <c:v>2225.4667999999997</c:v>
                </c:pt>
                <c:pt idx="49">
                  <c:v>2072.6902</c:v>
                </c:pt>
                <c:pt idx="50">
                  <c:v>1951.6759999999999</c:v>
                </c:pt>
                <c:pt idx="51">
                  <c:v>1861.3816000000002</c:v>
                </c:pt>
                <c:pt idx="52">
                  <c:v>1792.1155999999999</c:v>
                </c:pt>
                <c:pt idx="53">
                  <c:v>1728.7169999999999</c:v>
                </c:pt>
                <c:pt idx="54">
                  <c:v>1679.2829999999999</c:v>
                </c:pt>
                <c:pt idx="55">
                  <c:v>1642.7899999999997</c:v>
                </c:pt>
                <c:pt idx="56">
                  <c:v>1612.4515999999999</c:v>
                </c:pt>
                <c:pt idx="57">
                  <c:v>1584.097</c:v>
                </c:pt>
                <c:pt idx="58">
                  <c:v>1554.86</c:v>
                </c:pt>
                <c:pt idx="59">
                  <c:v>1529.9797999999998</c:v>
                </c:pt>
                <c:pt idx="60">
                  <c:v>1515.5474000000002</c:v>
                </c:pt>
                <c:pt idx="61">
                  <c:v>1507.8947999999998</c:v>
                </c:pt>
                <c:pt idx="62">
                  <c:v>1520.5724</c:v>
                </c:pt>
                <c:pt idx="63">
                  <c:v>1613.6860000000001</c:v>
                </c:pt>
                <c:pt idx="64">
                  <c:v>1793.3654000000001</c:v>
                </c:pt>
                <c:pt idx="65">
                  <c:v>1876.2750000000001</c:v>
                </c:pt>
                <c:pt idx="66">
                  <c:v>1811.7022000000002</c:v>
                </c:pt>
                <c:pt idx="67">
                  <c:v>1714.0527999999999</c:v>
                </c:pt>
                <c:pt idx="68">
                  <c:v>1752.125</c:v>
                </c:pt>
                <c:pt idx="69">
                  <c:v>2223.0721999999996</c:v>
                </c:pt>
                <c:pt idx="70">
                  <c:v>3029.5039999999999</c:v>
                </c:pt>
                <c:pt idx="71">
                  <c:v>3656.9403999999995</c:v>
                </c:pt>
                <c:pt idx="72">
                  <c:v>3775.6505999999995</c:v>
                </c:pt>
                <c:pt idx="73">
                  <c:v>3393.59</c:v>
                </c:pt>
                <c:pt idx="74">
                  <c:v>2908.0385999999999</c:v>
                </c:pt>
                <c:pt idx="75">
                  <c:v>2754.3468000000003</c:v>
                </c:pt>
                <c:pt idx="76">
                  <c:v>2943.0496000000003</c:v>
                </c:pt>
                <c:pt idx="77">
                  <c:v>3282.7393999999999</c:v>
                </c:pt>
                <c:pt idx="78">
                  <c:v>3597.1549999999997</c:v>
                </c:pt>
                <c:pt idx="79">
                  <c:v>3793.3524000000007</c:v>
                </c:pt>
                <c:pt idx="80">
                  <c:v>3926.6678000000002</c:v>
                </c:pt>
                <c:pt idx="81">
                  <c:v>4153.6020000000008</c:v>
                </c:pt>
                <c:pt idx="82">
                  <c:v>4397.9620000000004</c:v>
                </c:pt>
                <c:pt idx="83">
                  <c:v>4527.8076000000001</c:v>
                </c:pt>
                <c:pt idx="84">
                  <c:v>4397.51</c:v>
                </c:pt>
                <c:pt idx="85">
                  <c:v>4058.4749999999999</c:v>
                </c:pt>
                <c:pt idx="86">
                  <c:v>3576.2174</c:v>
                </c:pt>
                <c:pt idx="87">
                  <c:v>3113.9061999999999</c:v>
                </c:pt>
                <c:pt idx="88">
                  <c:v>2848.0889999999999</c:v>
                </c:pt>
                <c:pt idx="89">
                  <c:v>2704.5621999999998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667.42239999999993</c:v>
                </c:pt>
                <c:pt idx="1">
                  <c:v>869.05959999999993</c:v>
                </c:pt>
                <c:pt idx="2">
                  <c:v>1384.6338000000001</c:v>
                </c:pt>
                <c:pt idx="3">
                  <c:v>1985.4965999999999</c:v>
                </c:pt>
                <c:pt idx="4">
                  <c:v>2566.1519999999996</c:v>
                </c:pt>
                <c:pt idx="5">
                  <c:v>3008.4306000000001</c:v>
                </c:pt>
                <c:pt idx="6">
                  <c:v>3247.9892</c:v>
                </c:pt>
                <c:pt idx="7">
                  <c:v>3362.6688000000004</c:v>
                </c:pt>
                <c:pt idx="8">
                  <c:v>3396.2485999999999</c:v>
                </c:pt>
                <c:pt idx="9">
                  <c:v>3348.2936</c:v>
                </c:pt>
                <c:pt idx="10">
                  <c:v>3171.5830000000001</c:v>
                </c:pt>
                <c:pt idx="11">
                  <c:v>2858.9902000000002</c:v>
                </c:pt>
                <c:pt idx="12">
                  <c:v>2595.1866</c:v>
                </c:pt>
                <c:pt idx="13">
                  <c:v>2482.9497999999999</c:v>
                </c:pt>
                <c:pt idx="14">
                  <c:v>2462.1884</c:v>
                </c:pt>
                <c:pt idx="15">
                  <c:v>2461.5946000000004</c:v>
                </c:pt>
                <c:pt idx="16">
                  <c:v>2467.6324</c:v>
                </c:pt>
                <c:pt idx="17">
                  <c:v>2471.7705999999998</c:v>
                </c:pt>
                <c:pt idx="18">
                  <c:v>2474.6508000000003</c:v>
                </c:pt>
                <c:pt idx="19">
                  <c:v>2482.8208</c:v>
                </c:pt>
                <c:pt idx="20">
                  <c:v>2492.4268000000002</c:v>
                </c:pt>
                <c:pt idx="21">
                  <c:v>2494.0073999999995</c:v>
                </c:pt>
                <c:pt idx="22">
                  <c:v>2502.1975999999995</c:v>
                </c:pt>
                <c:pt idx="23">
                  <c:v>2525.2557999999999</c:v>
                </c:pt>
                <c:pt idx="24">
                  <c:v>2546.0491999999999</c:v>
                </c:pt>
                <c:pt idx="25">
                  <c:v>2554.38</c:v>
                </c:pt>
                <c:pt idx="26">
                  <c:v>2573.0473999999999</c:v>
                </c:pt>
                <c:pt idx="27">
                  <c:v>2603.2391999999995</c:v>
                </c:pt>
                <c:pt idx="28">
                  <c:v>2629.4319999999998</c:v>
                </c:pt>
                <c:pt idx="29">
                  <c:v>2634.7865999999999</c:v>
                </c:pt>
                <c:pt idx="30">
                  <c:v>2618.5341999999996</c:v>
                </c:pt>
                <c:pt idx="31">
                  <c:v>2571.2872000000002</c:v>
                </c:pt>
                <c:pt idx="32">
                  <c:v>2456.5547999999999</c:v>
                </c:pt>
                <c:pt idx="33">
                  <c:v>2301.5364</c:v>
                </c:pt>
                <c:pt idx="34">
                  <c:v>2137.9094</c:v>
                </c:pt>
                <c:pt idx="35">
                  <c:v>2043.0434</c:v>
                </c:pt>
                <c:pt idx="36">
                  <c:v>1999.6702</c:v>
                </c:pt>
                <c:pt idx="37">
                  <c:v>1994.5292000000002</c:v>
                </c:pt>
                <c:pt idx="38">
                  <c:v>2003.1799999999998</c:v>
                </c:pt>
                <c:pt idx="39">
                  <c:v>2033.4143999999997</c:v>
                </c:pt>
                <c:pt idx="40">
                  <c:v>2109.8974000000003</c:v>
                </c:pt>
                <c:pt idx="41">
                  <c:v>2218.5644000000002</c:v>
                </c:pt>
                <c:pt idx="42">
                  <c:v>2316.7074000000002</c:v>
                </c:pt>
                <c:pt idx="43">
                  <c:v>2382.3374000000003</c:v>
                </c:pt>
                <c:pt idx="44">
                  <c:v>2429.9103999999998</c:v>
                </c:pt>
                <c:pt idx="45">
                  <c:v>2476.66</c:v>
                </c:pt>
                <c:pt idx="46">
                  <c:v>2514.5349999999999</c:v>
                </c:pt>
                <c:pt idx="47">
                  <c:v>2471.8481999999995</c:v>
                </c:pt>
                <c:pt idx="48">
                  <c:v>2356.5038</c:v>
                </c:pt>
                <c:pt idx="49">
                  <c:v>2216.5841999999998</c:v>
                </c:pt>
                <c:pt idx="50">
                  <c:v>2104.5005999999998</c:v>
                </c:pt>
                <c:pt idx="51">
                  <c:v>2006.3350000000003</c:v>
                </c:pt>
                <c:pt idx="52">
                  <c:v>1923.5907999999999</c:v>
                </c:pt>
                <c:pt idx="53">
                  <c:v>1853.7048</c:v>
                </c:pt>
                <c:pt idx="54">
                  <c:v>1794.6752000000001</c:v>
                </c:pt>
                <c:pt idx="55">
                  <c:v>1747.2078000000001</c:v>
                </c:pt>
                <c:pt idx="56">
                  <c:v>1699.8221999999998</c:v>
                </c:pt>
                <c:pt idx="57">
                  <c:v>1653.2400000000002</c:v>
                </c:pt>
                <c:pt idx="58">
                  <c:v>1615.0054</c:v>
                </c:pt>
                <c:pt idx="59">
                  <c:v>1589.6074000000001</c:v>
                </c:pt>
                <c:pt idx="60">
                  <c:v>1574.1399999999999</c:v>
                </c:pt>
                <c:pt idx="61">
                  <c:v>1568.1296000000002</c:v>
                </c:pt>
                <c:pt idx="62">
                  <c:v>1590.4226000000003</c:v>
                </c:pt>
                <c:pt idx="63">
                  <c:v>1695.9044000000001</c:v>
                </c:pt>
                <c:pt idx="64">
                  <c:v>1859.7916</c:v>
                </c:pt>
                <c:pt idx="65">
                  <c:v>1929.3766000000001</c:v>
                </c:pt>
                <c:pt idx="66">
                  <c:v>1871.9394</c:v>
                </c:pt>
                <c:pt idx="67">
                  <c:v>1779.1261999999999</c:v>
                </c:pt>
                <c:pt idx="68">
                  <c:v>1843.8786</c:v>
                </c:pt>
                <c:pt idx="69">
                  <c:v>2347.1967999999997</c:v>
                </c:pt>
                <c:pt idx="70">
                  <c:v>3145.1368000000002</c:v>
                </c:pt>
                <c:pt idx="71">
                  <c:v>3740.7226000000001</c:v>
                </c:pt>
                <c:pt idx="72">
                  <c:v>3834.8319999999999</c:v>
                </c:pt>
                <c:pt idx="73">
                  <c:v>3445.4787999999999</c:v>
                </c:pt>
                <c:pt idx="74">
                  <c:v>2960.1623999999997</c:v>
                </c:pt>
                <c:pt idx="75">
                  <c:v>2777.2982000000002</c:v>
                </c:pt>
                <c:pt idx="76">
                  <c:v>2920.4307999999996</c:v>
                </c:pt>
                <c:pt idx="77">
                  <c:v>3207.1223999999997</c:v>
                </c:pt>
                <c:pt idx="78">
                  <c:v>3490.5938000000001</c:v>
                </c:pt>
                <c:pt idx="79">
                  <c:v>3752.8139999999999</c:v>
                </c:pt>
                <c:pt idx="80">
                  <c:v>4000.2826</c:v>
                </c:pt>
                <c:pt idx="81">
                  <c:v>4300.5154000000002</c:v>
                </c:pt>
                <c:pt idx="82">
                  <c:v>4563.6063999999997</c:v>
                </c:pt>
                <c:pt idx="83">
                  <c:v>4706.5973999999997</c:v>
                </c:pt>
                <c:pt idx="84">
                  <c:v>4580.9528</c:v>
                </c:pt>
                <c:pt idx="85">
                  <c:v>4232.9714000000004</c:v>
                </c:pt>
                <c:pt idx="86">
                  <c:v>3739.0770000000002</c:v>
                </c:pt>
                <c:pt idx="87">
                  <c:v>3238.9983999999999</c:v>
                </c:pt>
                <c:pt idx="88">
                  <c:v>2946.1206000000002</c:v>
                </c:pt>
                <c:pt idx="89">
                  <c:v>2803.1505999999999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8</xdr:row>
      <xdr:rowOff>95250</xdr:rowOff>
    </xdr:from>
    <xdr:to>
      <xdr:col>15</xdr:col>
      <xdr:colOff>590550</xdr:colOff>
      <xdr:row>32</xdr:row>
      <xdr:rowOff>133349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03\_dark_profiles_CO03_DARK" connectionId="1" xr16:uid="{771D6171-403C-4B3C-906E-D3C9D23F0765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03\_light_profiles_CO03_LIGHT" connectionId="2" xr16:uid="{FBE59BBA-2223-4C6C-A3E6-DCFF6AD7A62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D4" sqref="D4"/>
    </sheetView>
  </sheetViews>
  <sheetFormatPr defaultRowHeight="15" x14ac:dyDescent="0.25"/>
  <cols>
    <col min="1" max="1" width="11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4" t="s">
        <v>0</v>
      </c>
      <c r="B1" s="4"/>
      <c r="C1" s="4"/>
      <c r="D1" s="4"/>
      <c r="E1" s="4"/>
      <c r="F1" s="4"/>
      <c r="K1" s="5" t="s">
        <v>1</v>
      </c>
      <c r="L1" s="5"/>
      <c r="M1" s="5"/>
      <c r="N1" s="5"/>
      <c r="O1" s="5"/>
      <c r="P1" s="5"/>
    </row>
    <row r="2" spans="1:19" x14ac:dyDescent="0.25">
      <c r="A2" t="s">
        <v>6</v>
      </c>
      <c r="B2">
        <v>1</v>
      </c>
      <c r="C2">
        <v>2</v>
      </c>
      <c r="D2">
        <v>3</v>
      </c>
      <c r="E2">
        <v>4</v>
      </c>
      <c r="F2">
        <v>5</v>
      </c>
      <c r="K2" t="s">
        <v>7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2</v>
      </c>
      <c r="B3">
        <v>-1.1919999999999999</v>
      </c>
      <c r="C3">
        <v>-4.9059999999999997</v>
      </c>
      <c r="D3">
        <v>-0.99099999999999999</v>
      </c>
      <c r="E3">
        <v>-1.3560000000000001</v>
      </c>
      <c r="F3">
        <v>-1.913</v>
      </c>
      <c r="K3" t="s">
        <v>2</v>
      </c>
      <c r="L3">
        <v>-2.7410000000000001</v>
      </c>
      <c r="M3">
        <v>-5.68</v>
      </c>
      <c r="N3">
        <v>-1.3480000000000001</v>
      </c>
      <c r="O3">
        <v>-3.1440000000000001</v>
      </c>
      <c r="P3">
        <v>-2.2450000000000001</v>
      </c>
    </row>
    <row r="4" spans="1:19" x14ac:dyDescent="0.25">
      <c r="A4" t="s">
        <v>3</v>
      </c>
      <c r="B4">
        <v>312.03199999999998</v>
      </c>
      <c r="C4">
        <v>313.2</v>
      </c>
      <c r="D4">
        <v>311.30200000000002</v>
      </c>
      <c r="E4">
        <v>311.90899999999999</v>
      </c>
      <c r="F4">
        <v>312.48099999999999</v>
      </c>
      <c r="H4" s="2">
        <f>AVERAGE(B4:F4)</f>
        <v>312.1848</v>
      </c>
      <c r="I4" s="2">
        <f>STDEV(B4:F4)/SQRT(COUNT(B4:F4))</f>
        <v>0.31599958860732286</v>
      </c>
      <c r="K4" t="s">
        <v>3</v>
      </c>
      <c r="L4">
        <v>313.63499999999999</v>
      </c>
      <c r="M4">
        <v>314.70699999999999</v>
      </c>
      <c r="N4">
        <v>312.62799999999999</v>
      </c>
      <c r="O4">
        <v>312.03699999999998</v>
      </c>
      <c r="P4">
        <v>310.62799999999999</v>
      </c>
      <c r="R4" s="3">
        <f>AVERAGE(L4:P4)</f>
        <v>312.72699999999998</v>
      </c>
      <c r="S4" s="3">
        <f>STDEV(L4:P4)/SQRT(COUNT(L4:P4))</f>
        <v>0.69413853084236909</v>
      </c>
    </row>
    <row r="5" spans="1:19" x14ac:dyDescent="0.25">
      <c r="A5" t="s">
        <v>4</v>
      </c>
      <c r="B5">
        <v>66.884</v>
      </c>
      <c r="C5">
        <v>68.245000000000005</v>
      </c>
      <c r="D5">
        <v>67.653000000000006</v>
      </c>
      <c r="E5">
        <v>67.186000000000007</v>
      </c>
      <c r="F5">
        <v>67.73</v>
      </c>
      <c r="H5" s="2">
        <f t="shared" ref="H5:H68" si="0">AVERAGE(B5:F5)</f>
        <v>67.539600000000021</v>
      </c>
      <c r="I5" s="2">
        <f t="shared" ref="I5:I68" si="1">STDEV(B5:F5)/SQRT(COUNT(B5:F5))</f>
        <v>0.23468544905894823</v>
      </c>
      <c r="K5" t="s">
        <v>4</v>
      </c>
      <c r="L5">
        <v>67.656000000000006</v>
      </c>
      <c r="M5">
        <v>67.557000000000002</v>
      </c>
      <c r="N5">
        <v>67.102999999999994</v>
      </c>
      <c r="O5">
        <v>67.183000000000007</v>
      </c>
      <c r="P5">
        <v>67.438999999999993</v>
      </c>
      <c r="R5" s="3">
        <f t="shared" ref="R5:R68" si="2">AVERAGE(L5:P5)</f>
        <v>67.387599999999992</v>
      </c>
      <c r="S5" s="3">
        <f t="shared" ref="S5:S68" si="3">STDEV(L5:P5)/SQRT(COUNT(L5:P5))</f>
        <v>0.1063567581303613</v>
      </c>
    </row>
    <row r="6" spans="1:19" x14ac:dyDescent="0.25">
      <c r="A6" t="s">
        <v>5</v>
      </c>
      <c r="B6">
        <v>29.396000000000001</v>
      </c>
      <c r="C6">
        <v>30.468</v>
      </c>
      <c r="D6">
        <v>28.881</v>
      </c>
      <c r="E6">
        <v>29.120999999999999</v>
      </c>
      <c r="F6">
        <v>29.209</v>
      </c>
      <c r="H6" s="2">
        <f t="shared" si="0"/>
        <v>29.414999999999999</v>
      </c>
      <c r="I6" s="2">
        <f t="shared" si="1"/>
        <v>0.27597083179205739</v>
      </c>
      <c r="K6" t="s">
        <v>5</v>
      </c>
      <c r="L6">
        <v>29.641999999999999</v>
      </c>
      <c r="M6">
        <v>30.306999999999999</v>
      </c>
      <c r="N6">
        <v>29.704999999999998</v>
      </c>
      <c r="O6">
        <v>29.323</v>
      </c>
      <c r="P6">
        <v>28.812999999999999</v>
      </c>
      <c r="R6" s="3">
        <f t="shared" si="2"/>
        <v>29.558</v>
      </c>
      <c r="S6" s="3">
        <f t="shared" si="3"/>
        <v>0.24494040091418146</v>
      </c>
    </row>
    <row r="7" spans="1:19" x14ac:dyDescent="0.25">
      <c r="A7">
        <v>-3.75</v>
      </c>
      <c r="B7">
        <v>731.10599999999999</v>
      </c>
      <c r="C7">
        <v>625.28499999999997</v>
      </c>
      <c r="D7">
        <v>757.33699999999999</v>
      </c>
      <c r="E7">
        <v>673.67499999999995</v>
      </c>
      <c r="F7">
        <v>658.44799999999998</v>
      </c>
      <c r="H7" s="2">
        <f t="shared" si="0"/>
        <v>689.17020000000002</v>
      </c>
      <c r="I7" s="2">
        <f t="shared" si="1"/>
        <v>24.156363052827309</v>
      </c>
      <c r="K7">
        <v>-3.75</v>
      </c>
      <c r="L7">
        <v>715.548</v>
      </c>
      <c r="M7">
        <v>671.452</v>
      </c>
      <c r="N7">
        <v>568.90300000000002</v>
      </c>
      <c r="O7">
        <v>718.58699999999999</v>
      </c>
      <c r="P7">
        <v>662.62199999999996</v>
      </c>
      <c r="R7" s="3">
        <f t="shared" si="2"/>
        <v>667.42239999999993</v>
      </c>
      <c r="S7" s="3">
        <f t="shared" si="3"/>
        <v>27.091736158098094</v>
      </c>
    </row>
    <row r="8" spans="1:19" x14ac:dyDescent="0.25">
      <c r="A8">
        <v>-2.5</v>
      </c>
      <c r="B8">
        <v>948.303</v>
      </c>
      <c r="C8">
        <v>686.51800000000003</v>
      </c>
      <c r="D8">
        <v>1036.952</v>
      </c>
      <c r="E8">
        <v>961.76099999999997</v>
      </c>
      <c r="F8">
        <v>835.21799999999996</v>
      </c>
      <c r="H8" s="2">
        <f t="shared" si="0"/>
        <v>893.75040000000013</v>
      </c>
      <c r="I8" s="2">
        <f t="shared" si="1"/>
        <v>61.02435398314303</v>
      </c>
      <c r="K8">
        <v>-2.5</v>
      </c>
      <c r="L8">
        <v>897.99099999999999</v>
      </c>
      <c r="M8">
        <v>871.65200000000004</v>
      </c>
      <c r="N8">
        <v>768.50400000000002</v>
      </c>
      <c r="O8">
        <v>962.44399999999996</v>
      </c>
      <c r="P8">
        <v>844.70699999999999</v>
      </c>
      <c r="R8" s="3">
        <f t="shared" si="2"/>
        <v>869.05959999999993</v>
      </c>
      <c r="S8" s="3">
        <f t="shared" si="3"/>
        <v>31.834627707262403</v>
      </c>
    </row>
    <row r="9" spans="1:19" x14ac:dyDescent="0.25">
      <c r="A9">
        <v>-1.25</v>
      </c>
      <c r="B9">
        <v>1472.9649999999999</v>
      </c>
      <c r="C9">
        <v>1072.1210000000001</v>
      </c>
      <c r="D9">
        <v>1539.171</v>
      </c>
      <c r="E9">
        <v>1480.779</v>
      </c>
      <c r="F9">
        <v>1325.7639999999999</v>
      </c>
      <c r="H9" s="2">
        <f t="shared" si="0"/>
        <v>1378.16</v>
      </c>
      <c r="I9" s="2">
        <f t="shared" si="1"/>
        <v>84.216506589860529</v>
      </c>
      <c r="K9">
        <v>-1.25</v>
      </c>
      <c r="L9">
        <v>1450.3520000000001</v>
      </c>
      <c r="M9">
        <v>1513.1030000000001</v>
      </c>
      <c r="N9">
        <v>1243.0930000000001</v>
      </c>
      <c r="O9">
        <v>1442.684</v>
      </c>
      <c r="P9">
        <v>1273.9369999999999</v>
      </c>
      <c r="R9" s="3">
        <f t="shared" si="2"/>
        <v>1384.6338000000001</v>
      </c>
      <c r="S9" s="3">
        <f t="shared" si="3"/>
        <v>53.141613860890608</v>
      </c>
    </row>
    <row r="10" spans="1:19" x14ac:dyDescent="0.25">
      <c r="A10">
        <v>0</v>
      </c>
      <c r="B10">
        <v>2105.61</v>
      </c>
      <c r="C10">
        <v>1574.8140000000001</v>
      </c>
      <c r="D10">
        <v>2156.4749999999999</v>
      </c>
      <c r="E10">
        <v>2095.127</v>
      </c>
      <c r="F10">
        <v>1913.3</v>
      </c>
      <c r="H10" s="2">
        <f t="shared" si="0"/>
        <v>1969.0651999999998</v>
      </c>
      <c r="I10" s="2">
        <f t="shared" si="1"/>
        <v>106.81813029509608</v>
      </c>
      <c r="K10">
        <v>0</v>
      </c>
      <c r="L10">
        <v>2076.8780000000002</v>
      </c>
      <c r="M10">
        <v>2163.4450000000002</v>
      </c>
      <c r="N10">
        <v>1777.13</v>
      </c>
      <c r="O10">
        <v>2081.473</v>
      </c>
      <c r="P10">
        <v>1828.557</v>
      </c>
      <c r="R10" s="3">
        <f t="shared" si="2"/>
        <v>1985.4965999999999</v>
      </c>
      <c r="S10" s="3">
        <f t="shared" si="3"/>
        <v>76.574911272948924</v>
      </c>
    </row>
    <row r="11" spans="1:19" x14ac:dyDescent="0.25">
      <c r="A11">
        <v>1.25</v>
      </c>
      <c r="B11">
        <v>2747.7860000000001</v>
      </c>
      <c r="C11">
        <v>2019.509</v>
      </c>
      <c r="D11">
        <v>2692.5079999999998</v>
      </c>
      <c r="E11">
        <v>2672.5520000000001</v>
      </c>
      <c r="F11">
        <v>2480.471</v>
      </c>
      <c r="H11" s="2">
        <f t="shared" si="0"/>
        <v>2522.5652</v>
      </c>
      <c r="I11" s="2">
        <f t="shared" si="1"/>
        <v>133.59237744549762</v>
      </c>
      <c r="K11">
        <v>1.25</v>
      </c>
      <c r="L11">
        <v>2684.1</v>
      </c>
      <c r="M11">
        <v>2794.924</v>
      </c>
      <c r="N11">
        <v>2307.8159999999998</v>
      </c>
      <c r="O11">
        <v>2693.3870000000002</v>
      </c>
      <c r="P11">
        <v>2350.5329999999999</v>
      </c>
      <c r="R11" s="3">
        <f t="shared" si="2"/>
        <v>2566.1519999999996</v>
      </c>
      <c r="S11" s="3">
        <f t="shared" si="3"/>
        <v>98.910602558573103</v>
      </c>
    </row>
    <row r="12" spans="1:19" x14ac:dyDescent="0.25">
      <c r="A12">
        <v>2.5</v>
      </c>
      <c r="B12">
        <v>3219.645</v>
      </c>
      <c r="C12">
        <v>2360.2530000000002</v>
      </c>
      <c r="D12">
        <v>3154.4319999999998</v>
      </c>
      <c r="E12">
        <v>3103.9079999999999</v>
      </c>
      <c r="F12">
        <v>2928.5639999999999</v>
      </c>
      <c r="H12" s="2">
        <f t="shared" si="0"/>
        <v>2953.3604</v>
      </c>
      <c r="I12" s="2">
        <f t="shared" si="1"/>
        <v>155.94760430625354</v>
      </c>
      <c r="K12">
        <v>2.5</v>
      </c>
      <c r="L12">
        <v>3139.7339999999999</v>
      </c>
      <c r="M12">
        <v>3282.3229999999999</v>
      </c>
      <c r="N12">
        <v>2731.7449999999999</v>
      </c>
      <c r="O12">
        <v>3144.4650000000001</v>
      </c>
      <c r="P12">
        <v>2743.886</v>
      </c>
      <c r="R12" s="3">
        <f t="shared" si="2"/>
        <v>3008.4306000000001</v>
      </c>
      <c r="S12" s="3">
        <f t="shared" si="3"/>
        <v>113.42437001129873</v>
      </c>
    </row>
    <row r="13" spans="1:19" x14ac:dyDescent="0.25">
      <c r="A13">
        <v>3.75</v>
      </c>
      <c r="B13">
        <v>3464.5920000000001</v>
      </c>
      <c r="C13">
        <v>2561.75</v>
      </c>
      <c r="D13">
        <v>3416.739</v>
      </c>
      <c r="E13">
        <v>3387.6280000000002</v>
      </c>
      <c r="F13">
        <v>3156.7</v>
      </c>
      <c r="H13" s="2">
        <f t="shared" si="0"/>
        <v>3197.4818</v>
      </c>
      <c r="I13" s="2">
        <f t="shared" si="1"/>
        <v>167.54032840077741</v>
      </c>
      <c r="K13">
        <v>3.75</v>
      </c>
      <c r="L13">
        <v>3378.01</v>
      </c>
      <c r="M13">
        <v>3548.6379999999999</v>
      </c>
      <c r="N13">
        <v>2961.1860000000001</v>
      </c>
      <c r="O13">
        <v>3394.7939999999999</v>
      </c>
      <c r="P13">
        <v>2957.3180000000002</v>
      </c>
      <c r="R13" s="3">
        <f t="shared" si="2"/>
        <v>3247.9892</v>
      </c>
      <c r="S13" s="3">
        <f t="shared" si="3"/>
        <v>121.57149762933737</v>
      </c>
    </row>
    <row r="14" spans="1:19" x14ac:dyDescent="0.25">
      <c r="A14">
        <v>5</v>
      </c>
      <c r="B14">
        <v>3558.8</v>
      </c>
      <c r="C14">
        <v>2663.2269999999999</v>
      </c>
      <c r="D14">
        <v>3481.8510000000001</v>
      </c>
      <c r="E14">
        <v>3501.9720000000002</v>
      </c>
      <c r="F14">
        <v>3254.1460000000002</v>
      </c>
      <c r="H14" s="2">
        <f t="shared" si="0"/>
        <v>3291.9991999999997</v>
      </c>
      <c r="I14" s="2">
        <f t="shared" si="1"/>
        <v>165.54490234175191</v>
      </c>
      <c r="K14">
        <v>5</v>
      </c>
      <c r="L14">
        <v>3507.2330000000002</v>
      </c>
      <c r="M14">
        <v>3680.7689999999998</v>
      </c>
      <c r="N14">
        <v>3040.9920000000002</v>
      </c>
      <c r="O14">
        <v>3520.0650000000001</v>
      </c>
      <c r="P14">
        <v>3064.2849999999999</v>
      </c>
      <c r="R14" s="3">
        <f t="shared" si="2"/>
        <v>3362.6688000000004</v>
      </c>
      <c r="S14" s="3">
        <f t="shared" si="3"/>
        <v>130.26299641433093</v>
      </c>
    </row>
    <row r="15" spans="1:19" x14ac:dyDescent="0.25">
      <c r="A15">
        <v>6.25</v>
      </c>
      <c r="B15">
        <v>3591.81</v>
      </c>
      <c r="C15">
        <v>2688.0459999999998</v>
      </c>
      <c r="D15">
        <v>3499.5880000000002</v>
      </c>
      <c r="E15">
        <v>3551.2139999999999</v>
      </c>
      <c r="F15">
        <v>3311.2750000000001</v>
      </c>
      <c r="H15" s="2">
        <f t="shared" si="0"/>
        <v>3328.3866000000003</v>
      </c>
      <c r="I15" s="2">
        <f t="shared" si="1"/>
        <v>167.13508729216619</v>
      </c>
      <c r="K15">
        <v>6.25</v>
      </c>
      <c r="L15">
        <v>3538.7739999999999</v>
      </c>
      <c r="M15">
        <v>3699.4319999999998</v>
      </c>
      <c r="N15">
        <v>3071.5390000000002</v>
      </c>
      <c r="O15">
        <v>3577.8429999999998</v>
      </c>
      <c r="P15">
        <v>3093.6550000000002</v>
      </c>
      <c r="R15" s="3">
        <f t="shared" si="2"/>
        <v>3396.2485999999999</v>
      </c>
      <c r="S15" s="3">
        <f t="shared" si="3"/>
        <v>130.80699539497104</v>
      </c>
    </row>
    <row r="16" spans="1:19" x14ac:dyDescent="0.25">
      <c r="A16">
        <v>7.5</v>
      </c>
      <c r="B16">
        <v>3509.3389999999999</v>
      </c>
      <c r="C16">
        <v>2663.9830000000002</v>
      </c>
      <c r="D16">
        <v>3436.85</v>
      </c>
      <c r="E16">
        <v>3480.6039999999998</v>
      </c>
      <c r="F16">
        <v>3282.6469999999999</v>
      </c>
      <c r="H16" s="2">
        <f t="shared" si="0"/>
        <v>3274.6845999999996</v>
      </c>
      <c r="I16" s="2">
        <f t="shared" si="1"/>
        <v>157.60440154849732</v>
      </c>
      <c r="K16">
        <v>7.5</v>
      </c>
      <c r="L16">
        <v>3487.1880000000001</v>
      </c>
      <c r="M16">
        <v>3639.5459999999998</v>
      </c>
      <c r="N16">
        <v>3044.299</v>
      </c>
      <c r="O16">
        <v>3535.3270000000002</v>
      </c>
      <c r="P16">
        <v>3035.1080000000002</v>
      </c>
      <c r="R16" s="3">
        <f t="shared" si="2"/>
        <v>3348.2936</v>
      </c>
      <c r="S16" s="3">
        <f t="shared" si="3"/>
        <v>128.37426620027861</v>
      </c>
    </row>
    <row r="17" spans="1:19" x14ac:dyDescent="0.25">
      <c r="A17">
        <v>8.75</v>
      </c>
      <c r="B17">
        <v>3301.2359999999999</v>
      </c>
      <c r="C17">
        <v>2534.2150000000001</v>
      </c>
      <c r="D17">
        <v>3223.1219999999998</v>
      </c>
      <c r="E17">
        <v>3255.6489999999999</v>
      </c>
      <c r="F17">
        <v>3109.962</v>
      </c>
      <c r="H17" s="2">
        <f t="shared" si="0"/>
        <v>3084.8368</v>
      </c>
      <c r="I17" s="2">
        <f t="shared" si="1"/>
        <v>141.23453194576734</v>
      </c>
      <c r="K17">
        <v>8.75</v>
      </c>
      <c r="L17">
        <v>3299.2829999999999</v>
      </c>
      <c r="M17">
        <v>3471.4960000000001</v>
      </c>
      <c r="N17">
        <v>2868.5320000000002</v>
      </c>
      <c r="O17">
        <v>3351.3530000000001</v>
      </c>
      <c r="P17">
        <v>2867.2510000000002</v>
      </c>
      <c r="R17" s="3">
        <f t="shared" si="2"/>
        <v>3171.5830000000001</v>
      </c>
      <c r="S17" s="3">
        <f t="shared" si="3"/>
        <v>127.08859612372775</v>
      </c>
    </row>
    <row r="18" spans="1:19" x14ac:dyDescent="0.25">
      <c r="A18">
        <v>10</v>
      </c>
      <c r="B18">
        <v>2948.6129999999998</v>
      </c>
      <c r="C18">
        <v>2295.3620000000001</v>
      </c>
      <c r="D18">
        <v>2883.328</v>
      </c>
      <c r="E18">
        <v>2898.2240000000002</v>
      </c>
      <c r="F18">
        <v>2766.6210000000001</v>
      </c>
      <c r="H18" s="2">
        <f t="shared" si="0"/>
        <v>2758.4296000000004</v>
      </c>
      <c r="I18" s="2">
        <f t="shared" si="1"/>
        <v>119.54298629221203</v>
      </c>
      <c r="K18">
        <v>10</v>
      </c>
      <c r="L18">
        <v>2993.3130000000001</v>
      </c>
      <c r="M18">
        <v>3166.5549999999998</v>
      </c>
      <c r="N18">
        <v>2526.2449999999999</v>
      </c>
      <c r="O18">
        <v>3014.596</v>
      </c>
      <c r="P18">
        <v>2594.2420000000002</v>
      </c>
      <c r="R18" s="3">
        <f t="shared" si="2"/>
        <v>2858.9902000000002</v>
      </c>
      <c r="S18" s="3">
        <f t="shared" si="3"/>
        <v>126.02834270885256</v>
      </c>
    </row>
    <row r="19" spans="1:19" x14ac:dyDescent="0.25">
      <c r="A19">
        <v>11.25</v>
      </c>
      <c r="B19">
        <v>2667.97</v>
      </c>
      <c r="C19">
        <v>2105.7089999999998</v>
      </c>
      <c r="D19">
        <v>2582.2440000000001</v>
      </c>
      <c r="E19">
        <v>2612.2310000000002</v>
      </c>
      <c r="F19">
        <v>2502.3139999999999</v>
      </c>
      <c r="H19" s="2">
        <f t="shared" si="0"/>
        <v>2494.0936000000002</v>
      </c>
      <c r="I19" s="2">
        <f t="shared" si="1"/>
        <v>100.71497238970979</v>
      </c>
      <c r="K19">
        <v>11.25</v>
      </c>
      <c r="L19">
        <v>2717.152</v>
      </c>
      <c r="M19">
        <v>2905.5770000000002</v>
      </c>
      <c r="N19">
        <v>2269.88</v>
      </c>
      <c r="O19">
        <v>2731.0039999999999</v>
      </c>
      <c r="P19">
        <v>2352.3200000000002</v>
      </c>
      <c r="R19" s="3">
        <f t="shared" si="2"/>
        <v>2595.1866</v>
      </c>
      <c r="S19" s="3">
        <f t="shared" si="3"/>
        <v>121.34098539883379</v>
      </c>
    </row>
    <row r="20" spans="1:19" x14ac:dyDescent="0.25">
      <c r="A20">
        <v>12.5</v>
      </c>
      <c r="B20">
        <v>2539.1060000000002</v>
      </c>
      <c r="C20">
        <v>2029.3679999999999</v>
      </c>
      <c r="D20">
        <v>2443.2669999999998</v>
      </c>
      <c r="E20">
        <v>2479.5230000000001</v>
      </c>
      <c r="F20">
        <v>2389.9899999999998</v>
      </c>
      <c r="H20" s="2">
        <f t="shared" si="0"/>
        <v>2376.2507999999998</v>
      </c>
      <c r="I20" s="2">
        <f t="shared" si="1"/>
        <v>90.054032967657832</v>
      </c>
      <c r="K20">
        <v>12.5</v>
      </c>
      <c r="L20">
        <v>2611.6019999999999</v>
      </c>
      <c r="M20">
        <v>2795.8739999999998</v>
      </c>
      <c r="N20">
        <v>2149.018</v>
      </c>
      <c r="O20">
        <v>2613.4850000000001</v>
      </c>
      <c r="P20">
        <v>2244.77</v>
      </c>
      <c r="R20" s="3">
        <f t="shared" si="2"/>
        <v>2482.9497999999999</v>
      </c>
      <c r="S20" s="3">
        <f t="shared" si="3"/>
        <v>122.42394498806183</v>
      </c>
    </row>
    <row r="21" spans="1:19" x14ac:dyDescent="0.25">
      <c r="A21">
        <v>13.75</v>
      </c>
      <c r="B21">
        <v>2511.8270000000002</v>
      </c>
      <c r="C21">
        <v>2012.345</v>
      </c>
      <c r="D21">
        <v>2419.63</v>
      </c>
      <c r="E21">
        <v>2448.7869999999998</v>
      </c>
      <c r="F21">
        <v>2367.21</v>
      </c>
      <c r="H21" s="2">
        <f t="shared" si="0"/>
        <v>2351.9597999999996</v>
      </c>
      <c r="I21" s="2">
        <f t="shared" si="1"/>
        <v>88.057670092616007</v>
      </c>
      <c r="K21">
        <v>13.75</v>
      </c>
      <c r="L21">
        <v>2592.5030000000002</v>
      </c>
      <c r="M21">
        <v>2774.0309999999999</v>
      </c>
      <c r="N21">
        <v>2121.4740000000002</v>
      </c>
      <c r="O21">
        <v>2597.268</v>
      </c>
      <c r="P21">
        <v>2225.6660000000002</v>
      </c>
      <c r="R21" s="3">
        <f t="shared" si="2"/>
        <v>2462.1884</v>
      </c>
      <c r="S21" s="3">
        <f t="shared" si="3"/>
        <v>123.39030524178142</v>
      </c>
    </row>
    <row r="22" spans="1:19" x14ac:dyDescent="0.25">
      <c r="A22">
        <v>15</v>
      </c>
      <c r="B22">
        <v>2523.1729999999998</v>
      </c>
      <c r="C22">
        <v>2021.749</v>
      </c>
      <c r="D22">
        <v>2426.2240000000002</v>
      </c>
      <c r="E22">
        <v>2446.067</v>
      </c>
      <c r="F22">
        <v>2371.6709999999998</v>
      </c>
      <c r="H22" s="2">
        <f t="shared" si="0"/>
        <v>2357.7768000000001</v>
      </c>
      <c r="I22" s="2">
        <f t="shared" si="1"/>
        <v>87.448216889997227</v>
      </c>
      <c r="K22">
        <v>15</v>
      </c>
      <c r="L22">
        <v>2588.2289999999998</v>
      </c>
      <c r="M22">
        <v>2768.11</v>
      </c>
      <c r="N22">
        <v>2130.8240000000001</v>
      </c>
      <c r="O22">
        <v>2595.3330000000001</v>
      </c>
      <c r="P22">
        <v>2225.4769999999999</v>
      </c>
      <c r="R22" s="3">
        <f t="shared" si="2"/>
        <v>2461.5946000000004</v>
      </c>
      <c r="S22" s="3">
        <f t="shared" si="3"/>
        <v>121.04433737048586</v>
      </c>
    </row>
    <row r="23" spans="1:19" x14ac:dyDescent="0.25">
      <c r="A23">
        <v>16.25</v>
      </c>
      <c r="B23">
        <v>2528.8380000000002</v>
      </c>
      <c r="C23">
        <v>2024.0419999999999</v>
      </c>
      <c r="D23">
        <v>2439.5</v>
      </c>
      <c r="E23">
        <v>2452.556</v>
      </c>
      <c r="F23">
        <v>2383.442</v>
      </c>
      <c r="H23" s="2">
        <f t="shared" si="0"/>
        <v>2365.6756</v>
      </c>
      <c r="I23" s="2">
        <f t="shared" si="1"/>
        <v>88.501236243117006</v>
      </c>
      <c r="K23">
        <v>16.25</v>
      </c>
      <c r="L23">
        <v>2596.7930000000001</v>
      </c>
      <c r="M23">
        <v>2767.2150000000001</v>
      </c>
      <c r="N23">
        <v>2145.299</v>
      </c>
      <c r="O23">
        <v>2596.3679999999999</v>
      </c>
      <c r="P23">
        <v>2232.4870000000001</v>
      </c>
      <c r="R23" s="3">
        <f t="shared" si="2"/>
        <v>2467.6324</v>
      </c>
      <c r="S23" s="3">
        <f t="shared" si="3"/>
        <v>118.78493789601444</v>
      </c>
    </row>
    <row r="24" spans="1:19" x14ac:dyDescent="0.25">
      <c r="A24">
        <v>17.5</v>
      </c>
      <c r="B24">
        <v>2516.297</v>
      </c>
      <c r="C24">
        <v>2016.1769999999999</v>
      </c>
      <c r="D24">
        <v>2444.8339999999998</v>
      </c>
      <c r="E24">
        <v>2455.8180000000002</v>
      </c>
      <c r="F24">
        <v>2397.4160000000002</v>
      </c>
      <c r="H24" s="2">
        <f t="shared" si="0"/>
        <v>2366.1084000000001</v>
      </c>
      <c r="I24" s="2">
        <f t="shared" si="1"/>
        <v>89.508183570330615</v>
      </c>
      <c r="K24">
        <v>17.5</v>
      </c>
      <c r="L24">
        <v>2597.962</v>
      </c>
      <c r="M24">
        <v>2774.9110000000001</v>
      </c>
      <c r="N24">
        <v>2156.942</v>
      </c>
      <c r="O24">
        <v>2598.19</v>
      </c>
      <c r="P24">
        <v>2230.848</v>
      </c>
      <c r="R24" s="3">
        <f t="shared" si="2"/>
        <v>2471.7705999999998</v>
      </c>
      <c r="S24" s="3">
        <f t="shared" si="3"/>
        <v>118.52446642174772</v>
      </c>
    </row>
    <row r="25" spans="1:19" x14ac:dyDescent="0.25">
      <c r="A25">
        <v>18.75</v>
      </c>
      <c r="B25">
        <v>2509.5700000000002</v>
      </c>
      <c r="C25">
        <v>2009.3530000000001</v>
      </c>
      <c r="D25">
        <v>2442.2420000000002</v>
      </c>
      <c r="E25">
        <v>2453.7530000000002</v>
      </c>
      <c r="F25">
        <v>2394.1</v>
      </c>
      <c r="H25" s="2">
        <f t="shared" si="0"/>
        <v>2361.8036000000002</v>
      </c>
      <c r="I25" s="2">
        <f t="shared" si="1"/>
        <v>90.006783138050224</v>
      </c>
      <c r="K25">
        <v>18.75</v>
      </c>
      <c r="L25">
        <v>2601.018</v>
      </c>
      <c r="M25">
        <v>2769.9639999999999</v>
      </c>
      <c r="N25">
        <v>2154.8440000000001</v>
      </c>
      <c r="O25">
        <v>2608.86</v>
      </c>
      <c r="P25">
        <v>2238.5680000000002</v>
      </c>
      <c r="R25" s="3">
        <f t="shared" si="2"/>
        <v>2474.6508000000003</v>
      </c>
      <c r="S25" s="3">
        <f t="shared" si="3"/>
        <v>118.15289722998752</v>
      </c>
    </row>
    <row r="26" spans="1:19" x14ac:dyDescent="0.25">
      <c r="A26">
        <v>20</v>
      </c>
      <c r="B26">
        <v>2522.395</v>
      </c>
      <c r="C26">
        <v>2019.5039999999999</v>
      </c>
      <c r="D26">
        <v>2449.6480000000001</v>
      </c>
      <c r="E26">
        <v>2468.3319999999999</v>
      </c>
      <c r="F26">
        <v>2397.6370000000002</v>
      </c>
      <c r="H26" s="2">
        <f t="shared" si="0"/>
        <v>2371.5032000000001</v>
      </c>
      <c r="I26" s="2">
        <f t="shared" si="1"/>
        <v>90.232248638388711</v>
      </c>
      <c r="K26">
        <v>20</v>
      </c>
      <c r="L26">
        <v>2604.1640000000002</v>
      </c>
      <c r="M26">
        <v>2773.373</v>
      </c>
      <c r="N26">
        <v>2155.5929999999998</v>
      </c>
      <c r="O26">
        <v>2621.913</v>
      </c>
      <c r="P26">
        <v>2259.0610000000001</v>
      </c>
      <c r="R26" s="3">
        <f t="shared" si="2"/>
        <v>2482.8208</v>
      </c>
      <c r="S26" s="3">
        <f t="shared" si="3"/>
        <v>117.3963105043766</v>
      </c>
    </row>
    <row r="27" spans="1:19" x14ac:dyDescent="0.25">
      <c r="A27">
        <v>21.25</v>
      </c>
      <c r="B27">
        <v>2540.3040000000001</v>
      </c>
      <c r="C27">
        <v>2029.5740000000001</v>
      </c>
      <c r="D27">
        <v>2472.7449999999999</v>
      </c>
      <c r="E27">
        <v>2476.9560000000001</v>
      </c>
      <c r="F27">
        <v>2403.5859999999998</v>
      </c>
      <c r="H27" s="2">
        <f t="shared" si="0"/>
        <v>2384.6330000000003</v>
      </c>
      <c r="I27" s="2">
        <f t="shared" si="1"/>
        <v>91.363786809654499</v>
      </c>
      <c r="K27">
        <v>21.25</v>
      </c>
      <c r="L27">
        <v>2611.712</v>
      </c>
      <c r="M27">
        <v>2781.607</v>
      </c>
      <c r="N27">
        <v>2158.8209999999999</v>
      </c>
      <c r="O27">
        <v>2634.17</v>
      </c>
      <c r="P27">
        <v>2275.8240000000001</v>
      </c>
      <c r="R27" s="3">
        <f t="shared" si="2"/>
        <v>2492.4268000000002</v>
      </c>
      <c r="S27" s="3">
        <f t="shared" si="3"/>
        <v>117.50635823622481</v>
      </c>
    </row>
    <row r="28" spans="1:19" x14ac:dyDescent="0.25">
      <c r="A28">
        <v>22.5</v>
      </c>
      <c r="B28">
        <v>2552.62</v>
      </c>
      <c r="C28">
        <v>2019.278</v>
      </c>
      <c r="D28">
        <v>2469.877</v>
      </c>
      <c r="E28">
        <v>2487.0749999999998</v>
      </c>
      <c r="F28">
        <v>2420.5740000000001</v>
      </c>
      <c r="H28" s="2">
        <f t="shared" si="0"/>
        <v>2389.8847999999998</v>
      </c>
      <c r="I28" s="2">
        <f t="shared" si="1"/>
        <v>95.031221069393794</v>
      </c>
      <c r="K28">
        <v>22.5</v>
      </c>
      <c r="L28">
        <v>2613.6149999999998</v>
      </c>
      <c r="M28">
        <v>2779.7840000000001</v>
      </c>
      <c r="N28">
        <v>2157.9899999999998</v>
      </c>
      <c r="O28">
        <v>2640.6770000000001</v>
      </c>
      <c r="P28">
        <v>2277.971</v>
      </c>
      <c r="R28" s="3">
        <f t="shared" si="2"/>
        <v>2494.0073999999995</v>
      </c>
      <c r="S28" s="3">
        <f t="shared" si="3"/>
        <v>117.6999647147781</v>
      </c>
    </row>
    <row r="29" spans="1:19" x14ac:dyDescent="0.25">
      <c r="A29">
        <v>23.75</v>
      </c>
      <c r="B29">
        <v>2573.7669999999998</v>
      </c>
      <c r="C29">
        <v>2015.8579999999999</v>
      </c>
      <c r="D29">
        <v>2466.9949999999999</v>
      </c>
      <c r="E29">
        <v>2499.797</v>
      </c>
      <c r="F29">
        <v>2447.0169999999998</v>
      </c>
      <c r="H29" s="2">
        <f t="shared" si="0"/>
        <v>2400.6867999999999</v>
      </c>
      <c r="I29" s="2">
        <f t="shared" si="1"/>
        <v>98.59413205277481</v>
      </c>
      <c r="K29">
        <v>23.75</v>
      </c>
      <c r="L29">
        <v>2619.703</v>
      </c>
      <c r="M29">
        <v>2786.616</v>
      </c>
      <c r="N29">
        <v>2155.3719999999998</v>
      </c>
      <c r="O29">
        <v>2660.2739999999999</v>
      </c>
      <c r="P29">
        <v>2289.0230000000001</v>
      </c>
      <c r="R29" s="3">
        <f t="shared" si="2"/>
        <v>2502.1975999999995</v>
      </c>
      <c r="S29" s="3">
        <f t="shared" si="3"/>
        <v>119.4614792360282</v>
      </c>
    </row>
    <row r="30" spans="1:19" x14ac:dyDescent="0.25">
      <c r="A30">
        <v>25</v>
      </c>
      <c r="B30">
        <v>2596.1030000000001</v>
      </c>
      <c r="C30">
        <v>2037.3969999999999</v>
      </c>
      <c r="D30">
        <v>2492.7890000000002</v>
      </c>
      <c r="E30">
        <v>2521.8130000000001</v>
      </c>
      <c r="F30">
        <v>2470.989</v>
      </c>
      <c r="H30" s="2">
        <f t="shared" si="0"/>
        <v>2423.8182000000002</v>
      </c>
      <c r="I30" s="2">
        <f t="shared" si="1"/>
        <v>98.890958275466232</v>
      </c>
      <c r="K30">
        <v>25</v>
      </c>
      <c r="L30">
        <v>2642.0790000000002</v>
      </c>
      <c r="M30">
        <v>2824.4180000000001</v>
      </c>
      <c r="N30">
        <v>2174.297</v>
      </c>
      <c r="O30">
        <v>2685.94</v>
      </c>
      <c r="P30">
        <v>2299.5450000000001</v>
      </c>
      <c r="R30" s="3">
        <f t="shared" si="2"/>
        <v>2525.2557999999999</v>
      </c>
      <c r="S30" s="3">
        <f t="shared" si="3"/>
        <v>123.10209962279279</v>
      </c>
    </row>
    <row r="31" spans="1:19" x14ac:dyDescent="0.25">
      <c r="A31">
        <v>26.25</v>
      </c>
      <c r="B31">
        <v>2614.2820000000002</v>
      </c>
      <c r="C31">
        <v>2056.9589999999998</v>
      </c>
      <c r="D31">
        <v>2526.4760000000001</v>
      </c>
      <c r="E31">
        <v>2543.4369999999999</v>
      </c>
      <c r="F31">
        <v>2475.9659999999999</v>
      </c>
      <c r="H31" s="2">
        <f t="shared" si="0"/>
        <v>2443.424</v>
      </c>
      <c r="I31" s="2">
        <f t="shared" si="1"/>
        <v>99.122870475486167</v>
      </c>
      <c r="K31">
        <v>26.25</v>
      </c>
      <c r="L31">
        <v>2656.183</v>
      </c>
      <c r="M31">
        <v>2848.2330000000002</v>
      </c>
      <c r="N31">
        <v>2201.799</v>
      </c>
      <c r="O31">
        <v>2709.5540000000001</v>
      </c>
      <c r="P31">
        <v>2314.4769999999999</v>
      </c>
      <c r="R31" s="3">
        <f t="shared" si="2"/>
        <v>2546.0491999999999</v>
      </c>
      <c r="S31" s="3">
        <f t="shared" si="3"/>
        <v>122.94555838272488</v>
      </c>
    </row>
    <row r="32" spans="1:19" x14ac:dyDescent="0.25">
      <c r="A32">
        <v>27.5</v>
      </c>
      <c r="B32">
        <v>2621.982</v>
      </c>
      <c r="C32">
        <v>2055.268</v>
      </c>
      <c r="D32">
        <v>2520.1489999999999</v>
      </c>
      <c r="E32">
        <v>2549.7449999999999</v>
      </c>
      <c r="F32">
        <v>2476.71</v>
      </c>
      <c r="H32" s="2">
        <f t="shared" si="0"/>
        <v>2444.7707999999998</v>
      </c>
      <c r="I32" s="2">
        <f t="shared" si="1"/>
        <v>100.2092333098103</v>
      </c>
      <c r="K32">
        <v>27.5</v>
      </c>
      <c r="L32">
        <v>2663.5</v>
      </c>
      <c r="M32">
        <v>2850.5430000000001</v>
      </c>
      <c r="N32">
        <v>2210.4879999999998</v>
      </c>
      <c r="O32">
        <v>2720.982</v>
      </c>
      <c r="P32">
        <v>2326.3870000000002</v>
      </c>
      <c r="R32" s="3">
        <f t="shared" si="2"/>
        <v>2554.38</v>
      </c>
      <c r="S32" s="3">
        <f t="shared" si="3"/>
        <v>121.98738440633934</v>
      </c>
    </row>
    <row r="33" spans="1:19" x14ac:dyDescent="0.25">
      <c r="A33">
        <v>28.75</v>
      </c>
      <c r="B33">
        <v>2638.19</v>
      </c>
      <c r="C33">
        <v>2067.596</v>
      </c>
      <c r="D33">
        <v>2541.1460000000002</v>
      </c>
      <c r="E33">
        <v>2569.192</v>
      </c>
      <c r="F33">
        <v>2497.6289999999999</v>
      </c>
      <c r="H33" s="2">
        <f t="shared" si="0"/>
        <v>2462.7506000000003</v>
      </c>
      <c r="I33" s="2">
        <f t="shared" si="1"/>
        <v>101.3948357006411</v>
      </c>
      <c r="K33">
        <v>28.75</v>
      </c>
      <c r="L33">
        <v>2678.2359999999999</v>
      </c>
      <c r="M33">
        <v>2862.701</v>
      </c>
      <c r="N33">
        <v>2230.3029999999999</v>
      </c>
      <c r="O33">
        <v>2746.6120000000001</v>
      </c>
      <c r="P33">
        <v>2347.3850000000002</v>
      </c>
      <c r="R33" s="3">
        <f t="shared" si="2"/>
        <v>2573.0473999999999</v>
      </c>
      <c r="S33" s="3">
        <f t="shared" si="3"/>
        <v>121.13747612551617</v>
      </c>
    </row>
    <row r="34" spans="1:19" x14ac:dyDescent="0.25">
      <c r="A34">
        <v>30</v>
      </c>
      <c r="B34">
        <v>2672.9760000000001</v>
      </c>
      <c r="C34">
        <v>2093.1619999999998</v>
      </c>
      <c r="D34">
        <v>2585.0569999999998</v>
      </c>
      <c r="E34">
        <v>2603.0149999999999</v>
      </c>
      <c r="F34">
        <v>2528.1559999999999</v>
      </c>
      <c r="H34" s="2">
        <f t="shared" si="0"/>
        <v>2496.4731999999995</v>
      </c>
      <c r="I34" s="2">
        <f t="shared" si="1"/>
        <v>103.44447956242037</v>
      </c>
      <c r="K34">
        <v>30</v>
      </c>
      <c r="L34">
        <v>2713.8159999999998</v>
      </c>
      <c r="M34">
        <v>2889.9670000000001</v>
      </c>
      <c r="N34">
        <v>2259.1410000000001</v>
      </c>
      <c r="O34">
        <v>2768.6309999999999</v>
      </c>
      <c r="P34">
        <v>2384.6410000000001</v>
      </c>
      <c r="R34" s="3">
        <f t="shared" si="2"/>
        <v>2603.2391999999995</v>
      </c>
      <c r="S34" s="3">
        <f t="shared" si="3"/>
        <v>119.99651073777102</v>
      </c>
    </row>
    <row r="35" spans="1:19" x14ac:dyDescent="0.25">
      <c r="A35">
        <v>31.25</v>
      </c>
      <c r="B35">
        <v>2696.8110000000001</v>
      </c>
      <c r="C35">
        <v>2117.6770000000001</v>
      </c>
      <c r="D35">
        <v>2609.2420000000002</v>
      </c>
      <c r="E35">
        <v>2612.7539999999999</v>
      </c>
      <c r="F35">
        <v>2542.3719999999998</v>
      </c>
      <c r="H35" s="2">
        <f t="shared" si="0"/>
        <v>2515.7712000000001</v>
      </c>
      <c r="I35" s="2">
        <f t="shared" si="1"/>
        <v>102.49498957675929</v>
      </c>
      <c r="K35">
        <v>31.25</v>
      </c>
      <c r="L35">
        <v>2753.6460000000002</v>
      </c>
      <c r="M35">
        <v>2918.5239999999999</v>
      </c>
      <c r="N35">
        <v>2271.6320000000001</v>
      </c>
      <c r="O35">
        <v>2789.239</v>
      </c>
      <c r="P35">
        <v>2414.1190000000001</v>
      </c>
      <c r="R35" s="3">
        <f t="shared" si="2"/>
        <v>2629.4319999999998</v>
      </c>
      <c r="S35" s="3">
        <f t="shared" si="3"/>
        <v>122.25426525851763</v>
      </c>
    </row>
    <row r="36" spans="1:19" x14ac:dyDescent="0.25">
      <c r="A36">
        <v>32.5</v>
      </c>
      <c r="B36">
        <v>2692.8290000000002</v>
      </c>
      <c r="C36">
        <v>2111.6880000000001</v>
      </c>
      <c r="D36">
        <v>2603.7249999999999</v>
      </c>
      <c r="E36">
        <v>2606.4720000000002</v>
      </c>
      <c r="F36">
        <v>2525.8130000000001</v>
      </c>
      <c r="H36" s="2">
        <f t="shared" si="0"/>
        <v>2508.1053999999999</v>
      </c>
      <c r="I36" s="2">
        <f t="shared" si="1"/>
        <v>102.56759196188627</v>
      </c>
      <c r="K36">
        <v>32.5</v>
      </c>
      <c r="L36">
        <v>2756.297</v>
      </c>
      <c r="M36">
        <v>2918.8890000000001</v>
      </c>
      <c r="N36">
        <v>2270.7510000000002</v>
      </c>
      <c r="O36">
        <v>2801.462</v>
      </c>
      <c r="P36">
        <v>2426.5340000000001</v>
      </c>
      <c r="R36" s="3">
        <f t="shared" si="2"/>
        <v>2634.7865999999999</v>
      </c>
      <c r="S36" s="3">
        <f t="shared" si="3"/>
        <v>122.30100233301438</v>
      </c>
    </row>
    <row r="37" spans="1:19" x14ac:dyDescent="0.25">
      <c r="A37">
        <v>33.75</v>
      </c>
      <c r="B37">
        <v>2669.0729999999999</v>
      </c>
      <c r="C37">
        <v>2093.2669999999998</v>
      </c>
      <c r="D37">
        <v>2586.5970000000002</v>
      </c>
      <c r="E37">
        <v>2596.5990000000002</v>
      </c>
      <c r="F37">
        <v>2505.7849999999999</v>
      </c>
      <c r="H37" s="2">
        <f t="shared" si="0"/>
        <v>2490.2642000000001</v>
      </c>
      <c r="I37" s="2">
        <f t="shared" si="1"/>
        <v>102.5688444521045</v>
      </c>
      <c r="K37">
        <v>33.75</v>
      </c>
      <c r="L37">
        <v>2737.2539999999999</v>
      </c>
      <c r="M37">
        <v>2890.1410000000001</v>
      </c>
      <c r="N37">
        <v>2255.2660000000001</v>
      </c>
      <c r="O37">
        <v>2802.0309999999999</v>
      </c>
      <c r="P37">
        <v>2407.9789999999998</v>
      </c>
      <c r="R37" s="3">
        <f t="shared" si="2"/>
        <v>2618.5341999999996</v>
      </c>
      <c r="S37" s="3">
        <f t="shared" si="3"/>
        <v>122.03134796166106</v>
      </c>
    </row>
    <row r="38" spans="1:19" x14ac:dyDescent="0.25">
      <c r="A38">
        <v>35</v>
      </c>
      <c r="B38">
        <v>2630.6129999999998</v>
      </c>
      <c r="C38">
        <v>2049.4580000000001</v>
      </c>
      <c r="D38">
        <v>2550.605</v>
      </c>
      <c r="E38">
        <v>2563.7130000000002</v>
      </c>
      <c r="F38">
        <v>2459.692</v>
      </c>
      <c r="H38" s="2">
        <f t="shared" si="0"/>
        <v>2450.8161999999998</v>
      </c>
      <c r="I38" s="2">
        <f t="shared" si="1"/>
        <v>103.97056455526246</v>
      </c>
      <c r="K38">
        <v>35</v>
      </c>
      <c r="L38">
        <v>2695.4050000000002</v>
      </c>
      <c r="M38">
        <v>2826.5430000000001</v>
      </c>
      <c r="N38">
        <v>2213.1970000000001</v>
      </c>
      <c r="O38">
        <v>2760.4490000000001</v>
      </c>
      <c r="P38">
        <v>2360.8420000000001</v>
      </c>
      <c r="R38" s="3">
        <f t="shared" si="2"/>
        <v>2571.2872000000002</v>
      </c>
      <c r="S38" s="3">
        <f t="shared" si="3"/>
        <v>120.17876514359764</v>
      </c>
    </row>
    <row r="39" spans="1:19" x14ac:dyDescent="0.25">
      <c r="A39">
        <v>36.25</v>
      </c>
      <c r="B39">
        <v>2526.252</v>
      </c>
      <c r="C39">
        <v>1954.0820000000001</v>
      </c>
      <c r="D39">
        <v>2446.8470000000002</v>
      </c>
      <c r="E39">
        <v>2465.451</v>
      </c>
      <c r="F39">
        <v>2357.8989999999999</v>
      </c>
      <c r="H39" s="2">
        <f t="shared" si="0"/>
        <v>2350.1062000000002</v>
      </c>
      <c r="I39" s="2">
        <f t="shared" si="1"/>
        <v>102.61248531411756</v>
      </c>
      <c r="K39">
        <v>36.25</v>
      </c>
      <c r="L39">
        <v>2569.614</v>
      </c>
      <c r="M39">
        <v>2693.1170000000002</v>
      </c>
      <c r="N39">
        <v>2118.4989999999998</v>
      </c>
      <c r="O39">
        <v>2641.1959999999999</v>
      </c>
      <c r="P39">
        <v>2260.348</v>
      </c>
      <c r="R39" s="3">
        <f t="shared" si="2"/>
        <v>2456.5547999999999</v>
      </c>
      <c r="S39" s="3">
        <f t="shared" si="3"/>
        <v>113.05203717554146</v>
      </c>
    </row>
    <row r="40" spans="1:19" x14ac:dyDescent="0.25">
      <c r="A40">
        <v>37.5</v>
      </c>
      <c r="B40">
        <v>2355.4569999999999</v>
      </c>
      <c r="C40">
        <v>1839.64</v>
      </c>
      <c r="D40">
        <v>2284.192</v>
      </c>
      <c r="E40">
        <v>2297.7559999999999</v>
      </c>
      <c r="F40">
        <v>2220.4349999999999</v>
      </c>
      <c r="H40" s="2">
        <f t="shared" si="0"/>
        <v>2199.4960000000001</v>
      </c>
      <c r="I40" s="2">
        <f t="shared" si="1"/>
        <v>92.489744294705403</v>
      </c>
      <c r="K40">
        <v>37.5</v>
      </c>
      <c r="L40">
        <v>2407.1750000000002</v>
      </c>
      <c r="M40">
        <v>2535.81</v>
      </c>
      <c r="N40">
        <v>1980.44</v>
      </c>
      <c r="O40">
        <v>2468.2159999999999</v>
      </c>
      <c r="P40">
        <v>2116.0410000000002</v>
      </c>
      <c r="R40" s="3">
        <f t="shared" si="2"/>
        <v>2301.5364</v>
      </c>
      <c r="S40" s="3">
        <f t="shared" si="3"/>
        <v>107.54932915578782</v>
      </c>
    </row>
    <row r="41" spans="1:19" x14ac:dyDescent="0.25">
      <c r="A41">
        <v>38.75</v>
      </c>
      <c r="B41">
        <v>2192.761</v>
      </c>
      <c r="C41">
        <v>1719.1279999999999</v>
      </c>
      <c r="D41">
        <v>2113.39</v>
      </c>
      <c r="E41">
        <v>2132.665</v>
      </c>
      <c r="F41">
        <v>2069.3429999999998</v>
      </c>
      <c r="H41" s="2">
        <f t="shared" si="0"/>
        <v>2045.4574</v>
      </c>
      <c r="I41" s="2">
        <f t="shared" si="1"/>
        <v>83.958249566436294</v>
      </c>
      <c r="K41">
        <v>38.75</v>
      </c>
      <c r="L41">
        <v>2235.5610000000001</v>
      </c>
      <c r="M41">
        <v>2363.8429999999998</v>
      </c>
      <c r="N41">
        <v>1839.893</v>
      </c>
      <c r="O41">
        <v>2283.056</v>
      </c>
      <c r="P41">
        <v>1967.194</v>
      </c>
      <c r="R41" s="3">
        <f t="shared" si="2"/>
        <v>2137.9094</v>
      </c>
      <c r="S41" s="3">
        <f t="shared" si="3"/>
        <v>99.901672796104847</v>
      </c>
    </row>
    <row r="42" spans="1:19" x14ac:dyDescent="0.25">
      <c r="A42">
        <v>40</v>
      </c>
      <c r="B42">
        <v>2106.0889999999999</v>
      </c>
      <c r="C42">
        <v>1645.6410000000001</v>
      </c>
      <c r="D42">
        <v>2012.5119999999999</v>
      </c>
      <c r="E42">
        <v>2044.0650000000001</v>
      </c>
      <c r="F42">
        <v>1981.3879999999999</v>
      </c>
      <c r="H42" s="2">
        <f t="shared" si="0"/>
        <v>1957.9389999999999</v>
      </c>
      <c r="I42" s="2">
        <f t="shared" si="1"/>
        <v>80.754015104513513</v>
      </c>
      <c r="K42">
        <v>40</v>
      </c>
      <c r="L42">
        <v>2142.63</v>
      </c>
      <c r="M42">
        <v>2250.2779999999998</v>
      </c>
      <c r="N42">
        <v>1751.153</v>
      </c>
      <c r="O42">
        <v>2184.9569999999999</v>
      </c>
      <c r="P42">
        <v>1886.1990000000001</v>
      </c>
      <c r="R42" s="3">
        <f t="shared" si="2"/>
        <v>2043.0434</v>
      </c>
      <c r="S42" s="3">
        <f t="shared" si="3"/>
        <v>95.604213198268582</v>
      </c>
    </row>
    <row r="43" spans="1:19" x14ac:dyDescent="0.25">
      <c r="A43">
        <v>41.25</v>
      </c>
      <c r="B43">
        <v>2057.8919999999998</v>
      </c>
      <c r="C43">
        <v>1600.7719999999999</v>
      </c>
      <c r="D43">
        <v>1964.654</v>
      </c>
      <c r="E43">
        <v>2003.7739999999999</v>
      </c>
      <c r="F43">
        <v>1948.2660000000001</v>
      </c>
      <c r="H43" s="2">
        <f t="shared" si="0"/>
        <v>1915.0715999999998</v>
      </c>
      <c r="I43" s="2">
        <f t="shared" si="1"/>
        <v>80.811602992144628</v>
      </c>
      <c r="K43">
        <v>41.25</v>
      </c>
      <c r="L43">
        <v>2090.7539999999999</v>
      </c>
      <c r="M43">
        <v>2205.2629999999999</v>
      </c>
      <c r="N43">
        <v>1714.4069999999999</v>
      </c>
      <c r="O43">
        <v>2144.2330000000002</v>
      </c>
      <c r="P43">
        <v>1843.694</v>
      </c>
      <c r="R43" s="3">
        <f t="shared" si="2"/>
        <v>1999.6702</v>
      </c>
      <c r="S43" s="3">
        <f t="shared" si="3"/>
        <v>94.118736024980734</v>
      </c>
    </row>
    <row r="44" spans="1:19" x14ac:dyDescent="0.25">
      <c r="A44">
        <v>42.5</v>
      </c>
      <c r="B44">
        <v>2052.3760000000002</v>
      </c>
      <c r="C44">
        <v>1588.328</v>
      </c>
      <c r="D44">
        <v>1956.596</v>
      </c>
      <c r="E44">
        <v>1992.885</v>
      </c>
      <c r="F44">
        <v>1938.9380000000001</v>
      </c>
      <c r="H44" s="2">
        <f t="shared" si="0"/>
        <v>1905.8245999999999</v>
      </c>
      <c r="I44" s="2">
        <f t="shared" si="1"/>
        <v>81.711428031579544</v>
      </c>
      <c r="K44">
        <v>42.5</v>
      </c>
      <c r="L44">
        <v>2084.4270000000001</v>
      </c>
      <c r="M44">
        <v>2203.9</v>
      </c>
      <c r="N44">
        <v>1707.155</v>
      </c>
      <c r="O44">
        <v>2141.598</v>
      </c>
      <c r="P44">
        <v>1835.566</v>
      </c>
      <c r="R44" s="3">
        <f t="shared" si="2"/>
        <v>1994.5292000000002</v>
      </c>
      <c r="S44" s="3">
        <f t="shared" si="3"/>
        <v>95.236602220679856</v>
      </c>
    </row>
    <row r="45" spans="1:19" x14ac:dyDescent="0.25">
      <c r="A45">
        <v>43.75</v>
      </c>
      <c r="B45">
        <v>2056.451</v>
      </c>
      <c r="C45">
        <v>1594.1410000000001</v>
      </c>
      <c r="D45">
        <v>1968.261</v>
      </c>
      <c r="E45">
        <v>1990.6020000000001</v>
      </c>
      <c r="F45">
        <v>1949.3389999999999</v>
      </c>
      <c r="H45" s="2">
        <f t="shared" si="0"/>
        <v>1911.7588000000001</v>
      </c>
      <c r="I45" s="2">
        <f t="shared" si="1"/>
        <v>81.436453704959405</v>
      </c>
      <c r="K45">
        <v>43.75</v>
      </c>
      <c r="L45">
        <v>2101.2170000000001</v>
      </c>
      <c r="M45">
        <v>2208.5940000000001</v>
      </c>
      <c r="N45">
        <v>1715.289</v>
      </c>
      <c r="O45">
        <v>2146.5880000000002</v>
      </c>
      <c r="P45">
        <v>1844.212</v>
      </c>
      <c r="R45" s="3">
        <f t="shared" si="2"/>
        <v>2003.1799999999998</v>
      </c>
      <c r="S45" s="3">
        <f t="shared" si="3"/>
        <v>95.006334560912336</v>
      </c>
    </row>
    <row r="46" spans="1:19" x14ac:dyDescent="0.25">
      <c r="A46">
        <v>45</v>
      </c>
      <c r="B46">
        <v>2075.739</v>
      </c>
      <c r="C46">
        <v>1619.808</v>
      </c>
      <c r="D46">
        <v>1990.8620000000001</v>
      </c>
      <c r="E46">
        <v>2007.961</v>
      </c>
      <c r="F46">
        <v>1969.098</v>
      </c>
      <c r="H46" s="2">
        <f t="shared" si="0"/>
        <v>1932.6936000000001</v>
      </c>
      <c r="I46" s="2">
        <f t="shared" si="1"/>
        <v>80.228863181899811</v>
      </c>
      <c r="K46">
        <v>45</v>
      </c>
      <c r="L46">
        <v>2140.7489999999998</v>
      </c>
      <c r="M46">
        <v>2249.989</v>
      </c>
      <c r="N46">
        <v>1726.1110000000001</v>
      </c>
      <c r="O46">
        <v>2175.2339999999999</v>
      </c>
      <c r="P46">
        <v>1874.989</v>
      </c>
      <c r="R46" s="3">
        <f t="shared" si="2"/>
        <v>2033.4143999999997</v>
      </c>
      <c r="S46" s="3">
        <f t="shared" si="3"/>
        <v>99.51684774026954</v>
      </c>
    </row>
    <row r="47" spans="1:19" x14ac:dyDescent="0.25">
      <c r="A47">
        <v>46.25</v>
      </c>
      <c r="B47">
        <v>2139.489</v>
      </c>
      <c r="C47">
        <v>1687.414</v>
      </c>
      <c r="D47">
        <v>2041.4680000000001</v>
      </c>
      <c r="E47">
        <v>2061.0320000000002</v>
      </c>
      <c r="F47">
        <v>2026.2950000000001</v>
      </c>
      <c r="H47" s="2">
        <f t="shared" si="0"/>
        <v>1991.1396</v>
      </c>
      <c r="I47" s="2">
        <f t="shared" si="1"/>
        <v>78.393425154537042</v>
      </c>
      <c r="K47">
        <v>46.25</v>
      </c>
      <c r="L47">
        <v>2229.8180000000002</v>
      </c>
      <c r="M47">
        <v>2346.931</v>
      </c>
      <c r="N47">
        <v>1763.029</v>
      </c>
      <c r="O47">
        <v>2262.9569999999999</v>
      </c>
      <c r="P47">
        <v>1946.752</v>
      </c>
      <c r="R47" s="3">
        <f t="shared" si="2"/>
        <v>2109.8974000000003</v>
      </c>
      <c r="S47" s="3">
        <f t="shared" si="3"/>
        <v>109.75591725396775</v>
      </c>
    </row>
    <row r="48" spans="1:19" x14ac:dyDescent="0.25">
      <c r="A48">
        <v>47.5</v>
      </c>
      <c r="B48">
        <v>2247.5590000000002</v>
      </c>
      <c r="C48">
        <v>1778.0260000000001</v>
      </c>
      <c r="D48">
        <v>2140.2289999999998</v>
      </c>
      <c r="E48">
        <v>2158.085</v>
      </c>
      <c r="F48">
        <v>2136.1010000000001</v>
      </c>
      <c r="H48" s="2">
        <f t="shared" si="0"/>
        <v>2092.0000000000005</v>
      </c>
      <c r="I48" s="2">
        <f t="shared" si="1"/>
        <v>81.060606037704915</v>
      </c>
      <c r="K48">
        <v>47.5</v>
      </c>
      <c r="L48">
        <v>2344.3020000000001</v>
      </c>
      <c r="M48">
        <v>2475.5320000000002</v>
      </c>
      <c r="N48">
        <v>1843.5429999999999</v>
      </c>
      <c r="O48">
        <v>2385.902</v>
      </c>
      <c r="P48">
        <v>2043.5429999999999</v>
      </c>
      <c r="R48" s="3">
        <f t="shared" si="2"/>
        <v>2218.5644000000002</v>
      </c>
      <c r="S48" s="3">
        <f t="shared" si="3"/>
        <v>118.55751869729728</v>
      </c>
    </row>
    <row r="49" spans="1:19" x14ac:dyDescent="0.25">
      <c r="A49">
        <v>48.75</v>
      </c>
      <c r="B49">
        <v>2352.8490000000002</v>
      </c>
      <c r="C49">
        <v>1848.9870000000001</v>
      </c>
      <c r="D49">
        <v>2252.1030000000001</v>
      </c>
      <c r="E49">
        <v>2265.2620000000002</v>
      </c>
      <c r="F49">
        <v>2237.866</v>
      </c>
      <c r="H49" s="2">
        <f t="shared" si="0"/>
        <v>2191.4134000000004</v>
      </c>
      <c r="I49" s="2">
        <f t="shared" si="1"/>
        <v>87.923824894393675</v>
      </c>
      <c r="K49">
        <v>48.75</v>
      </c>
      <c r="L49">
        <v>2452.511</v>
      </c>
      <c r="M49">
        <v>2578.4479999999999</v>
      </c>
      <c r="N49">
        <v>1924.0250000000001</v>
      </c>
      <c r="O49">
        <v>2490.4050000000002</v>
      </c>
      <c r="P49">
        <v>2138.1480000000001</v>
      </c>
      <c r="R49" s="3">
        <f t="shared" si="2"/>
        <v>2316.7074000000002</v>
      </c>
      <c r="S49" s="3">
        <f t="shared" si="3"/>
        <v>123.12687405785977</v>
      </c>
    </row>
    <row r="50" spans="1:19" x14ac:dyDescent="0.25">
      <c r="A50">
        <v>50</v>
      </c>
      <c r="B50">
        <v>2455.942</v>
      </c>
      <c r="C50">
        <v>1915.5</v>
      </c>
      <c r="D50">
        <v>2315.6959999999999</v>
      </c>
      <c r="E50">
        <v>2359.56</v>
      </c>
      <c r="F50">
        <v>2330.4160000000002</v>
      </c>
      <c r="H50" s="2">
        <f t="shared" si="0"/>
        <v>2275.4228000000003</v>
      </c>
      <c r="I50" s="2">
        <f t="shared" si="1"/>
        <v>93.235415652208033</v>
      </c>
      <c r="K50">
        <v>50</v>
      </c>
      <c r="L50">
        <v>2523.634</v>
      </c>
      <c r="M50">
        <v>2632.1579999999999</v>
      </c>
      <c r="N50">
        <v>1990.3050000000001</v>
      </c>
      <c r="O50">
        <v>2552.924</v>
      </c>
      <c r="P50">
        <v>2212.6660000000002</v>
      </c>
      <c r="R50" s="3">
        <f t="shared" si="2"/>
        <v>2382.3374000000003</v>
      </c>
      <c r="S50" s="3">
        <f t="shared" si="3"/>
        <v>121.23378986140645</v>
      </c>
    </row>
    <row r="51" spans="1:19" x14ac:dyDescent="0.25">
      <c r="A51">
        <v>51.25</v>
      </c>
      <c r="B51">
        <v>2521.4340000000002</v>
      </c>
      <c r="C51">
        <v>1960.81</v>
      </c>
      <c r="D51">
        <v>2363.6640000000002</v>
      </c>
      <c r="E51">
        <v>2452.8240000000001</v>
      </c>
      <c r="F51">
        <v>2398.009</v>
      </c>
      <c r="H51" s="2">
        <f t="shared" si="0"/>
        <v>2339.3482000000004</v>
      </c>
      <c r="I51" s="2">
        <f t="shared" si="1"/>
        <v>98.324847366471943</v>
      </c>
      <c r="K51">
        <v>51.25</v>
      </c>
      <c r="L51">
        <v>2562.261</v>
      </c>
      <c r="M51">
        <v>2680.2080000000001</v>
      </c>
      <c r="N51">
        <v>2051.402</v>
      </c>
      <c r="O51">
        <v>2605.0189999999998</v>
      </c>
      <c r="P51">
        <v>2250.6619999999998</v>
      </c>
      <c r="R51" s="3">
        <f t="shared" si="2"/>
        <v>2429.9103999999998</v>
      </c>
      <c r="S51" s="3">
        <f t="shared" si="3"/>
        <v>119.63009434360568</v>
      </c>
    </row>
    <row r="52" spans="1:19" x14ac:dyDescent="0.25">
      <c r="A52">
        <v>52.5</v>
      </c>
      <c r="B52">
        <v>2545.732</v>
      </c>
      <c r="C52">
        <v>2007.9580000000001</v>
      </c>
      <c r="D52">
        <v>2393.0630000000001</v>
      </c>
      <c r="E52">
        <v>2490.3679999999999</v>
      </c>
      <c r="F52">
        <v>2421.8890000000001</v>
      </c>
      <c r="H52" s="2">
        <f t="shared" si="0"/>
        <v>2371.8020000000006</v>
      </c>
      <c r="I52" s="2">
        <f t="shared" si="1"/>
        <v>94.776773336614468</v>
      </c>
      <c r="K52">
        <v>52.5</v>
      </c>
      <c r="L52">
        <v>2603.154</v>
      </c>
      <c r="M52">
        <v>2761.1329999999998</v>
      </c>
      <c r="N52">
        <v>2078.7190000000001</v>
      </c>
      <c r="O52">
        <v>2670.9580000000001</v>
      </c>
      <c r="P52">
        <v>2269.3359999999998</v>
      </c>
      <c r="R52" s="3">
        <f t="shared" si="2"/>
        <v>2476.66</v>
      </c>
      <c r="S52" s="3">
        <f t="shared" si="3"/>
        <v>129.61821110978133</v>
      </c>
    </row>
    <row r="53" spans="1:19" x14ac:dyDescent="0.25">
      <c r="A53">
        <v>53.75</v>
      </c>
      <c r="B53">
        <v>2550.2559999999999</v>
      </c>
      <c r="C53">
        <v>2025.0450000000001</v>
      </c>
      <c r="D53">
        <v>2407.5520000000001</v>
      </c>
      <c r="E53">
        <v>2485.4870000000001</v>
      </c>
      <c r="F53">
        <v>2437.9369999999999</v>
      </c>
      <c r="H53" s="2">
        <f t="shared" si="0"/>
        <v>2381.2554</v>
      </c>
      <c r="I53" s="2">
        <f t="shared" si="1"/>
        <v>92.253886979682292</v>
      </c>
      <c r="K53">
        <v>53.75</v>
      </c>
      <c r="L53">
        <v>2652.8960000000002</v>
      </c>
      <c r="M53">
        <v>2809.7280000000001</v>
      </c>
      <c r="N53">
        <v>2094.2869999999998</v>
      </c>
      <c r="O53">
        <v>2719.4349999999999</v>
      </c>
      <c r="P53">
        <v>2296.3290000000002</v>
      </c>
      <c r="R53" s="3">
        <f t="shared" si="2"/>
        <v>2514.5349999999999</v>
      </c>
      <c r="S53" s="3">
        <f t="shared" si="3"/>
        <v>136.47141156850398</v>
      </c>
    </row>
    <row r="54" spans="1:19" x14ac:dyDescent="0.25">
      <c r="A54">
        <v>55</v>
      </c>
      <c r="B54">
        <v>2507.1849999999999</v>
      </c>
      <c r="C54">
        <v>1988.1690000000001</v>
      </c>
      <c r="D54">
        <v>2365.92</v>
      </c>
      <c r="E54">
        <v>2436.125</v>
      </c>
      <c r="F54">
        <v>2408.9110000000001</v>
      </c>
      <c r="H54" s="2">
        <f t="shared" si="0"/>
        <v>2341.2620000000002</v>
      </c>
      <c r="I54" s="2">
        <f t="shared" si="1"/>
        <v>91.210882440638599</v>
      </c>
      <c r="K54">
        <v>55</v>
      </c>
      <c r="L54">
        <v>2598.502</v>
      </c>
      <c r="M54">
        <v>2764.2289999999998</v>
      </c>
      <c r="N54">
        <v>2061.748</v>
      </c>
      <c r="O54">
        <v>2682.8180000000002</v>
      </c>
      <c r="P54">
        <v>2251.944</v>
      </c>
      <c r="R54" s="3">
        <f t="shared" si="2"/>
        <v>2471.8481999999995</v>
      </c>
      <c r="S54" s="3">
        <f t="shared" si="3"/>
        <v>134.64323321147799</v>
      </c>
    </row>
    <row r="55" spans="1:19" x14ac:dyDescent="0.25">
      <c r="A55">
        <v>56.25</v>
      </c>
      <c r="B55">
        <v>2376.7730000000001</v>
      </c>
      <c r="C55">
        <v>1947.252</v>
      </c>
      <c r="D55">
        <v>2231.9229999999998</v>
      </c>
      <c r="E55">
        <v>2301.431</v>
      </c>
      <c r="F55">
        <v>2269.9549999999999</v>
      </c>
      <c r="H55" s="2">
        <f t="shared" si="0"/>
        <v>2225.4667999999997</v>
      </c>
      <c r="I55" s="2">
        <f t="shared" si="1"/>
        <v>73.514788728799331</v>
      </c>
      <c r="K55">
        <v>56.25</v>
      </c>
      <c r="L55">
        <v>2497.8009999999999</v>
      </c>
      <c r="M55">
        <v>2668.1030000000001</v>
      </c>
      <c r="N55">
        <v>1933.039</v>
      </c>
      <c r="O55">
        <v>2553.2849999999999</v>
      </c>
      <c r="P55">
        <v>2130.2910000000002</v>
      </c>
      <c r="R55" s="3">
        <f t="shared" si="2"/>
        <v>2356.5038</v>
      </c>
      <c r="S55" s="3">
        <f t="shared" si="3"/>
        <v>138.97418259604927</v>
      </c>
    </row>
    <row r="56" spans="1:19" x14ac:dyDescent="0.25">
      <c r="A56">
        <v>57.5</v>
      </c>
      <c r="B56">
        <v>2202.4899999999998</v>
      </c>
      <c r="C56">
        <v>1866.771</v>
      </c>
      <c r="D56">
        <v>2058.915</v>
      </c>
      <c r="E56">
        <v>2130.3119999999999</v>
      </c>
      <c r="F56">
        <v>2104.9630000000002</v>
      </c>
      <c r="H56" s="2">
        <f t="shared" si="0"/>
        <v>2072.6902</v>
      </c>
      <c r="I56" s="2">
        <f t="shared" si="1"/>
        <v>56.48108825031612</v>
      </c>
      <c r="K56">
        <v>57.5</v>
      </c>
      <c r="L56">
        <v>2368.7939999999999</v>
      </c>
      <c r="M56">
        <v>2537.7689999999998</v>
      </c>
      <c r="N56">
        <v>1779.221</v>
      </c>
      <c r="O56">
        <v>2405.3989999999999</v>
      </c>
      <c r="P56">
        <v>1991.7380000000001</v>
      </c>
      <c r="R56" s="3">
        <f t="shared" si="2"/>
        <v>2216.5841999999998</v>
      </c>
      <c r="S56" s="3">
        <f t="shared" si="3"/>
        <v>142.09519872866954</v>
      </c>
    </row>
    <row r="57" spans="1:19" x14ac:dyDescent="0.25">
      <c r="A57">
        <v>58.75</v>
      </c>
      <c r="B57">
        <v>2073.377</v>
      </c>
      <c r="C57">
        <v>1782.921</v>
      </c>
      <c r="D57">
        <v>1906.059</v>
      </c>
      <c r="E57">
        <v>1993.1469999999999</v>
      </c>
      <c r="F57">
        <v>2002.876</v>
      </c>
      <c r="H57" s="2">
        <f t="shared" si="0"/>
        <v>1951.6759999999999</v>
      </c>
      <c r="I57" s="2">
        <f t="shared" si="1"/>
        <v>49.85558040781391</v>
      </c>
      <c r="K57">
        <v>58.75</v>
      </c>
      <c r="L57">
        <v>2262.9259999999999</v>
      </c>
      <c r="M57">
        <v>2411.6880000000001</v>
      </c>
      <c r="N57">
        <v>1679.1010000000001</v>
      </c>
      <c r="O57">
        <v>2279.1129999999998</v>
      </c>
      <c r="P57">
        <v>1889.675</v>
      </c>
      <c r="R57" s="3">
        <f t="shared" si="2"/>
        <v>2104.5005999999998</v>
      </c>
      <c r="S57" s="3">
        <f t="shared" si="3"/>
        <v>137.30751152307784</v>
      </c>
    </row>
    <row r="58" spans="1:19" x14ac:dyDescent="0.25">
      <c r="A58">
        <v>60</v>
      </c>
      <c r="B58">
        <v>1977.683</v>
      </c>
      <c r="C58">
        <v>1689.796</v>
      </c>
      <c r="D58">
        <v>1818.8119999999999</v>
      </c>
      <c r="E58">
        <v>1906.864</v>
      </c>
      <c r="F58">
        <v>1913.7529999999999</v>
      </c>
      <c r="H58" s="2">
        <f t="shared" si="0"/>
        <v>1861.3816000000002</v>
      </c>
      <c r="I58" s="2">
        <f t="shared" si="1"/>
        <v>49.795188954958277</v>
      </c>
      <c r="K58">
        <v>60</v>
      </c>
      <c r="L58">
        <v>2147.692</v>
      </c>
      <c r="M58">
        <v>2292.902</v>
      </c>
      <c r="N58">
        <v>1603.374</v>
      </c>
      <c r="O58">
        <v>2180.4470000000001</v>
      </c>
      <c r="P58">
        <v>1807.26</v>
      </c>
      <c r="R58" s="3">
        <f t="shared" si="2"/>
        <v>2006.3350000000003</v>
      </c>
      <c r="S58" s="3">
        <f t="shared" si="3"/>
        <v>129.31083841426388</v>
      </c>
    </row>
    <row r="59" spans="1:19" x14ac:dyDescent="0.25">
      <c r="A59">
        <v>61.25</v>
      </c>
      <c r="B59">
        <v>1908.72</v>
      </c>
      <c r="C59">
        <v>1604.0129999999999</v>
      </c>
      <c r="D59">
        <v>1769.46</v>
      </c>
      <c r="E59">
        <v>1838.6030000000001</v>
      </c>
      <c r="F59">
        <v>1839.7819999999999</v>
      </c>
      <c r="H59" s="2">
        <f t="shared" si="0"/>
        <v>1792.1155999999999</v>
      </c>
      <c r="I59" s="2">
        <f t="shared" si="1"/>
        <v>51.925723146240344</v>
      </c>
      <c r="K59">
        <v>61.25</v>
      </c>
      <c r="L59">
        <v>2052.5250000000001</v>
      </c>
      <c r="M59">
        <v>2189.5369999999998</v>
      </c>
      <c r="N59">
        <v>1538.173</v>
      </c>
      <c r="O59">
        <v>2099.4340000000002</v>
      </c>
      <c r="P59">
        <v>1738.2850000000001</v>
      </c>
      <c r="R59" s="3">
        <f t="shared" si="2"/>
        <v>1923.5907999999999</v>
      </c>
      <c r="S59" s="3">
        <f t="shared" si="3"/>
        <v>122.71050490500076</v>
      </c>
    </row>
    <row r="60" spans="1:19" x14ac:dyDescent="0.25">
      <c r="A60">
        <v>62.5</v>
      </c>
      <c r="B60">
        <v>1842.146</v>
      </c>
      <c r="C60">
        <v>1536.231</v>
      </c>
      <c r="D60">
        <v>1717.539</v>
      </c>
      <c r="E60">
        <v>1776.886</v>
      </c>
      <c r="F60">
        <v>1770.7829999999999</v>
      </c>
      <c r="H60" s="2">
        <f t="shared" si="0"/>
        <v>1728.7169999999999</v>
      </c>
      <c r="I60" s="2">
        <f t="shared" si="1"/>
        <v>52.024872339103325</v>
      </c>
      <c r="K60">
        <v>62.5</v>
      </c>
      <c r="L60">
        <v>1972.895</v>
      </c>
      <c r="M60">
        <v>2105.5309999999999</v>
      </c>
      <c r="N60">
        <v>1488.704</v>
      </c>
      <c r="O60">
        <v>2024.4369999999999</v>
      </c>
      <c r="P60">
        <v>1676.9570000000001</v>
      </c>
      <c r="R60" s="3">
        <f t="shared" si="2"/>
        <v>1853.7048</v>
      </c>
      <c r="S60" s="3">
        <f t="shared" si="3"/>
        <v>116.45548327683001</v>
      </c>
    </row>
    <row r="61" spans="1:19" x14ac:dyDescent="0.25">
      <c r="A61">
        <v>63.75</v>
      </c>
      <c r="B61">
        <v>1786.742</v>
      </c>
      <c r="C61">
        <v>1483.2570000000001</v>
      </c>
      <c r="D61">
        <v>1681.307</v>
      </c>
      <c r="E61">
        <v>1733.25</v>
      </c>
      <c r="F61">
        <v>1711.8589999999999</v>
      </c>
      <c r="H61" s="2">
        <f t="shared" si="0"/>
        <v>1679.2829999999999</v>
      </c>
      <c r="I61" s="2">
        <f t="shared" si="1"/>
        <v>51.938116445439171</v>
      </c>
      <c r="K61">
        <v>63.75</v>
      </c>
      <c r="L61">
        <v>1912.1210000000001</v>
      </c>
      <c r="M61">
        <v>2022.3810000000001</v>
      </c>
      <c r="N61">
        <v>1450.087</v>
      </c>
      <c r="O61">
        <v>1956.6890000000001</v>
      </c>
      <c r="P61">
        <v>1632.098</v>
      </c>
      <c r="R61" s="3">
        <f t="shared" si="2"/>
        <v>1794.6752000000001</v>
      </c>
      <c r="S61" s="3">
        <f t="shared" si="3"/>
        <v>108.87246948168327</v>
      </c>
    </row>
    <row r="62" spans="1:19" x14ac:dyDescent="0.25">
      <c r="A62">
        <v>65</v>
      </c>
      <c r="B62">
        <v>1738.8530000000001</v>
      </c>
      <c r="C62">
        <v>1433.7919999999999</v>
      </c>
      <c r="D62">
        <v>1650.9559999999999</v>
      </c>
      <c r="E62">
        <v>1709.1</v>
      </c>
      <c r="F62">
        <v>1681.249</v>
      </c>
      <c r="H62" s="2">
        <f t="shared" si="0"/>
        <v>1642.7899999999997</v>
      </c>
      <c r="I62" s="2">
        <f t="shared" si="1"/>
        <v>54.24530316534328</v>
      </c>
      <c r="K62">
        <v>65</v>
      </c>
      <c r="L62">
        <v>1845.654</v>
      </c>
      <c r="M62">
        <v>1946.6890000000001</v>
      </c>
      <c r="N62">
        <v>1432.7750000000001</v>
      </c>
      <c r="O62">
        <v>1908.681</v>
      </c>
      <c r="P62">
        <v>1602.24</v>
      </c>
      <c r="R62" s="3">
        <f t="shared" si="2"/>
        <v>1747.2078000000001</v>
      </c>
      <c r="S62" s="3">
        <f t="shared" si="3"/>
        <v>98.853843253259129</v>
      </c>
    </row>
    <row r="63" spans="1:19" x14ac:dyDescent="0.25">
      <c r="A63">
        <v>66.25</v>
      </c>
      <c r="B63">
        <v>1713.616</v>
      </c>
      <c r="C63">
        <v>1373.8119999999999</v>
      </c>
      <c r="D63">
        <v>1622.4559999999999</v>
      </c>
      <c r="E63">
        <v>1686.9280000000001</v>
      </c>
      <c r="F63">
        <v>1665.4459999999999</v>
      </c>
      <c r="H63" s="2">
        <f t="shared" si="0"/>
        <v>1612.4515999999999</v>
      </c>
      <c r="I63" s="2">
        <f t="shared" si="1"/>
        <v>61.497285762544038</v>
      </c>
      <c r="K63">
        <v>66.25</v>
      </c>
      <c r="L63">
        <v>1780.729</v>
      </c>
      <c r="M63">
        <v>1863.5530000000001</v>
      </c>
      <c r="N63">
        <v>1418.0429999999999</v>
      </c>
      <c r="O63">
        <v>1861.0530000000001</v>
      </c>
      <c r="P63">
        <v>1575.7329999999999</v>
      </c>
      <c r="R63" s="3">
        <f t="shared" si="2"/>
        <v>1699.8221999999998</v>
      </c>
      <c r="S63" s="3">
        <f t="shared" si="3"/>
        <v>87.791429858729515</v>
      </c>
    </row>
    <row r="64" spans="1:19" x14ac:dyDescent="0.25">
      <c r="A64">
        <v>67.5</v>
      </c>
      <c r="B64">
        <v>1701.348</v>
      </c>
      <c r="C64">
        <v>1320.0740000000001</v>
      </c>
      <c r="D64">
        <v>1599.8409999999999</v>
      </c>
      <c r="E64">
        <v>1665.4280000000001</v>
      </c>
      <c r="F64">
        <v>1633.7940000000001</v>
      </c>
      <c r="H64" s="2">
        <f t="shared" si="0"/>
        <v>1584.097</v>
      </c>
      <c r="I64" s="2">
        <f t="shared" si="1"/>
        <v>68.113265387881668</v>
      </c>
      <c r="K64">
        <v>67.5</v>
      </c>
      <c r="L64">
        <v>1719.9390000000001</v>
      </c>
      <c r="M64">
        <v>1785.644</v>
      </c>
      <c r="N64">
        <v>1396.7619999999999</v>
      </c>
      <c r="O64">
        <v>1812.624</v>
      </c>
      <c r="P64">
        <v>1551.231</v>
      </c>
      <c r="R64" s="3">
        <f t="shared" si="2"/>
        <v>1653.2400000000002</v>
      </c>
      <c r="S64" s="3">
        <f t="shared" si="3"/>
        <v>78.603319216811713</v>
      </c>
    </row>
    <row r="65" spans="1:19" x14ac:dyDescent="0.25">
      <c r="A65">
        <v>68.75</v>
      </c>
      <c r="B65">
        <v>1682.4459999999999</v>
      </c>
      <c r="C65">
        <v>1275.758</v>
      </c>
      <c r="D65">
        <v>1583.4970000000001</v>
      </c>
      <c r="E65">
        <v>1640.047</v>
      </c>
      <c r="F65">
        <v>1592.5519999999999</v>
      </c>
      <c r="H65" s="2">
        <f t="shared" si="0"/>
        <v>1554.86</v>
      </c>
      <c r="I65" s="2">
        <f t="shared" si="1"/>
        <v>71.997813648054617</v>
      </c>
      <c r="K65">
        <v>68.75</v>
      </c>
      <c r="L65">
        <v>1670.36</v>
      </c>
      <c r="M65">
        <v>1732.4590000000001</v>
      </c>
      <c r="N65">
        <v>1380.818</v>
      </c>
      <c r="O65">
        <v>1766.92</v>
      </c>
      <c r="P65">
        <v>1524.47</v>
      </c>
      <c r="R65" s="3">
        <f t="shared" si="2"/>
        <v>1615.0054</v>
      </c>
      <c r="S65" s="3">
        <f t="shared" si="3"/>
        <v>71.755809018921951</v>
      </c>
    </row>
    <row r="66" spans="1:19" x14ac:dyDescent="0.25">
      <c r="A66">
        <v>70</v>
      </c>
      <c r="B66">
        <v>1653.9970000000001</v>
      </c>
      <c r="C66">
        <v>1244.3579999999999</v>
      </c>
      <c r="D66">
        <v>1569.644</v>
      </c>
      <c r="E66">
        <v>1614.17</v>
      </c>
      <c r="F66">
        <v>1567.73</v>
      </c>
      <c r="H66" s="2">
        <f t="shared" si="0"/>
        <v>1529.9797999999998</v>
      </c>
      <c r="I66" s="2">
        <f t="shared" si="1"/>
        <v>73.15954984443249</v>
      </c>
      <c r="K66">
        <v>70</v>
      </c>
      <c r="L66">
        <v>1646.751</v>
      </c>
      <c r="M66">
        <v>1697.1130000000001</v>
      </c>
      <c r="N66">
        <v>1366.501</v>
      </c>
      <c r="O66">
        <v>1733.8530000000001</v>
      </c>
      <c r="P66">
        <v>1503.819</v>
      </c>
      <c r="R66" s="3">
        <f t="shared" si="2"/>
        <v>1589.6074000000001</v>
      </c>
      <c r="S66" s="3">
        <f t="shared" si="3"/>
        <v>68.104975393579011</v>
      </c>
    </row>
    <row r="67" spans="1:19" x14ac:dyDescent="0.25">
      <c r="A67">
        <v>71.25</v>
      </c>
      <c r="B67">
        <v>1642.8489999999999</v>
      </c>
      <c r="C67">
        <v>1220.692</v>
      </c>
      <c r="D67">
        <v>1559.6479999999999</v>
      </c>
      <c r="E67">
        <v>1601.89</v>
      </c>
      <c r="F67">
        <v>1552.6579999999999</v>
      </c>
      <c r="H67" s="2">
        <f t="shared" si="0"/>
        <v>1515.5474000000002</v>
      </c>
      <c r="I67" s="2">
        <f t="shared" si="1"/>
        <v>75.472679957452144</v>
      </c>
      <c r="K67">
        <v>71.25</v>
      </c>
      <c r="L67">
        <v>1631.9480000000001</v>
      </c>
      <c r="M67">
        <v>1675.605</v>
      </c>
      <c r="N67">
        <v>1355.3320000000001</v>
      </c>
      <c r="O67">
        <v>1715.9849999999999</v>
      </c>
      <c r="P67">
        <v>1491.83</v>
      </c>
      <c r="R67" s="3">
        <f t="shared" si="2"/>
        <v>1574.1399999999999</v>
      </c>
      <c r="S67" s="3">
        <f t="shared" si="3"/>
        <v>66.486386605830788</v>
      </c>
    </row>
    <row r="68" spans="1:19" x14ac:dyDescent="0.25">
      <c r="A68">
        <v>72.5</v>
      </c>
      <c r="B68">
        <v>1630.414</v>
      </c>
      <c r="C68">
        <v>1220.249</v>
      </c>
      <c r="D68">
        <v>1553.7819999999999</v>
      </c>
      <c r="E68">
        <v>1591.694</v>
      </c>
      <c r="F68">
        <v>1543.335</v>
      </c>
      <c r="H68" s="2">
        <f t="shared" si="0"/>
        <v>1507.8947999999998</v>
      </c>
      <c r="I68" s="2">
        <f t="shared" si="1"/>
        <v>73.530609084516627</v>
      </c>
      <c r="K68">
        <v>72.5</v>
      </c>
      <c r="L68">
        <v>1626.807</v>
      </c>
      <c r="M68">
        <v>1676.328</v>
      </c>
      <c r="N68">
        <v>1343.0540000000001</v>
      </c>
      <c r="O68">
        <v>1707.5740000000001</v>
      </c>
      <c r="P68">
        <v>1486.885</v>
      </c>
      <c r="R68" s="3">
        <f t="shared" si="2"/>
        <v>1568.1296000000002</v>
      </c>
      <c r="S68" s="3">
        <f t="shared" si="3"/>
        <v>67.769603241128678</v>
      </c>
    </row>
    <row r="69" spans="1:19" x14ac:dyDescent="0.25">
      <c r="A69">
        <v>73.75</v>
      </c>
      <c r="B69">
        <v>1636.0920000000001</v>
      </c>
      <c r="C69">
        <v>1253.037</v>
      </c>
      <c r="D69">
        <v>1560.1379999999999</v>
      </c>
      <c r="E69">
        <v>1597.165</v>
      </c>
      <c r="F69">
        <v>1556.43</v>
      </c>
      <c r="H69" s="2">
        <f t="shared" ref="H69:H96" si="4">AVERAGE(B69:F69)</f>
        <v>1520.5724</v>
      </c>
      <c r="I69" s="2">
        <f t="shared" ref="I69:I96" si="5">STDEV(B69:F69)/SQRT(COUNT(B69:F69))</f>
        <v>68.424264261006115</v>
      </c>
      <c r="K69">
        <v>73.75</v>
      </c>
      <c r="L69">
        <v>1654.009</v>
      </c>
      <c r="M69">
        <v>1722.3720000000001</v>
      </c>
      <c r="N69">
        <v>1350.693</v>
      </c>
      <c r="O69">
        <v>1724.0060000000001</v>
      </c>
      <c r="P69">
        <v>1501.0329999999999</v>
      </c>
      <c r="R69" s="3">
        <f t="shared" ref="R69:R96" si="6">AVERAGE(L69:P69)</f>
        <v>1590.4226000000003</v>
      </c>
      <c r="S69" s="3">
        <f t="shared" ref="S69:S96" si="7">STDEV(L69:P69)/SQRT(COUNT(L69:P69))</f>
        <v>72.373745545328816</v>
      </c>
    </row>
    <row r="70" spans="1:19" x14ac:dyDescent="0.25">
      <c r="A70">
        <v>75</v>
      </c>
      <c r="B70">
        <v>1737.877</v>
      </c>
      <c r="C70">
        <v>1336.194</v>
      </c>
      <c r="D70">
        <v>1644.15</v>
      </c>
      <c r="E70">
        <v>1696.729</v>
      </c>
      <c r="F70">
        <v>1653.48</v>
      </c>
      <c r="H70" s="2">
        <f t="shared" si="4"/>
        <v>1613.6860000000001</v>
      </c>
      <c r="I70" s="2">
        <f t="shared" si="5"/>
        <v>71.355788877287324</v>
      </c>
      <c r="K70">
        <v>75</v>
      </c>
      <c r="L70">
        <v>1760.847</v>
      </c>
      <c r="M70">
        <v>1842.03</v>
      </c>
      <c r="N70">
        <v>1442.8209999999999</v>
      </c>
      <c r="O70">
        <v>1838.5730000000001</v>
      </c>
      <c r="P70">
        <v>1595.251</v>
      </c>
      <c r="R70" s="3">
        <f t="shared" si="6"/>
        <v>1695.9044000000001</v>
      </c>
      <c r="S70" s="3">
        <f t="shared" si="7"/>
        <v>77.494153322428161</v>
      </c>
    </row>
    <row r="71" spans="1:19" x14ac:dyDescent="0.25">
      <c r="A71">
        <v>76.25</v>
      </c>
      <c r="B71">
        <v>1935.992</v>
      </c>
      <c r="C71">
        <v>1439.7639999999999</v>
      </c>
      <c r="D71">
        <v>1864.047</v>
      </c>
      <c r="E71">
        <v>1890.1890000000001</v>
      </c>
      <c r="F71">
        <v>1836.835</v>
      </c>
      <c r="H71" s="2">
        <f t="shared" si="4"/>
        <v>1793.3654000000001</v>
      </c>
      <c r="I71" s="2">
        <f t="shared" si="5"/>
        <v>89.898999251715836</v>
      </c>
      <c r="K71">
        <v>76.25</v>
      </c>
      <c r="L71">
        <v>1922.095</v>
      </c>
      <c r="M71">
        <v>1981.683</v>
      </c>
      <c r="N71">
        <v>1617.5239999999999</v>
      </c>
      <c r="O71">
        <v>2010.68</v>
      </c>
      <c r="P71">
        <v>1766.9760000000001</v>
      </c>
      <c r="R71" s="3">
        <f t="shared" si="6"/>
        <v>1859.7916</v>
      </c>
      <c r="S71" s="3">
        <f t="shared" si="7"/>
        <v>73.761392988880033</v>
      </c>
    </row>
    <row r="72" spans="1:19" x14ac:dyDescent="0.25">
      <c r="A72">
        <v>77.5</v>
      </c>
      <c r="B72">
        <v>2027.963</v>
      </c>
      <c r="C72">
        <v>1470.8620000000001</v>
      </c>
      <c r="D72">
        <v>1986.683</v>
      </c>
      <c r="E72">
        <v>1980.0360000000001</v>
      </c>
      <c r="F72">
        <v>1915.8309999999999</v>
      </c>
      <c r="H72" s="2">
        <f t="shared" si="4"/>
        <v>1876.2750000000001</v>
      </c>
      <c r="I72" s="2">
        <f t="shared" si="5"/>
        <v>102.92956296273719</v>
      </c>
      <c r="K72">
        <v>77.5</v>
      </c>
      <c r="L72">
        <v>1988.433</v>
      </c>
      <c r="M72">
        <v>2033.3520000000001</v>
      </c>
      <c r="N72">
        <v>1697.356</v>
      </c>
      <c r="O72">
        <v>2081.4740000000002</v>
      </c>
      <c r="P72">
        <v>1846.268</v>
      </c>
      <c r="R72" s="3">
        <f t="shared" si="6"/>
        <v>1929.3766000000001</v>
      </c>
      <c r="S72" s="3">
        <f t="shared" si="7"/>
        <v>70.061672650315757</v>
      </c>
    </row>
    <row r="73" spans="1:19" x14ac:dyDescent="0.25">
      <c r="A73">
        <v>78.75</v>
      </c>
      <c r="B73">
        <v>1961.58</v>
      </c>
      <c r="C73">
        <v>1425.4190000000001</v>
      </c>
      <c r="D73">
        <v>1908.306</v>
      </c>
      <c r="E73">
        <v>1915.0719999999999</v>
      </c>
      <c r="F73">
        <v>1848.134</v>
      </c>
      <c r="H73" s="2">
        <f t="shared" si="4"/>
        <v>1811.7022000000002</v>
      </c>
      <c r="I73" s="2">
        <f t="shared" si="5"/>
        <v>98.240254303619636</v>
      </c>
      <c r="K73">
        <v>78.75</v>
      </c>
      <c r="L73">
        <v>1926.873</v>
      </c>
      <c r="M73">
        <v>1978.3140000000001</v>
      </c>
      <c r="N73">
        <v>1636.03</v>
      </c>
      <c r="O73">
        <v>2025.309</v>
      </c>
      <c r="P73">
        <v>1793.171</v>
      </c>
      <c r="R73" s="3">
        <f t="shared" si="6"/>
        <v>1871.9394</v>
      </c>
      <c r="S73" s="3">
        <f t="shared" si="7"/>
        <v>70.609204777139368</v>
      </c>
    </row>
    <row r="74" spans="1:19" x14ac:dyDescent="0.25">
      <c r="A74">
        <v>80</v>
      </c>
      <c r="B74">
        <v>1857.3920000000001</v>
      </c>
      <c r="C74">
        <v>1370.6210000000001</v>
      </c>
      <c r="D74">
        <v>1785.2529999999999</v>
      </c>
      <c r="E74">
        <v>1810.152</v>
      </c>
      <c r="F74">
        <v>1746.846</v>
      </c>
      <c r="H74" s="2">
        <f t="shared" si="4"/>
        <v>1714.0527999999999</v>
      </c>
      <c r="I74" s="2">
        <f t="shared" si="5"/>
        <v>87.713011063012573</v>
      </c>
      <c r="K74">
        <v>80</v>
      </c>
      <c r="L74">
        <v>1819.518</v>
      </c>
      <c r="M74">
        <v>1899.788</v>
      </c>
      <c r="N74">
        <v>1536.846</v>
      </c>
      <c r="O74">
        <v>1932.107</v>
      </c>
      <c r="P74">
        <v>1707.3720000000001</v>
      </c>
      <c r="R74" s="3">
        <f t="shared" si="6"/>
        <v>1779.1261999999999</v>
      </c>
      <c r="S74" s="3">
        <f t="shared" si="7"/>
        <v>71.917401644108352</v>
      </c>
    </row>
    <row r="75" spans="1:19" x14ac:dyDescent="0.25">
      <c r="A75">
        <v>81.25</v>
      </c>
      <c r="B75">
        <v>1895.2929999999999</v>
      </c>
      <c r="C75">
        <v>1429.184</v>
      </c>
      <c r="D75">
        <v>1791.489</v>
      </c>
      <c r="E75">
        <v>1865.2660000000001</v>
      </c>
      <c r="F75">
        <v>1779.393</v>
      </c>
      <c r="H75" s="2">
        <f t="shared" si="4"/>
        <v>1752.125</v>
      </c>
      <c r="I75" s="2">
        <f t="shared" si="5"/>
        <v>83.630712033917291</v>
      </c>
      <c r="K75">
        <v>81.25</v>
      </c>
      <c r="L75">
        <v>1867.046</v>
      </c>
      <c r="M75">
        <v>2012.9649999999999</v>
      </c>
      <c r="N75">
        <v>1599.2760000000001</v>
      </c>
      <c r="O75">
        <v>1969.7940000000001</v>
      </c>
      <c r="P75">
        <v>1770.3119999999999</v>
      </c>
      <c r="R75" s="3">
        <f t="shared" si="6"/>
        <v>1843.8786</v>
      </c>
      <c r="S75" s="3">
        <f t="shared" si="7"/>
        <v>74.237491743458023</v>
      </c>
    </row>
    <row r="76" spans="1:19" x14ac:dyDescent="0.25">
      <c r="A76">
        <v>82.5</v>
      </c>
      <c r="B76">
        <v>2365.8620000000001</v>
      </c>
      <c r="C76">
        <v>1789.02</v>
      </c>
      <c r="D76">
        <v>2269.5140000000001</v>
      </c>
      <c r="E76">
        <v>2429.3870000000002</v>
      </c>
      <c r="F76">
        <v>2261.578</v>
      </c>
      <c r="H76" s="2">
        <f t="shared" si="4"/>
        <v>2223.0721999999996</v>
      </c>
      <c r="I76" s="2">
        <f t="shared" si="5"/>
        <v>112.9149178427727</v>
      </c>
      <c r="K76">
        <v>82.5</v>
      </c>
      <c r="L76">
        <v>2334.6439999999998</v>
      </c>
      <c r="M76">
        <v>2537.7719999999999</v>
      </c>
      <c r="N76">
        <v>2100.4189999999999</v>
      </c>
      <c r="O76">
        <v>2475.1579999999999</v>
      </c>
      <c r="P76">
        <v>2287.991</v>
      </c>
      <c r="R76" s="3">
        <f t="shared" si="6"/>
        <v>2347.1967999999997</v>
      </c>
      <c r="S76" s="3">
        <f t="shared" si="7"/>
        <v>76.568648177566772</v>
      </c>
    </row>
    <row r="77" spans="1:19" x14ac:dyDescent="0.25">
      <c r="A77">
        <v>83.75</v>
      </c>
      <c r="B77">
        <v>3264.0210000000002</v>
      </c>
      <c r="C77">
        <v>2298.5549999999998</v>
      </c>
      <c r="D77">
        <v>3191.3209999999999</v>
      </c>
      <c r="E77">
        <v>3288.7379999999998</v>
      </c>
      <c r="F77">
        <v>3104.8850000000002</v>
      </c>
      <c r="H77" s="2">
        <f t="shared" si="4"/>
        <v>3029.5039999999999</v>
      </c>
      <c r="I77" s="2">
        <f t="shared" si="5"/>
        <v>185.52007536867765</v>
      </c>
      <c r="K77">
        <v>83.75</v>
      </c>
      <c r="L77">
        <v>3103.9270000000001</v>
      </c>
      <c r="M77">
        <v>3248.7069999999999</v>
      </c>
      <c r="N77">
        <v>2943.6030000000001</v>
      </c>
      <c r="O77">
        <v>3318.6930000000002</v>
      </c>
      <c r="P77">
        <v>3110.7539999999999</v>
      </c>
      <c r="R77" s="3">
        <f t="shared" si="6"/>
        <v>3145.1368000000002</v>
      </c>
      <c r="S77" s="3">
        <f t="shared" si="7"/>
        <v>64.940294879527613</v>
      </c>
    </row>
    <row r="78" spans="1:19" x14ac:dyDescent="0.25">
      <c r="A78">
        <v>85</v>
      </c>
      <c r="B78">
        <v>3958.7840000000001</v>
      </c>
      <c r="C78">
        <v>2601.0059999999999</v>
      </c>
      <c r="D78">
        <v>3970.252</v>
      </c>
      <c r="E78">
        <v>4010.14</v>
      </c>
      <c r="F78">
        <v>3744.52</v>
      </c>
      <c r="H78" s="2">
        <f t="shared" si="4"/>
        <v>3656.9403999999995</v>
      </c>
      <c r="I78" s="2">
        <f t="shared" si="5"/>
        <v>268.01971181568177</v>
      </c>
      <c r="K78">
        <v>85</v>
      </c>
      <c r="L78">
        <v>3677.5680000000002</v>
      </c>
      <c r="M78">
        <v>3688.3910000000001</v>
      </c>
      <c r="N78">
        <v>3553.1590000000001</v>
      </c>
      <c r="O78">
        <v>4026.18</v>
      </c>
      <c r="P78">
        <v>3758.3150000000001</v>
      </c>
      <c r="R78" s="3">
        <f t="shared" si="6"/>
        <v>3740.7226000000001</v>
      </c>
      <c r="S78" s="3">
        <f t="shared" si="7"/>
        <v>78.645604981206617</v>
      </c>
    </row>
    <row r="79" spans="1:19" x14ac:dyDescent="0.25">
      <c r="A79">
        <v>86.25</v>
      </c>
      <c r="B79">
        <v>4141.6729999999998</v>
      </c>
      <c r="C79">
        <v>2556.8670000000002</v>
      </c>
      <c r="D79">
        <v>4186.3459999999995</v>
      </c>
      <c r="E79">
        <v>4153.7139999999999</v>
      </c>
      <c r="F79">
        <v>3839.6529999999998</v>
      </c>
      <c r="H79" s="2">
        <f t="shared" si="4"/>
        <v>3775.6505999999995</v>
      </c>
      <c r="I79" s="2">
        <f t="shared" si="5"/>
        <v>311.05504449672611</v>
      </c>
      <c r="K79">
        <v>86.25</v>
      </c>
      <c r="L79">
        <v>3735.8670000000002</v>
      </c>
      <c r="M79">
        <v>3691.1190000000001</v>
      </c>
      <c r="N79">
        <v>3724.5140000000001</v>
      </c>
      <c r="O79">
        <v>4164.2460000000001</v>
      </c>
      <c r="P79">
        <v>3858.4140000000002</v>
      </c>
      <c r="R79" s="3">
        <f t="shared" si="6"/>
        <v>3834.8319999999999</v>
      </c>
      <c r="S79" s="3">
        <f t="shared" si="7"/>
        <v>87.088246290185438</v>
      </c>
    </row>
    <row r="80" spans="1:19" x14ac:dyDescent="0.25">
      <c r="A80">
        <v>87.5</v>
      </c>
      <c r="B80">
        <v>3770.6930000000002</v>
      </c>
      <c r="C80">
        <v>2254.1129999999998</v>
      </c>
      <c r="D80">
        <v>3773.3989999999999</v>
      </c>
      <c r="E80">
        <v>3739.94</v>
      </c>
      <c r="F80">
        <v>3429.8049999999998</v>
      </c>
      <c r="H80" s="2">
        <f t="shared" si="4"/>
        <v>3393.59</v>
      </c>
      <c r="I80" s="2">
        <f t="shared" si="5"/>
        <v>292.07355506310324</v>
      </c>
      <c r="K80">
        <v>87.5</v>
      </c>
      <c r="L80">
        <v>3335.5659999999998</v>
      </c>
      <c r="M80">
        <v>3320.4380000000001</v>
      </c>
      <c r="N80">
        <v>3352.375</v>
      </c>
      <c r="O80">
        <v>3757.799</v>
      </c>
      <c r="P80">
        <v>3461.2159999999999</v>
      </c>
      <c r="R80" s="3">
        <f t="shared" si="6"/>
        <v>3445.4787999999999</v>
      </c>
      <c r="S80" s="3">
        <f t="shared" si="7"/>
        <v>81.907237053510727</v>
      </c>
    </row>
    <row r="81" spans="1:19" x14ac:dyDescent="0.25">
      <c r="A81">
        <v>88.75</v>
      </c>
      <c r="B81">
        <v>3202.261</v>
      </c>
      <c r="C81">
        <v>1998.816</v>
      </c>
      <c r="D81">
        <v>3192.5590000000002</v>
      </c>
      <c r="E81">
        <v>3194.9189999999999</v>
      </c>
      <c r="F81">
        <v>2951.6379999999999</v>
      </c>
      <c r="H81" s="2">
        <f t="shared" si="4"/>
        <v>2908.0385999999999</v>
      </c>
      <c r="I81" s="2">
        <f t="shared" si="5"/>
        <v>232.20741661424188</v>
      </c>
      <c r="K81">
        <v>88.75</v>
      </c>
      <c r="L81">
        <v>2876.3980000000001</v>
      </c>
      <c r="M81">
        <v>2908.471</v>
      </c>
      <c r="N81">
        <v>2816.0149999999999</v>
      </c>
      <c r="O81">
        <v>3247.6109999999999</v>
      </c>
      <c r="P81">
        <v>2952.317</v>
      </c>
      <c r="R81" s="3">
        <f t="shared" si="6"/>
        <v>2960.1623999999997</v>
      </c>
      <c r="S81" s="3">
        <f t="shared" si="7"/>
        <v>75.218081739432819</v>
      </c>
    </row>
    <row r="82" spans="1:19" x14ac:dyDescent="0.25">
      <c r="A82">
        <v>90</v>
      </c>
      <c r="B82">
        <v>3019.4119999999998</v>
      </c>
      <c r="C82">
        <v>1953.1120000000001</v>
      </c>
      <c r="D82">
        <v>2980.875</v>
      </c>
      <c r="E82">
        <v>2992.9250000000002</v>
      </c>
      <c r="F82">
        <v>2825.41</v>
      </c>
      <c r="H82" s="2">
        <f t="shared" si="4"/>
        <v>2754.3468000000003</v>
      </c>
      <c r="I82" s="2">
        <f t="shared" si="5"/>
        <v>203.16512081147107</v>
      </c>
      <c r="K82">
        <v>90</v>
      </c>
      <c r="L82">
        <v>2735.569</v>
      </c>
      <c r="M82">
        <v>2750.3339999999998</v>
      </c>
      <c r="N82">
        <v>2590.799</v>
      </c>
      <c r="O82">
        <v>3038.3359999999998</v>
      </c>
      <c r="P82">
        <v>2771.453</v>
      </c>
      <c r="R82" s="3">
        <f t="shared" si="6"/>
        <v>2777.2982000000002</v>
      </c>
      <c r="S82" s="3">
        <f t="shared" si="7"/>
        <v>72.603459010848752</v>
      </c>
    </row>
    <row r="83" spans="1:19" x14ac:dyDescent="0.25">
      <c r="A83">
        <v>91.25</v>
      </c>
      <c r="B83">
        <v>3213.7440000000001</v>
      </c>
      <c r="C83">
        <v>2024.694</v>
      </c>
      <c r="D83">
        <v>3234.7069999999999</v>
      </c>
      <c r="E83">
        <v>3223.752</v>
      </c>
      <c r="F83">
        <v>3018.3510000000001</v>
      </c>
      <c r="H83" s="2">
        <f t="shared" si="4"/>
        <v>2943.0496000000003</v>
      </c>
      <c r="I83" s="2">
        <f t="shared" si="5"/>
        <v>233.04298352720136</v>
      </c>
      <c r="K83">
        <v>91.25</v>
      </c>
      <c r="L83">
        <v>2845.5369999999998</v>
      </c>
      <c r="M83">
        <v>2829.2249999999999</v>
      </c>
      <c r="N83">
        <v>2777.4569999999999</v>
      </c>
      <c r="O83">
        <v>3175.1709999999998</v>
      </c>
      <c r="P83">
        <v>2974.7640000000001</v>
      </c>
      <c r="R83" s="3">
        <f t="shared" si="6"/>
        <v>2920.4307999999996</v>
      </c>
      <c r="S83" s="3">
        <f t="shared" si="7"/>
        <v>71.489073583590383</v>
      </c>
    </row>
    <row r="84" spans="1:19" x14ac:dyDescent="0.25">
      <c r="A84">
        <v>92.5</v>
      </c>
      <c r="B84">
        <v>3596.971</v>
      </c>
      <c r="C84">
        <v>2144.3890000000001</v>
      </c>
      <c r="D84">
        <v>3689.7840000000001</v>
      </c>
      <c r="E84">
        <v>3656.9</v>
      </c>
      <c r="F84">
        <v>3325.6529999999998</v>
      </c>
      <c r="H84" s="2">
        <f t="shared" si="4"/>
        <v>3282.7393999999999</v>
      </c>
      <c r="I84" s="2">
        <f t="shared" si="5"/>
        <v>291.72814139753359</v>
      </c>
      <c r="K84">
        <v>92.5</v>
      </c>
      <c r="L84">
        <v>3070.194</v>
      </c>
      <c r="M84">
        <v>3009.913</v>
      </c>
      <c r="N84">
        <v>3211.739</v>
      </c>
      <c r="O84">
        <v>3422.8440000000001</v>
      </c>
      <c r="P84">
        <v>3320.922</v>
      </c>
      <c r="R84" s="3">
        <f t="shared" si="6"/>
        <v>3207.1223999999997</v>
      </c>
      <c r="S84" s="3">
        <f t="shared" si="7"/>
        <v>76.533784970168568</v>
      </c>
    </row>
    <row r="85" spans="1:19" x14ac:dyDescent="0.25">
      <c r="A85">
        <v>93.75</v>
      </c>
      <c r="B85">
        <v>3930.105</v>
      </c>
      <c r="C85">
        <v>2386.9549999999999</v>
      </c>
      <c r="D85">
        <v>4077.63</v>
      </c>
      <c r="E85">
        <v>4026.2289999999998</v>
      </c>
      <c r="F85">
        <v>3564.8560000000002</v>
      </c>
      <c r="H85" s="2">
        <f t="shared" si="4"/>
        <v>3597.1549999999997</v>
      </c>
      <c r="I85" s="2">
        <f t="shared" si="5"/>
        <v>315.5506053711527</v>
      </c>
      <c r="K85">
        <v>93.75</v>
      </c>
      <c r="L85">
        <v>3330.7730000000001</v>
      </c>
      <c r="M85">
        <v>3271.0569999999998</v>
      </c>
      <c r="N85">
        <v>3551.0819999999999</v>
      </c>
      <c r="O85">
        <v>3681.837</v>
      </c>
      <c r="P85">
        <v>3618.22</v>
      </c>
      <c r="R85" s="3">
        <f t="shared" si="6"/>
        <v>3490.5938000000001</v>
      </c>
      <c r="S85" s="3">
        <f t="shared" si="7"/>
        <v>80.703260615293587</v>
      </c>
    </row>
    <row r="86" spans="1:19" x14ac:dyDescent="0.25">
      <c r="A86">
        <v>95</v>
      </c>
      <c r="B86">
        <v>4129.6840000000002</v>
      </c>
      <c r="C86">
        <v>2746.4690000000001</v>
      </c>
      <c r="D86">
        <v>4231.5609999999997</v>
      </c>
      <c r="E86">
        <v>4128.4319999999998</v>
      </c>
      <c r="F86">
        <v>3730.616</v>
      </c>
      <c r="H86" s="2">
        <f t="shared" si="4"/>
        <v>3793.3524000000007</v>
      </c>
      <c r="I86" s="2">
        <f t="shared" si="5"/>
        <v>275.43826619491091</v>
      </c>
      <c r="K86">
        <v>95</v>
      </c>
      <c r="L86">
        <v>3628.3910000000001</v>
      </c>
      <c r="M86">
        <v>3692.32</v>
      </c>
      <c r="N86">
        <v>3689.16</v>
      </c>
      <c r="O86">
        <v>3953.9720000000002</v>
      </c>
      <c r="P86">
        <v>3800.2269999999999</v>
      </c>
      <c r="R86" s="3">
        <f t="shared" si="6"/>
        <v>3752.8139999999999</v>
      </c>
      <c r="S86" s="3">
        <f t="shared" si="7"/>
        <v>57.404256032980712</v>
      </c>
    </row>
    <row r="87" spans="1:19" x14ac:dyDescent="0.25">
      <c r="A87">
        <v>96.25</v>
      </c>
      <c r="B87">
        <v>4237.3779999999997</v>
      </c>
      <c r="C87">
        <v>3102.8040000000001</v>
      </c>
      <c r="D87">
        <v>4219.3580000000002</v>
      </c>
      <c r="E87">
        <v>4165.4549999999999</v>
      </c>
      <c r="F87">
        <v>3908.3440000000001</v>
      </c>
      <c r="H87" s="2">
        <f t="shared" si="4"/>
        <v>3926.6678000000002</v>
      </c>
      <c r="I87" s="2">
        <f t="shared" si="5"/>
        <v>214.27961067735802</v>
      </c>
      <c r="K87">
        <v>96.25</v>
      </c>
      <c r="L87">
        <v>3980.0120000000002</v>
      </c>
      <c r="M87">
        <v>4129.3010000000004</v>
      </c>
      <c r="N87">
        <v>3718.069</v>
      </c>
      <c r="O87">
        <v>4232.2740000000003</v>
      </c>
      <c r="P87">
        <v>3941.7570000000001</v>
      </c>
      <c r="R87" s="3">
        <f t="shared" si="6"/>
        <v>4000.2826</v>
      </c>
      <c r="S87" s="3">
        <f t="shared" si="7"/>
        <v>87.734376477296593</v>
      </c>
    </row>
    <row r="88" spans="1:19" x14ac:dyDescent="0.25">
      <c r="A88">
        <v>97.5</v>
      </c>
      <c r="B88">
        <v>4426.2460000000001</v>
      </c>
      <c r="C88">
        <v>3417.2629999999999</v>
      </c>
      <c r="D88">
        <v>4331.991</v>
      </c>
      <c r="E88">
        <v>4365.9110000000001</v>
      </c>
      <c r="F88">
        <v>4226.5990000000002</v>
      </c>
      <c r="H88" s="2">
        <f t="shared" si="4"/>
        <v>4153.6020000000008</v>
      </c>
      <c r="I88" s="2">
        <f t="shared" si="5"/>
        <v>186.91658332903481</v>
      </c>
      <c r="K88">
        <v>97.5</v>
      </c>
      <c r="L88">
        <v>4390.4679999999998</v>
      </c>
      <c r="M88">
        <v>4549.3860000000004</v>
      </c>
      <c r="N88">
        <v>3811.2510000000002</v>
      </c>
      <c r="O88">
        <v>4589.4880000000003</v>
      </c>
      <c r="P88">
        <v>4161.9840000000004</v>
      </c>
      <c r="R88" s="3">
        <f t="shared" si="6"/>
        <v>4300.5154000000002</v>
      </c>
      <c r="S88" s="3">
        <f t="shared" si="7"/>
        <v>143.54508198388407</v>
      </c>
    </row>
    <row r="89" spans="1:19" x14ac:dyDescent="0.25">
      <c r="A89">
        <v>98.75</v>
      </c>
      <c r="B89">
        <v>4678.6970000000001</v>
      </c>
      <c r="C89">
        <v>3635.2139999999999</v>
      </c>
      <c r="D89">
        <v>4559.0219999999999</v>
      </c>
      <c r="E89">
        <v>4621.0230000000001</v>
      </c>
      <c r="F89">
        <v>4495.8540000000003</v>
      </c>
      <c r="H89" s="2">
        <f t="shared" si="4"/>
        <v>4397.9620000000004</v>
      </c>
      <c r="I89" s="2">
        <f t="shared" si="5"/>
        <v>193.1160310168475</v>
      </c>
      <c r="K89">
        <v>98.75</v>
      </c>
      <c r="L89">
        <v>4676.9070000000002</v>
      </c>
      <c r="M89">
        <v>4866.1099999999997</v>
      </c>
      <c r="N89">
        <v>3972.9769999999999</v>
      </c>
      <c r="O89">
        <v>4894.5209999999997</v>
      </c>
      <c r="P89">
        <v>4407.5169999999998</v>
      </c>
      <c r="R89" s="3">
        <f t="shared" si="6"/>
        <v>4563.6063999999997</v>
      </c>
      <c r="S89" s="3">
        <f t="shared" si="7"/>
        <v>171.32672228861438</v>
      </c>
    </row>
    <row r="90" spans="1:19" x14ac:dyDescent="0.25">
      <c r="A90">
        <v>100</v>
      </c>
      <c r="B90">
        <v>4893.99</v>
      </c>
      <c r="C90">
        <v>3677.49</v>
      </c>
      <c r="D90">
        <v>4712.2520000000004</v>
      </c>
      <c r="E90">
        <v>4744.6260000000002</v>
      </c>
      <c r="F90">
        <v>4610.68</v>
      </c>
      <c r="H90" s="2">
        <f t="shared" si="4"/>
        <v>4527.8076000000001</v>
      </c>
      <c r="I90" s="2">
        <f t="shared" si="5"/>
        <v>217.37379797151272</v>
      </c>
      <c r="K90">
        <v>100</v>
      </c>
      <c r="L90">
        <v>4792.28</v>
      </c>
      <c r="M90">
        <v>4992.1980000000003</v>
      </c>
      <c r="N90">
        <v>4106.6859999999997</v>
      </c>
      <c r="O90">
        <v>5111.5889999999999</v>
      </c>
      <c r="P90">
        <v>4530.2340000000004</v>
      </c>
      <c r="R90" s="3">
        <f t="shared" si="6"/>
        <v>4706.5973999999997</v>
      </c>
      <c r="S90" s="3">
        <f t="shared" si="7"/>
        <v>179.43315516414464</v>
      </c>
    </row>
    <row r="91" spans="1:19" x14ac:dyDescent="0.25">
      <c r="A91">
        <v>101.25</v>
      </c>
      <c r="B91">
        <v>4821.0479999999998</v>
      </c>
      <c r="C91">
        <v>3511.4180000000001</v>
      </c>
      <c r="D91">
        <v>4597.4030000000002</v>
      </c>
      <c r="E91">
        <v>4621.7420000000002</v>
      </c>
      <c r="F91">
        <v>4435.9390000000003</v>
      </c>
      <c r="H91" s="2">
        <f t="shared" si="4"/>
        <v>4397.51</v>
      </c>
      <c r="I91" s="2">
        <f t="shared" si="5"/>
        <v>229.81051534057232</v>
      </c>
      <c r="K91">
        <v>101.25</v>
      </c>
      <c r="L91">
        <v>4628.22</v>
      </c>
      <c r="M91">
        <v>4831.3959999999997</v>
      </c>
      <c r="N91">
        <v>4041.9259999999999</v>
      </c>
      <c r="O91">
        <v>5009.509</v>
      </c>
      <c r="P91">
        <v>4393.7129999999997</v>
      </c>
      <c r="R91" s="3">
        <f t="shared" si="6"/>
        <v>4580.9528</v>
      </c>
      <c r="S91" s="3">
        <f t="shared" si="7"/>
        <v>169.44394869731997</v>
      </c>
    </row>
    <row r="92" spans="1:19" x14ac:dyDescent="0.25">
      <c r="A92">
        <v>102.5</v>
      </c>
      <c r="B92">
        <v>4476.8860000000004</v>
      </c>
      <c r="C92">
        <v>3212.9360000000001</v>
      </c>
      <c r="D92">
        <v>4266.5889999999999</v>
      </c>
      <c r="E92">
        <v>4270.366</v>
      </c>
      <c r="F92">
        <v>4065.598</v>
      </c>
      <c r="H92" s="2">
        <f t="shared" si="4"/>
        <v>4058.4749999999999</v>
      </c>
      <c r="I92" s="2">
        <f t="shared" si="5"/>
        <v>221.16328079588683</v>
      </c>
      <c r="K92">
        <v>102.5</v>
      </c>
      <c r="L92">
        <v>4258.8050000000003</v>
      </c>
      <c r="M92">
        <v>4472.3919999999998</v>
      </c>
      <c r="N92">
        <v>3754.4</v>
      </c>
      <c r="O92">
        <v>4625.1850000000004</v>
      </c>
      <c r="P92">
        <v>4054.0749999999998</v>
      </c>
      <c r="R92" s="3">
        <f t="shared" si="6"/>
        <v>4232.9714000000004</v>
      </c>
      <c r="S92" s="3">
        <f t="shared" si="7"/>
        <v>153.7620911423229</v>
      </c>
    </row>
    <row r="93" spans="1:19" x14ac:dyDescent="0.25">
      <c r="A93">
        <v>103.75</v>
      </c>
      <c r="B93">
        <v>3956.0810000000001</v>
      </c>
      <c r="C93">
        <v>2865.2629999999999</v>
      </c>
      <c r="D93">
        <v>3771.1129999999998</v>
      </c>
      <c r="E93">
        <v>3730.7449999999999</v>
      </c>
      <c r="F93">
        <v>3557.8850000000002</v>
      </c>
      <c r="H93" s="2">
        <f t="shared" si="4"/>
        <v>3576.2174</v>
      </c>
      <c r="I93" s="2">
        <f t="shared" si="5"/>
        <v>188.67321808290654</v>
      </c>
      <c r="K93">
        <v>103.75</v>
      </c>
      <c r="L93">
        <v>3755.8229999999999</v>
      </c>
      <c r="M93">
        <v>3965.6979999999999</v>
      </c>
      <c r="N93">
        <v>3327.2429999999999</v>
      </c>
      <c r="O93">
        <v>4076.665</v>
      </c>
      <c r="P93">
        <v>3569.9560000000001</v>
      </c>
      <c r="R93" s="3">
        <f t="shared" si="6"/>
        <v>3739.0770000000002</v>
      </c>
      <c r="S93" s="3">
        <f t="shared" si="7"/>
        <v>134.87259174828662</v>
      </c>
    </row>
    <row r="94" spans="1:19" x14ac:dyDescent="0.25">
      <c r="A94">
        <v>105</v>
      </c>
      <c r="B94">
        <v>3407.0639999999999</v>
      </c>
      <c r="C94">
        <v>2627.5230000000001</v>
      </c>
      <c r="D94">
        <v>3254.8029999999999</v>
      </c>
      <c r="E94">
        <v>3196.0160000000001</v>
      </c>
      <c r="F94">
        <v>3084.125</v>
      </c>
      <c r="H94" s="2">
        <f t="shared" si="4"/>
        <v>3113.9061999999999</v>
      </c>
      <c r="I94" s="2">
        <f t="shared" si="5"/>
        <v>132.28585720378422</v>
      </c>
      <c r="K94">
        <v>105</v>
      </c>
      <c r="L94">
        <v>3245.6959999999999</v>
      </c>
      <c r="M94">
        <v>3456.5839999999998</v>
      </c>
      <c r="N94">
        <v>2874.6120000000001</v>
      </c>
      <c r="O94">
        <v>3522.6880000000001</v>
      </c>
      <c r="P94">
        <v>3095.4119999999998</v>
      </c>
      <c r="R94" s="3">
        <f t="shared" si="6"/>
        <v>3238.9983999999999</v>
      </c>
      <c r="S94" s="3">
        <f t="shared" si="7"/>
        <v>118.5880776240175</v>
      </c>
    </row>
    <row r="95" spans="1:19" x14ac:dyDescent="0.25">
      <c r="A95">
        <v>106.25</v>
      </c>
      <c r="B95">
        <v>3060.3229999999999</v>
      </c>
      <c r="C95">
        <v>2492.0990000000002</v>
      </c>
      <c r="D95">
        <v>2957.165</v>
      </c>
      <c r="E95">
        <v>2893.817</v>
      </c>
      <c r="F95">
        <v>2837.0410000000002</v>
      </c>
      <c r="H95" s="2">
        <f t="shared" si="4"/>
        <v>2848.0889999999999</v>
      </c>
      <c r="I95" s="2">
        <f t="shared" si="5"/>
        <v>96.406128674477898</v>
      </c>
      <c r="K95">
        <v>106.25</v>
      </c>
      <c r="L95">
        <v>2951.721</v>
      </c>
      <c r="M95">
        <v>3152.3420000000001</v>
      </c>
      <c r="N95">
        <v>2603.36</v>
      </c>
      <c r="O95">
        <v>3192.5889999999999</v>
      </c>
      <c r="P95">
        <v>2830.5909999999999</v>
      </c>
      <c r="R95" s="3">
        <f t="shared" si="6"/>
        <v>2946.1206000000002</v>
      </c>
      <c r="S95" s="3">
        <f t="shared" si="7"/>
        <v>108.19824857297829</v>
      </c>
    </row>
    <row r="96" spans="1:19" x14ac:dyDescent="0.25">
      <c r="A96">
        <v>107.5</v>
      </c>
      <c r="B96">
        <v>2901.703</v>
      </c>
      <c r="C96">
        <v>2380.3620000000001</v>
      </c>
      <c r="D96">
        <v>2800.6489999999999</v>
      </c>
      <c r="E96">
        <v>2742.7240000000002</v>
      </c>
      <c r="F96">
        <v>2697.373</v>
      </c>
      <c r="H96" s="2">
        <f t="shared" si="4"/>
        <v>2704.5621999999998</v>
      </c>
      <c r="I96" s="2">
        <f t="shared" si="5"/>
        <v>87.951960016477159</v>
      </c>
      <c r="K96">
        <v>107.5</v>
      </c>
      <c r="L96">
        <v>2805.8780000000002</v>
      </c>
      <c r="M96">
        <v>2999.3029999999999</v>
      </c>
      <c r="N96">
        <v>2490.11</v>
      </c>
      <c r="O96">
        <v>3021.3409999999999</v>
      </c>
      <c r="P96">
        <v>2699.1210000000001</v>
      </c>
      <c r="R96" s="3">
        <f t="shared" si="6"/>
        <v>2803.1505999999999</v>
      </c>
      <c r="S96" s="3">
        <f t="shared" si="7"/>
        <v>98.718495813398562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BRIGHT!OCT_RAW___\CO03\_dark_profiles_CO03_DARK</vt:lpstr>
      <vt:lpstr>BRIGHT!OCT_RAW___\CO03\_light_profiles_CO03_LIGHT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2019-11-17T03:13:44Z</dcterms:modified>
</cp:coreProperties>
</file>