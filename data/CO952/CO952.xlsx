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952\"/>
    </mc:Choice>
  </mc:AlternateContent>
  <xr:revisionPtr revIDLastSave="0" documentId="13_ncr:1_{D1DB9178-20AF-4CEA-82BD-170FEEFCE517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1_\_dark_profiles_CO11_DARK" localSheetId="0">BRIGHT!$A$2:$F$96</definedName>
    <definedName name="OCT_RAW___\CO11_\_fovea_dark_profiles_CO11_DARK" localSheetId="0">BRIGHT!#REF!</definedName>
    <definedName name="OCT_RAW___\CO11_\_fovea_light_profiles_CO11_LIGHT" localSheetId="0">BRIGHT!#REF!</definedName>
    <definedName name="OCT_RAW___\CO11_\_light_profiles_CO11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C38487-659C-4F55-92BC-78E0ACE422D5}" name="[[[OCT RAW]]]\CO11-\_dark_profiles_CO11_DARK" type="6" refreshedVersion="6" background="1" saveData="1">
    <textPr codePage="437" sourceFile="E:\[Documents]\[[[OCT RAW]]]\CO11-\_dark_profiles_CO11_DARK.txt" space="1" consecutive="1">
      <textFields count="6">
        <textField/>
        <textField/>
        <textField/>
        <textField/>
        <textField/>
        <textField/>
      </textFields>
    </textPr>
  </connection>
  <connection id="2" xr16:uid="{309F5D0A-D0C9-45DE-A6F4-505CAEDEB6D4}" name="[[[OCT RAW]]]\CO11-\_light_profiles_CO11_LIGHT" type="6" refreshedVersion="6" background="1" saveData="1">
    <textPr codePage="437" sourceFile="E:\[Documents]\[[[OCT RAW]]]\CO11-\_light_profiles_CO11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<sst xmlns="http://schemas.openxmlformats.org/spreadsheetml/2006/main" count="12" uniqueCount="8">
  <si>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</si>
  <si>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</si>
  <si>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</si>
  <si>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</si>
  <si>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</si>
  <si>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</si>
  <si>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CO952_DARK</t>
  </si>
  <si>
    <t>CO952_LIGHT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</si>
</sst>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535.76100000000008</c:v>
                </c:pt>
                <c:pt idx="1">
                  <c:v>684.97480000000007</c:v>
                </c:pt>
                <c:pt idx="2">
                  <c:v>1139.7058000000002</c:v>
                </c:pt>
                <c:pt idx="3">
                  <c:v>1744.0483999999997</c:v>
                </c:pt>
                <c:pt idx="4">
                  <c:v>2476.8462</c:v>
                </c:pt>
                <c:pt idx="5">
                  <c:v>2612.1061999999997</c:v>
                </c:pt>
                <c:pt idx="6">
                  <c:v>2811.1718000000001</c:v>
                </c:pt>
                <c:pt idx="7">
                  <c:v>2952.7282</c:v>
                </c:pt>
                <c:pt idx="8">
                  <c:v>2999.0266000000001</c:v>
                </c:pt>
                <c:pt idx="9">
                  <c:v>2960.8982000000001</c:v>
                </c:pt>
                <c:pt idx="10">
                  <c:v>2845.0219999999999</c:v>
                </c:pt>
                <c:pt idx="11">
                  <c:v>2579.9114</c:v>
                </c:pt>
                <c:pt idx="12">
                  <c:v>2400.2844</c:v>
                </c:pt>
                <c:pt idx="13">
                  <c:v>2281.3753999999999</c:v>
                </c:pt>
                <c:pt idx="14">
                  <c:v>2223.7061999999996</c:v>
                </c:pt>
                <c:pt idx="15">
                  <c:v>2203.4112</c:v>
                </c:pt>
                <c:pt idx="16">
                  <c:v>2195.0691999999995</c:v>
                </c:pt>
                <c:pt idx="17">
                  <c:v>2194.6135999999997</c:v>
                </c:pt>
                <c:pt idx="18">
                  <c:v>2198.1282000000001</c:v>
                </c:pt>
                <c:pt idx="19">
                  <c:v>2204.8234000000002</c:v>
                </c:pt>
                <c:pt idx="20">
                  <c:v>2214.9798000000001</c:v>
                </c:pt>
                <c:pt idx="21">
                  <c:v>2218.7654000000002</c:v>
                </c:pt>
                <c:pt idx="22">
                  <c:v>2214.7457999999997</c:v>
                </c:pt>
                <c:pt idx="23">
                  <c:v>2217.2280000000001</c:v>
                </c:pt>
                <c:pt idx="24">
                  <c:v>2235.7161999999998</c:v>
                </c:pt>
                <c:pt idx="25">
                  <c:v>2260.9312</c:v>
                </c:pt>
                <c:pt idx="26">
                  <c:v>2275.6594</c:v>
                </c:pt>
                <c:pt idx="27">
                  <c:v>2287.7536</c:v>
                </c:pt>
                <c:pt idx="28">
                  <c:v>2301.4184</c:v>
                </c:pt>
                <c:pt idx="29">
                  <c:v>2300.4378000000002</c:v>
                </c:pt>
                <c:pt idx="30">
                  <c:v>2282.8141999999998</c:v>
                </c:pt>
                <c:pt idx="31">
                  <c:v>2242.0495999999998</c:v>
                </c:pt>
                <c:pt idx="32">
                  <c:v>2154.0074</c:v>
                </c:pt>
                <c:pt idx="33">
                  <c:v>2029.8702000000001</c:v>
                </c:pt>
                <c:pt idx="34">
                  <c:v>1906.7809999999997</c:v>
                </c:pt>
                <c:pt idx="35">
                  <c:v>1817.3914</c:v>
                </c:pt>
                <c:pt idx="36">
                  <c:v>1766.2428</c:v>
                </c:pt>
                <c:pt idx="37">
                  <c:v>1748.3606</c:v>
                </c:pt>
                <c:pt idx="38">
                  <c:v>1754.0752</c:v>
                </c:pt>
                <c:pt idx="39">
                  <c:v>1783.7878000000001</c:v>
                </c:pt>
                <c:pt idx="40">
                  <c:v>1838.7876000000001</c:v>
                </c:pt>
                <c:pt idx="41">
                  <c:v>1910.2720000000002</c:v>
                </c:pt>
                <c:pt idx="42">
                  <c:v>1970.3301999999999</c:v>
                </c:pt>
                <c:pt idx="43">
                  <c:v>2023.5921999999998</c:v>
                </c:pt>
                <c:pt idx="44">
                  <c:v>2080.2894000000001</c:v>
                </c:pt>
                <c:pt idx="45">
                  <c:v>2118.7518</c:v>
                </c:pt>
                <c:pt idx="46">
                  <c:v>2134.5970000000002</c:v>
                </c:pt>
                <c:pt idx="47">
                  <c:v>2130.9548</c:v>
                </c:pt>
                <c:pt idx="48">
                  <c:v>2102.6372000000001</c:v>
                </c:pt>
                <c:pt idx="49">
                  <c:v>2052.8335999999999</c:v>
                </c:pt>
                <c:pt idx="50">
                  <c:v>2002.9068</c:v>
                </c:pt>
                <c:pt idx="51">
                  <c:v>1952.3061999999998</c:v>
                </c:pt>
                <c:pt idx="52">
                  <c:v>1895.0171999999998</c:v>
                </c:pt>
                <c:pt idx="53">
                  <c:v>1831.2056</c:v>
                </c:pt>
                <c:pt idx="54">
                  <c:v>1755.3905999999999</c:v>
                </c:pt>
                <c:pt idx="55">
                  <c:v>1654.1063999999999</c:v>
                </c:pt>
                <c:pt idx="56">
                  <c:v>1536.9302</c:v>
                </c:pt>
                <c:pt idx="57">
                  <c:v>1441.6382000000001</c:v>
                </c:pt>
                <c:pt idx="58">
                  <c:v>1369.4272000000001</c:v>
                </c:pt>
                <c:pt idx="59">
                  <c:v>1333.0624000000003</c:v>
                </c:pt>
                <c:pt idx="60">
                  <c:v>1314.9164000000001</c:v>
                </c:pt>
                <c:pt idx="61">
                  <c:v>1308.8241999999998</c:v>
                </c:pt>
                <c:pt idx="62">
                  <c:v>1310.6722</c:v>
                </c:pt>
                <c:pt idx="63">
                  <c:v>1382.2703999999999</c:v>
                </c:pt>
                <c:pt idx="64">
                  <c:v>1564.3002000000001</c:v>
                </c:pt>
                <c:pt idx="65">
                  <c:v>1663.4007999999999</c:v>
                </c:pt>
                <c:pt idx="66">
                  <c:v>1599.7776000000001</c:v>
                </c:pt>
                <c:pt idx="67">
                  <c:v>1517.1201999999998</c:v>
                </c:pt>
                <c:pt idx="68">
                  <c:v>1634.6004</c:v>
                </c:pt>
                <c:pt idx="69">
                  <c:v>2049.2554</c:v>
                </c:pt>
                <c:pt idx="70">
                  <c:v>2552.3748000000005</c:v>
                </c:pt>
                <c:pt idx="71">
                  <c:v>2876.5880000000002</c:v>
                </c:pt>
                <c:pt idx="72">
                  <c:v>2882.2778000000003</c:v>
                </c:pt>
                <c:pt idx="73">
                  <c:v>2632.0404000000003</c:v>
                </c:pt>
                <c:pt idx="74">
                  <c:v>2361.0468000000001</c:v>
                </c:pt>
                <c:pt idx="75">
                  <c:v>2301.6116000000002</c:v>
                </c:pt>
                <c:pt idx="76">
                  <c:v>2469.8613999999998</c:v>
                </c:pt>
                <c:pt idx="77">
                  <c:v>2762.5986000000003</c:v>
                </c:pt>
                <c:pt idx="78">
                  <c:v>3016.8300000000004</c:v>
                </c:pt>
                <c:pt idx="79">
                  <c:v>3168.8598000000002</c:v>
                </c:pt>
                <c:pt idx="80">
                  <c:v>3296.3415999999997</c:v>
                </c:pt>
                <c:pt idx="81">
                  <c:v>3516.0866000000001</c:v>
                </c:pt>
                <c:pt idx="82">
                  <c:v>3733.5214000000001</c:v>
                </c:pt>
                <c:pt idx="83">
                  <c:v>3810.1196000000004</c:v>
                </c:pt>
                <c:pt idx="84">
                  <c:v>3693.1781999999998</c:v>
                </c:pt>
                <c:pt idx="85">
                  <c:v>3447.0737999999997</c:v>
                </c:pt>
                <c:pt idx="86">
                  <c:v>3124.9638</c:v>
                </c:pt>
                <c:pt idx="87">
                  <c:v>2773.6292000000003</c:v>
                </c:pt>
                <c:pt idx="88">
                  <c:v>2506.7069999999999</c:v>
                </c:pt>
                <c:pt idx="89">
                  <c:v>2340.1583999999998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531.72979999999984</c:v>
                </c:pt>
                <c:pt idx="1">
                  <c:v>672.94260000000008</c:v>
                </c:pt>
                <c:pt idx="2">
                  <c:v>1101.3265999999999</c:v>
                </c:pt>
                <c:pt idx="3">
                  <c:v>1686.4</c:v>
                </c:pt>
                <c:pt idx="4">
                  <c:v>2405.375</c:v>
                </c:pt>
                <c:pt idx="5">
                  <c:v>2555.1526000000003</c:v>
                </c:pt>
                <c:pt idx="6">
                  <c:v>2778.7284</c:v>
                </c:pt>
                <c:pt idx="7">
                  <c:v>2918.2025999999996</c:v>
                </c:pt>
                <c:pt idx="8">
                  <c:v>2956.9632000000001</c:v>
                </c:pt>
                <c:pt idx="9">
                  <c:v>2897.598</c:v>
                </c:pt>
                <c:pt idx="10">
                  <c:v>2775.1680000000001</c:v>
                </c:pt>
                <c:pt idx="11">
                  <c:v>2527.4507999999996</c:v>
                </c:pt>
                <c:pt idx="12">
                  <c:v>2356.2611999999999</c:v>
                </c:pt>
                <c:pt idx="13">
                  <c:v>2236.8588000000004</c:v>
                </c:pt>
                <c:pt idx="14">
                  <c:v>2173.1904</c:v>
                </c:pt>
                <c:pt idx="15">
                  <c:v>2147.2166000000007</c:v>
                </c:pt>
                <c:pt idx="16">
                  <c:v>2144.5482000000002</c:v>
                </c:pt>
                <c:pt idx="17">
                  <c:v>2149.0555999999997</c:v>
                </c:pt>
                <c:pt idx="18">
                  <c:v>2152.1201999999998</c:v>
                </c:pt>
                <c:pt idx="19">
                  <c:v>2153.0883999999996</c:v>
                </c:pt>
                <c:pt idx="20">
                  <c:v>2156.2149999999997</c:v>
                </c:pt>
                <c:pt idx="21">
                  <c:v>2159.1783999999998</c:v>
                </c:pt>
                <c:pt idx="22">
                  <c:v>2155.9718000000003</c:v>
                </c:pt>
                <c:pt idx="23">
                  <c:v>2153.3141999999998</c:v>
                </c:pt>
                <c:pt idx="24">
                  <c:v>2173.0874000000003</c:v>
                </c:pt>
                <c:pt idx="25">
                  <c:v>2199.3501999999999</c:v>
                </c:pt>
                <c:pt idx="26">
                  <c:v>2217.2869999999998</c:v>
                </c:pt>
                <c:pt idx="27">
                  <c:v>2234.1492000000003</c:v>
                </c:pt>
                <c:pt idx="28">
                  <c:v>2242.6712000000002</c:v>
                </c:pt>
                <c:pt idx="29">
                  <c:v>2240.8833999999997</c:v>
                </c:pt>
                <c:pt idx="30">
                  <c:v>2231.1338000000001</c:v>
                </c:pt>
                <c:pt idx="31">
                  <c:v>2193.6158</c:v>
                </c:pt>
                <c:pt idx="32">
                  <c:v>2109.6971999999996</c:v>
                </c:pt>
                <c:pt idx="33">
                  <c:v>1991.4360000000001</c:v>
                </c:pt>
                <c:pt idx="34">
                  <c:v>1866.9980000000003</c:v>
                </c:pt>
                <c:pt idx="35">
                  <c:v>1776.5882000000001</c:v>
                </c:pt>
                <c:pt idx="36">
                  <c:v>1720.864</c:v>
                </c:pt>
                <c:pt idx="37">
                  <c:v>1698.9051999999999</c:v>
                </c:pt>
                <c:pt idx="38">
                  <c:v>1701.8986</c:v>
                </c:pt>
                <c:pt idx="39">
                  <c:v>1726.8700000000001</c:v>
                </c:pt>
                <c:pt idx="40">
                  <c:v>1781.6196</c:v>
                </c:pt>
                <c:pt idx="41">
                  <c:v>1850.1827999999998</c:v>
                </c:pt>
                <c:pt idx="42">
                  <c:v>1904.9105999999999</c:v>
                </c:pt>
                <c:pt idx="43">
                  <c:v>1957.0730000000003</c:v>
                </c:pt>
                <c:pt idx="44">
                  <c:v>2007.5146</c:v>
                </c:pt>
                <c:pt idx="45">
                  <c:v>2037.5364000000002</c:v>
                </c:pt>
                <c:pt idx="46">
                  <c:v>2044.6590000000001</c:v>
                </c:pt>
                <c:pt idx="47">
                  <c:v>2027.5060000000001</c:v>
                </c:pt>
                <c:pt idx="48">
                  <c:v>1982.7160000000003</c:v>
                </c:pt>
                <c:pt idx="49">
                  <c:v>1923.1095999999998</c:v>
                </c:pt>
                <c:pt idx="50">
                  <c:v>1855.1598000000001</c:v>
                </c:pt>
                <c:pt idx="51">
                  <c:v>1788.6669999999999</c:v>
                </c:pt>
                <c:pt idx="52">
                  <c:v>1727.2887999999998</c:v>
                </c:pt>
                <c:pt idx="53">
                  <c:v>1661.7482</c:v>
                </c:pt>
                <c:pt idx="54">
                  <c:v>1583.5463999999999</c:v>
                </c:pt>
                <c:pt idx="55">
                  <c:v>1500.8237999999999</c:v>
                </c:pt>
                <c:pt idx="56">
                  <c:v>1418.4590000000001</c:v>
                </c:pt>
                <c:pt idx="57">
                  <c:v>1353.8824</c:v>
                </c:pt>
                <c:pt idx="58">
                  <c:v>1313.258</c:v>
                </c:pt>
                <c:pt idx="59">
                  <c:v>1291.4988000000001</c:v>
                </c:pt>
                <c:pt idx="60">
                  <c:v>1278.9072000000001</c:v>
                </c:pt>
                <c:pt idx="61">
                  <c:v>1269.2883999999999</c:v>
                </c:pt>
                <c:pt idx="62">
                  <c:v>1276.8654000000001</c:v>
                </c:pt>
                <c:pt idx="63">
                  <c:v>1353.328</c:v>
                </c:pt>
                <c:pt idx="64">
                  <c:v>1521.5881999999999</c:v>
                </c:pt>
                <c:pt idx="65">
                  <c:v>1612.5306</c:v>
                </c:pt>
                <c:pt idx="66">
                  <c:v>1552.3979999999999</c:v>
                </c:pt>
                <c:pt idx="67">
                  <c:v>1489.6286</c:v>
                </c:pt>
                <c:pt idx="68">
                  <c:v>1647.0475999999999</c:v>
                </c:pt>
                <c:pt idx="69">
                  <c:v>2097.9973999999997</c:v>
                </c:pt>
                <c:pt idx="70">
                  <c:v>2595.6030000000001</c:v>
                </c:pt>
                <c:pt idx="71">
                  <c:v>2900.0347999999999</c:v>
                </c:pt>
                <c:pt idx="72">
                  <c:v>2885.9001999999996</c:v>
                </c:pt>
                <c:pt idx="73">
                  <c:v>2615.4148</c:v>
                </c:pt>
                <c:pt idx="74">
                  <c:v>2328.2218000000003</c:v>
                </c:pt>
                <c:pt idx="75">
                  <c:v>2265.8113999999996</c:v>
                </c:pt>
                <c:pt idx="76">
                  <c:v>2446.6952000000001</c:v>
                </c:pt>
                <c:pt idx="77">
                  <c:v>2726.1632</c:v>
                </c:pt>
                <c:pt idx="78">
                  <c:v>2970.2575999999999</c:v>
                </c:pt>
                <c:pt idx="79">
                  <c:v>3106.1378</c:v>
                </c:pt>
                <c:pt idx="80">
                  <c:v>3218.8052000000002</c:v>
                </c:pt>
                <c:pt idx="81">
                  <c:v>3413.4616000000001</c:v>
                </c:pt>
                <c:pt idx="82">
                  <c:v>3611.6652000000004</c:v>
                </c:pt>
                <c:pt idx="83">
                  <c:v>3685.1731999999997</c:v>
                </c:pt>
                <c:pt idx="84">
                  <c:v>3575.2406000000001</c:v>
                </c:pt>
                <c:pt idx="85">
                  <c:v>3331.0901999999996</c:v>
                </c:pt>
                <c:pt idx="86">
                  <c:v>2993.1238000000003</c:v>
                </c:pt>
                <c:pt idx="87">
                  <c:v>2625.7393999999999</c:v>
                </c:pt>
                <c:pt idx="88">
                  <c:v>2352.393</c:v>
                </c:pt>
                <c:pt idx="89">
                  <c:v>2192.5182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1-\_light_profiles_CO11_LIGHT" connectionId="2" xr16:uid="{2E3AF6D1-DE34-4F2F-949D-1EE564913B2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1-\_dark_profiles_CO11_DARK" connectionId="1" xr16:uid="{16B06CEF-D07F-468A-9673-95405E8B289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4" sqref="D4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-5.3419999999999996</v>
      </c>
      <c r="C3">
        <v>-4.9649999999999999</v>
      </c>
      <c r="D3">
        <v>-5.26</v>
      </c>
      <c r="E3">
        <v>-4.01</v>
      </c>
      <c r="F3">
        <v>-0.84899999999999998</v>
      </c>
      <c r="K3" t="s">
        <v>0</v>
      </c>
      <c r="L3">
        <v>-4.0090000000000003</v>
      </c>
      <c r="M3">
        <v>-2.5219999999999998</v>
      </c>
      <c r="N3">
        <v>-5.2220000000000004</v>
      </c>
      <c r="O3">
        <v>-5.181</v>
      </c>
      <c r="P3">
        <v>-3.1509999999999998</v>
      </c>
    </row>
    <row r="4" spans="1:19" x14ac:dyDescent="0.25">
      <c r="A4" t="s">
        <v>1</v>
      </c>
      <c r="B4">
        <v>333.714</v>
      </c>
      <c r="C4">
        <v>334.06700000000001</v>
      </c>
      <c r="D4">
        <v>336.59699999999998</v>
      </c>
      <c r="E4">
        <v>335.25599999999997</v>
      </c>
      <c r="F4">
        <v>333.86700000000002</v>
      </c>
      <c r="H4" s="2">
        <f>AVERAGE(B4:F4)</f>
        <v>334.7002</v>
      </c>
      <c r="I4" s="2">
        <f>STDEV(B4:F4)/SQRT(COUNT(B4:F4))</f>
        <v>0.54655826770802096</v>
      </c>
      <c r="K4" t="s">
        <v>1</v>
      </c>
      <c r="L4">
        <v>334.55500000000001</v>
      </c>
      <c r="M4">
        <v>332.67599999999999</v>
      </c>
      <c r="N4">
        <v>335.53699999999998</v>
      </c>
      <c r="O4">
        <v>333.87</v>
      </c>
      <c r="P4">
        <v>332.99</v>
      </c>
      <c r="R4" s="3">
        <f>AVERAGE(L4:P4)</f>
        <v>333.92559999999997</v>
      </c>
      <c r="S4" s="3">
        <f>STDEV(L4:P4)/SQRT(COUNT(L4:P4))</f>
        <v>0.52118582098901867</v>
      </c>
    </row>
    <row r="5" spans="1:19" x14ac:dyDescent="0.25">
      <c r="A5" t="s">
        <v>2</v>
      </c>
      <c r="B5">
        <v>68.762</v>
      </c>
      <c r="C5">
        <v>68.298000000000002</v>
      </c>
      <c r="D5">
        <v>68.799000000000007</v>
      </c>
      <c r="E5">
        <v>68.221999999999994</v>
      </c>
      <c r="F5">
        <v>67.45</v>
      </c>
      <c r="H5" s="2">
        <f t="shared" ref="H5:H68" si="0">AVERAGE(B5:F5)</f>
        <v>68.306200000000004</v>
      </c>
      <c r="I5" s="2">
        <f t="shared" ref="I5:I68" si="1">STDEV(B5:F5)/SQRT(COUNT(B5:F5))</f>
        <v>0.24401237673527987</v>
      </c>
      <c r="K5" t="s">
        <v>2</v>
      </c>
      <c r="L5">
        <v>68.238</v>
      </c>
      <c r="M5">
        <v>68.159000000000006</v>
      </c>
      <c r="N5">
        <v>68.882000000000005</v>
      </c>
      <c r="O5">
        <v>68.367000000000004</v>
      </c>
      <c r="P5">
        <v>66.576999999999998</v>
      </c>
      <c r="R5" s="3">
        <f t="shared" ref="R5:R68" si="2">AVERAGE(L5:P5)</f>
        <v>68.044600000000003</v>
      </c>
      <c r="S5" s="3">
        <f t="shared" ref="S5:S68" si="3">STDEV(L5:P5)/SQRT(COUNT(L5:P5))</f>
        <v>0.38791243857345031</v>
      </c>
    </row>
    <row r="6" spans="1:19" x14ac:dyDescent="0.25">
      <c r="A6" t="s">
        <v>3</v>
      </c>
      <c r="B6">
        <v>49.203000000000003</v>
      </c>
      <c r="C6">
        <v>49.475999999999999</v>
      </c>
      <c r="D6">
        <v>50.171999999999997</v>
      </c>
      <c r="E6">
        <v>50.228000000000002</v>
      </c>
      <c r="F6">
        <v>50.731000000000002</v>
      </c>
      <c r="H6" s="2">
        <f t="shared" si="0"/>
        <v>49.962000000000003</v>
      </c>
      <c r="I6" s="2">
        <f t="shared" si="1"/>
        <v>0.27554437029269879</v>
      </c>
      <c r="K6" t="s">
        <v>3</v>
      </c>
      <c r="L6">
        <v>49.996000000000002</v>
      </c>
      <c r="M6">
        <v>50.575000000000003</v>
      </c>
      <c r="N6">
        <v>50.039000000000001</v>
      </c>
      <c r="O6">
        <v>48.905000000000001</v>
      </c>
      <c r="P6">
        <v>50.561999999999998</v>
      </c>
      <c r="R6" s="3">
        <f t="shared" si="2"/>
        <v>50.0154</v>
      </c>
      <c r="S6" s="3">
        <f t="shared" si="3"/>
        <v>0.30379641209204544</v>
      </c>
    </row>
    <row r="7" spans="1:19" x14ac:dyDescent="0.25">
      <c r="A7">
        <v>-3.75</v>
      </c>
      <c r="B7">
        <v>625.47799999999995</v>
      </c>
      <c r="C7">
        <v>528.53800000000001</v>
      </c>
      <c r="D7">
        <v>534.53800000000001</v>
      </c>
      <c r="E7">
        <v>510.90300000000002</v>
      </c>
      <c r="F7">
        <v>479.34800000000001</v>
      </c>
      <c r="H7" s="2">
        <f t="shared" si="0"/>
        <v>535.76100000000008</v>
      </c>
      <c r="I7" s="2">
        <f t="shared" si="1"/>
        <v>24.395854442917127</v>
      </c>
      <c r="K7">
        <v>-3.75</v>
      </c>
      <c r="L7">
        <v>392.221</v>
      </c>
      <c r="M7">
        <v>535.47</v>
      </c>
      <c r="N7">
        <v>571.58299999999997</v>
      </c>
      <c r="O7">
        <v>597.94299999999998</v>
      </c>
      <c r="P7">
        <v>561.43200000000002</v>
      </c>
      <c r="R7" s="3">
        <f t="shared" si="2"/>
        <v>531.72979999999984</v>
      </c>
      <c r="S7" s="3">
        <f t="shared" si="3"/>
        <v>36.284556262134871</v>
      </c>
    </row>
    <row r="8" spans="1:19" x14ac:dyDescent="0.25">
      <c r="A8">
        <v>-2.5</v>
      </c>
      <c r="B8">
        <v>758.93799999999999</v>
      </c>
      <c r="C8">
        <v>668.92</v>
      </c>
      <c r="D8">
        <v>632.83500000000004</v>
      </c>
      <c r="E8">
        <v>636.35699999999997</v>
      </c>
      <c r="F8">
        <v>727.82399999999996</v>
      </c>
      <c r="H8" s="2">
        <f t="shared" si="0"/>
        <v>684.97480000000007</v>
      </c>
      <c r="I8" s="2">
        <f t="shared" si="1"/>
        <v>25.146187304241565</v>
      </c>
      <c r="K8">
        <v>-2.5</v>
      </c>
      <c r="L8">
        <v>541.72400000000005</v>
      </c>
      <c r="M8">
        <v>703.524</v>
      </c>
      <c r="N8">
        <v>739.53700000000003</v>
      </c>
      <c r="O8">
        <v>649.63499999999999</v>
      </c>
      <c r="P8">
        <v>730.29300000000001</v>
      </c>
      <c r="R8" s="3">
        <f t="shared" si="2"/>
        <v>672.94260000000008</v>
      </c>
      <c r="S8" s="3">
        <f t="shared" si="3"/>
        <v>36.346024350126427</v>
      </c>
    </row>
    <row r="9" spans="1:19" x14ac:dyDescent="0.25">
      <c r="A9">
        <v>-1.25</v>
      </c>
      <c r="B9">
        <v>1171.4580000000001</v>
      </c>
      <c r="C9">
        <v>1075.614</v>
      </c>
      <c r="D9">
        <v>1108.8040000000001</v>
      </c>
      <c r="E9">
        <v>1005.869</v>
      </c>
      <c r="F9">
        <v>1336.7840000000001</v>
      </c>
      <c r="H9" s="2">
        <f t="shared" si="0"/>
        <v>1139.7058000000002</v>
      </c>
      <c r="I9" s="2">
        <f t="shared" si="1"/>
        <v>56.045958027675837</v>
      </c>
      <c r="K9">
        <v>-1.25</v>
      </c>
      <c r="L9">
        <v>977.48900000000003</v>
      </c>
      <c r="M9">
        <v>1258.8599999999999</v>
      </c>
      <c r="N9">
        <v>1110.5429999999999</v>
      </c>
      <c r="O9">
        <v>970.34199999999998</v>
      </c>
      <c r="P9">
        <v>1189.3989999999999</v>
      </c>
      <c r="R9" s="3">
        <f t="shared" si="2"/>
        <v>1101.3265999999999</v>
      </c>
      <c r="S9" s="3">
        <f t="shared" si="3"/>
        <v>57.075028864293678</v>
      </c>
    </row>
    <row r="10" spans="1:19" x14ac:dyDescent="0.25">
      <c r="A10">
        <v>0</v>
      </c>
      <c r="B10">
        <v>1836.58</v>
      </c>
      <c r="C10">
        <v>1739.8489999999999</v>
      </c>
      <c r="D10">
        <v>1665.021</v>
      </c>
      <c r="E10">
        <v>1500.8679999999999</v>
      </c>
      <c r="F10">
        <v>1977.924</v>
      </c>
      <c r="H10" s="2">
        <f t="shared" si="0"/>
        <v>1744.0483999999997</v>
      </c>
      <c r="I10" s="2">
        <f t="shared" si="1"/>
        <v>80.205849265873368</v>
      </c>
      <c r="K10">
        <v>0</v>
      </c>
      <c r="L10">
        <v>1497.5440000000001</v>
      </c>
      <c r="M10">
        <v>1934.914</v>
      </c>
      <c r="N10">
        <v>1648.4269999999999</v>
      </c>
      <c r="O10">
        <v>1523.9190000000001</v>
      </c>
      <c r="P10">
        <v>1827.1959999999999</v>
      </c>
      <c r="R10" s="3">
        <f t="shared" si="2"/>
        <v>1686.4</v>
      </c>
      <c r="S10" s="3">
        <f t="shared" si="3"/>
        <v>85.173744381117686</v>
      </c>
    </row>
    <row r="11" spans="1:19" x14ac:dyDescent="0.25">
      <c r="A11">
        <v>1.25</v>
      </c>
      <c r="B11">
        <v>2616.9630000000002</v>
      </c>
      <c r="C11">
        <v>2500.529</v>
      </c>
      <c r="D11">
        <v>2313.875</v>
      </c>
      <c r="E11">
        <v>2077.1729999999998</v>
      </c>
      <c r="F11">
        <v>2875.6909999999998</v>
      </c>
      <c r="H11" s="2">
        <f t="shared" si="0"/>
        <v>2476.8462</v>
      </c>
      <c r="I11" s="2">
        <f t="shared" si="1"/>
        <v>135.1978265307549</v>
      </c>
      <c r="K11">
        <v>1.25</v>
      </c>
      <c r="L11">
        <v>2118.2339999999999</v>
      </c>
      <c r="M11">
        <v>2810.57</v>
      </c>
      <c r="N11">
        <v>2311.116</v>
      </c>
      <c r="O11">
        <v>2130.4560000000001</v>
      </c>
      <c r="P11">
        <v>2656.4989999999998</v>
      </c>
      <c r="R11" s="3">
        <f t="shared" si="2"/>
        <v>2405.375</v>
      </c>
      <c r="S11" s="3">
        <f t="shared" si="3"/>
        <v>140.38543744348991</v>
      </c>
    </row>
    <row r="12" spans="1:19" x14ac:dyDescent="0.25">
      <c r="A12">
        <v>2.5</v>
      </c>
      <c r="B12">
        <v>2730.33</v>
      </c>
      <c r="C12">
        <v>2638.3310000000001</v>
      </c>
      <c r="D12">
        <v>2490.002</v>
      </c>
      <c r="E12">
        <v>2219.799</v>
      </c>
      <c r="F12">
        <v>2982.069</v>
      </c>
      <c r="H12" s="2">
        <f t="shared" si="0"/>
        <v>2612.1061999999997</v>
      </c>
      <c r="I12" s="2">
        <f t="shared" si="1"/>
        <v>126.56054978444111</v>
      </c>
      <c r="K12">
        <v>2.5</v>
      </c>
      <c r="L12">
        <v>2244.27</v>
      </c>
      <c r="M12">
        <v>2990.0749999999998</v>
      </c>
      <c r="N12">
        <v>2443.5189999999998</v>
      </c>
      <c r="O12">
        <v>2264.8159999999998</v>
      </c>
      <c r="P12">
        <v>2833.0830000000001</v>
      </c>
      <c r="R12" s="3">
        <f t="shared" si="2"/>
        <v>2555.1526000000003</v>
      </c>
      <c r="S12" s="3">
        <f t="shared" si="3"/>
        <v>151.62588733412068</v>
      </c>
    </row>
    <row r="13" spans="1:19" x14ac:dyDescent="0.25">
      <c r="A13">
        <v>3.75</v>
      </c>
      <c r="B13">
        <v>2949.2260000000001</v>
      </c>
      <c r="C13">
        <v>2842.701</v>
      </c>
      <c r="D13">
        <v>2651.5390000000002</v>
      </c>
      <c r="E13">
        <v>2398.277</v>
      </c>
      <c r="F13">
        <v>3214.116</v>
      </c>
      <c r="H13" s="2">
        <f t="shared" si="0"/>
        <v>2811.1718000000001</v>
      </c>
      <c r="I13" s="2">
        <f t="shared" si="1"/>
        <v>137.54668800207438</v>
      </c>
      <c r="K13">
        <v>3.75</v>
      </c>
      <c r="L13">
        <v>2450.6529999999998</v>
      </c>
      <c r="M13">
        <v>3284.1860000000001</v>
      </c>
      <c r="N13">
        <v>2670.92</v>
      </c>
      <c r="O13">
        <v>2474.1480000000001</v>
      </c>
      <c r="P13">
        <v>3013.7350000000001</v>
      </c>
      <c r="R13" s="3">
        <f t="shared" si="2"/>
        <v>2778.7284</v>
      </c>
      <c r="S13" s="3">
        <f t="shared" si="3"/>
        <v>161.66954362235353</v>
      </c>
    </row>
    <row r="14" spans="1:19" x14ac:dyDescent="0.25">
      <c r="A14">
        <v>5</v>
      </c>
      <c r="B14">
        <v>3115.1640000000002</v>
      </c>
      <c r="C14">
        <v>2971.6930000000002</v>
      </c>
      <c r="D14">
        <v>2796.201</v>
      </c>
      <c r="E14">
        <v>2507.3159999999998</v>
      </c>
      <c r="F14">
        <v>3373.2669999999998</v>
      </c>
      <c r="H14" s="2">
        <f t="shared" si="0"/>
        <v>2952.7282</v>
      </c>
      <c r="I14" s="2">
        <f t="shared" si="1"/>
        <v>146.02923120300264</v>
      </c>
      <c r="K14">
        <v>5</v>
      </c>
      <c r="L14">
        <v>2580.7280000000001</v>
      </c>
      <c r="M14">
        <v>3463.4989999999998</v>
      </c>
      <c r="N14">
        <v>2786.2539999999999</v>
      </c>
      <c r="O14">
        <v>2578.6579999999999</v>
      </c>
      <c r="P14">
        <v>3181.8739999999998</v>
      </c>
      <c r="R14" s="3">
        <f t="shared" si="2"/>
        <v>2918.2025999999996</v>
      </c>
      <c r="S14" s="3">
        <f t="shared" si="3"/>
        <v>175.13720979666166</v>
      </c>
    </row>
    <row r="15" spans="1:19" x14ac:dyDescent="0.25">
      <c r="A15">
        <v>6.25</v>
      </c>
      <c r="B15">
        <v>3140.82</v>
      </c>
      <c r="C15">
        <v>3010.61</v>
      </c>
      <c r="D15">
        <v>2865.8090000000002</v>
      </c>
      <c r="E15">
        <v>2541.8139999999999</v>
      </c>
      <c r="F15">
        <v>3436.08</v>
      </c>
      <c r="H15" s="2">
        <f t="shared" si="0"/>
        <v>2999.0266000000001</v>
      </c>
      <c r="I15" s="2">
        <f t="shared" si="1"/>
        <v>147.99417360815255</v>
      </c>
      <c r="K15">
        <v>6.25</v>
      </c>
      <c r="L15">
        <v>2621.7460000000001</v>
      </c>
      <c r="M15">
        <v>3503.5630000000001</v>
      </c>
      <c r="N15">
        <v>2829.6680000000001</v>
      </c>
      <c r="O15">
        <v>2608.2689999999998</v>
      </c>
      <c r="P15">
        <v>3221.57</v>
      </c>
      <c r="R15" s="3">
        <f t="shared" si="2"/>
        <v>2956.9632000000001</v>
      </c>
      <c r="S15" s="3">
        <f t="shared" si="3"/>
        <v>175.91907005762616</v>
      </c>
    </row>
    <row r="16" spans="1:19" x14ac:dyDescent="0.25">
      <c r="A16">
        <v>7.5</v>
      </c>
      <c r="B16">
        <v>3115.1260000000002</v>
      </c>
      <c r="C16">
        <v>2970.5529999999999</v>
      </c>
      <c r="D16">
        <v>2820.1350000000002</v>
      </c>
      <c r="E16">
        <v>2512.5259999999998</v>
      </c>
      <c r="F16">
        <v>3386.1509999999998</v>
      </c>
      <c r="H16" s="2">
        <f t="shared" si="0"/>
        <v>2960.8982000000001</v>
      </c>
      <c r="I16" s="2">
        <f t="shared" si="1"/>
        <v>145.87173845039345</v>
      </c>
      <c r="K16">
        <v>7.5</v>
      </c>
      <c r="L16">
        <v>2553.1120000000001</v>
      </c>
      <c r="M16">
        <v>3415.875</v>
      </c>
      <c r="N16">
        <v>2778.9760000000001</v>
      </c>
      <c r="O16">
        <v>2580.8560000000002</v>
      </c>
      <c r="P16">
        <v>3159.1709999999998</v>
      </c>
      <c r="R16" s="3">
        <f t="shared" si="2"/>
        <v>2897.598</v>
      </c>
      <c r="S16" s="3">
        <f t="shared" si="3"/>
        <v>168.83405472563865</v>
      </c>
    </row>
    <row r="17" spans="1:19" x14ac:dyDescent="0.25">
      <c r="A17">
        <v>8.75</v>
      </c>
      <c r="B17">
        <v>3002.8110000000001</v>
      </c>
      <c r="C17">
        <v>2865.8719999999998</v>
      </c>
      <c r="D17">
        <v>2697.4259999999999</v>
      </c>
      <c r="E17">
        <v>2408.1210000000001</v>
      </c>
      <c r="F17">
        <v>3250.88</v>
      </c>
      <c r="H17" s="2">
        <f t="shared" si="0"/>
        <v>2845.0219999999999</v>
      </c>
      <c r="I17" s="2">
        <f t="shared" si="1"/>
        <v>141.90135133288899</v>
      </c>
      <c r="K17">
        <v>8.75</v>
      </c>
      <c r="L17">
        <v>2446.2840000000001</v>
      </c>
      <c r="M17">
        <v>3251.7550000000001</v>
      </c>
      <c r="N17">
        <v>2669.4070000000002</v>
      </c>
      <c r="O17">
        <v>2477.1550000000002</v>
      </c>
      <c r="P17">
        <v>3031.239</v>
      </c>
      <c r="R17" s="3">
        <f t="shared" si="2"/>
        <v>2775.1680000000001</v>
      </c>
      <c r="S17" s="3">
        <f t="shared" si="3"/>
        <v>158.25127935596618</v>
      </c>
    </row>
    <row r="18" spans="1:19" x14ac:dyDescent="0.25">
      <c r="A18">
        <v>10</v>
      </c>
      <c r="B18">
        <v>2727.9810000000002</v>
      </c>
      <c r="C18">
        <v>2602.6239999999998</v>
      </c>
      <c r="D18">
        <v>2505.942</v>
      </c>
      <c r="E18">
        <v>2187.741</v>
      </c>
      <c r="F18">
        <v>2875.2689999999998</v>
      </c>
      <c r="H18" s="2">
        <f t="shared" si="0"/>
        <v>2579.9114</v>
      </c>
      <c r="I18" s="2">
        <f t="shared" si="1"/>
        <v>115.96242393404856</v>
      </c>
      <c r="K18">
        <v>10</v>
      </c>
      <c r="L18">
        <v>2224.0990000000002</v>
      </c>
      <c r="M18">
        <v>2951.6669999999999</v>
      </c>
      <c r="N18">
        <v>2422.1590000000001</v>
      </c>
      <c r="O18">
        <v>2282.348</v>
      </c>
      <c r="P18">
        <v>2756.9810000000002</v>
      </c>
      <c r="R18" s="3">
        <f t="shared" si="2"/>
        <v>2527.4507999999996</v>
      </c>
      <c r="S18" s="3">
        <f t="shared" si="3"/>
        <v>140.68183204181096</v>
      </c>
    </row>
    <row r="19" spans="1:19" x14ac:dyDescent="0.25">
      <c r="A19">
        <v>11.25</v>
      </c>
      <c r="B19">
        <v>2547.5839999999998</v>
      </c>
      <c r="C19">
        <v>2427.92</v>
      </c>
      <c r="D19">
        <v>2355.5129999999999</v>
      </c>
      <c r="E19">
        <v>2034</v>
      </c>
      <c r="F19">
        <v>2636.4050000000002</v>
      </c>
      <c r="H19" s="2">
        <f t="shared" si="0"/>
        <v>2400.2844</v>
      </c>
      <c r="I19" s="2">
        <f t="shared" si="1"/>
        <v>103.53322564114383</v>
      </c>
      <c r="K19">
        <v>11.25</v>
      </c>
      <c r="L19">
        <v>2063.761</v>
      </c>
      <c r="M19">
        <v>2742.4409999999998</v>
      </c>
      <c r="N19">
        <v>2254.4560000000001</v>
      </c>
      <c r="O19">
        <v>2155.0230000000001</v>
      </c>
      <c r="P19">
        <v>2565.625</v>
      </c>
      <c r="R19" s="3">
        <f t="shared" si="2"/>
        <v>2356.2611999999999</v>
      </c>
      <c r="S19" s="3">
        <f t="shared" si="3"/>
        <v>128.33267658020691</v>
      </c>
    </row>
    <row r="20" spans="1:19" x14ac:dyDescent="0.25">
      <c r="A20">
        <v>12.5</v>
      </c>
      <c r="B20">
        <v>2427.6750000000002</v>
      </c>
      <c r="C20">
        <v>2309.9850000000001</v>
      </c>
      <c r="D20">
        <v>2256.5619999999999</v>
      </c>
      <c r="E20">
        <v>1932.72</v>
      </c>
      <c r="F20">
        <v>2479.9349999999999</v>
      </c>
      <c r="H20" s="2">
        <f t="shared" si="0"/>
        <v>2281.3753999999999</v>
      </c>
      <c r="I20" s="2">
        <f t="shared" si="1"/>
        <v>95.870821862858776</v>
      </c>
      <c r="K20">
        <v>12.5</v>
      </c>
      <c r="L20">
        <v>1958.1010000000001</v>
      </c>
      <c r="M20">
        <v>2595.482</v>
      </c>
      <c r="N20">
        <v>2141.7139999999999</v>
      </c>
      <c r="O20">
        <v>2060.2260000000001</v>
      </c>
      <c r="P20">
        <v>2428.7710000000002</v>
      </c>
      <c r="R20" s="3">
        <f t="shared" si="2"/>
        <v>2236.8588000000004</v>
      </c>
      <c r="S20" s="3">
        <f t="shared" si="3"/>
        <v>119.03749034459544</v>
      </c>
    </row>
    <row r="21" spans="1:19" x14ac:dyDescent="0.25">
      <c r="A21">
        <v>13.75</v>
      </c>
      <c r="B21">
        <v>2366.5349999999999</v>
      </c>
      <c r="C21">
        <v>2247.3440000000001</v>
      </c>
      <c r="D21">
        <v>2213.0749999999998</v>
      </c>
      <c r="E21">
        <v>1885.2470000000001</v>
      </c>
      <c r="F21">
        <v>2406.33</v>
      </c>
      <c r="H21" s="2">
        <f t="shared" si="0"/>
        <v>2223.7061999999996</v>
      </c>
      <c r="I21" s="2">
        <f t="shared" si="1"/>
        <v>91.917875438567407</v>
      </c>
      <c r="K21">
        <v>13.75</v>
      </c>
      <c r="L21">
        <v>1902.0540000000001</v>
      </c>
      <c r="M21">
        <v>2519.0659999999998</v>
      </c>
      <c r="N21">
        <v>2085.636</v>
      </c>
      <c r="O21">
        <v>1995.5909999999999</v>
      </c>
      <c r="P21">
        <v>2363.605</v>
      </c>
      <c r="R21" s="3">
        <f t="shared" si="2"/>
        <v>2173.1904</v>
      </c>
      <c r="S21" s="3">
        <f t="shared" si="3"/>
        <v>115.89001635456012</v>
      </c>
    </row>
    <row r="22" spans="1:19" x14ac:dyDescent="0.25">
      <c r="A22">
        <v>15</v>
      </c>
      <c r="B22">
        <v>2347.752</v>
      </c>
      <c r="C22">
        <v>2215.96</v>
      </c>
      <c r="D22">
        <v>2200.4299999999998</v>
      </c>
      <c r="E22">
        <v>1865.635</v>
      </c>
      <c r="F22">
        <v>2387.279</v>
      </c>
      <c r="H22" s="2">
        <f t="shared" si="0"/>
        <v>2203.4112</v>
      </c>
      <c r="I22" s="2">
        <f t="shared" si="1"/>
        <v>91.896886683608599</v>
      </c>
      <c r="K22">
        <v>15</v>
      </c>
      <c r="L22">
        <v>1876.1220000000001</v>
      </c>
      <c r="M22">
        <v>2487.9499999999998</v>
      </c>
      <c r="N22">
        <v>2068.056</v>
      </c>
      <c r="O22">
        <v>1968.905</v>
      </c>
      <c r="P22">
        <v>2335.0500000000002</v>
      </c>
      <c r="R22" s="3">
        <f t="shared" si="2"/>
        <v>2147.2166000000007</v>
      </c>
      <c r="S22" s="3">
        <f t="shared" si="3"/>
        <v>114.65913515005929</v>
      </c>
    </row>
    <row r="23" spans="1:19" x14ac:dyDescent="0.25">
      <c r="A23">
        <v>16.25</v>
      </c>
      <c r="B23">
        <v>2331.607</v>
      </c>
      <c r="C23">
        <v>2205.221</v>
      </c>
      <c r="D23">
        <v>2193.6579999999999</v>
      </c>
      <c r="E23">
        <v>1865.4079999999999</v>
      </c>
      <c r="F23">
        <v>2379.4520000000002</v>
      </c>
      <c r="H23" s="2">
        <f t="shared" si="0"/>
        <v>2195.0691999999995</v>
      </c>
      <c r="I23" s="2">
        <f t="shared" si="1"/>
        <v>89.83906307358734</v>
      </c>
      <c r="K23">
        <v>16.25</v>
      </c>
      <c r="L23">
        <v>1878.6310000000001</v>
      </c>
      <c r="M23">
        <v>2482.6709999999998</v>
      </c>
      <c r="N23">
        <v>2066.0889999999999</v>
      </c>
      <c r="O23">
        <v>1963.271</v>
      </c>
      <c r="P23">
        <v>2332.0790000000002</v>
      </c>
      <c r="R23" s="3">
        <f t="shared" si="2"/>
        <v>2144.5482000000002</v>
      </c>
      <c r="S23" s="3">
        <f t="shared" si="3"/>
        <v>113.84727826979457</v>
      </c>
    </row>
    <row r="24" spans="1:19" x14ac:dyDescent="0.25">
      <c r="A24">
        <v>17.5</v>
      </c>
      <c r="B24">
        <v>2325.123</v>
      </c>
      <c r="C24">
        <v>2210.8510000000001</v>
      </c>
      <c r="D24">
        <v>2193.288</v>
      </c>
      <c r="E24">
        <v>1869.9359999999999</v>
      </c>
      <c r="F24">
        <v>2373.87</v>
      </c>
      <c r="H24" s="2">
        <f t="shared" si="0"/>
        <v>2194.6135999999997</v>
      </c>
      <c r="I24" s="2">
        <f t="shared" si="1"/>
        <v>87.990486629294196</v>
      </c>
      <c r="K24">
        <v>17.5</v>
      </c>
      <c r="L24">
        <v>1889.0309999999999</v>
      </c>
      <c r="M24">
        <v>2489.1840000000002</v>
      </c>
      <c r="N24">
        <v>2074.346</v>
      </c>
      <c r="O24">
        <v>1955.7940000000001</v>
      </c>
      <c r="P24">
        <v>2336.9229999999998</v>
      </c>
      <c r="R24" s="3">
        <f t="shared" si="2"/>
        <v>2149.0555999999997</v>
      </c>
      <c r="S24" s="3">
        <f t="shared" si="3"/>
        <v>114.35161814360308</v>
      </c>
    </row>
    <row r="25" spans="1:19" x14ac:dyDescent="0.25">
      <c r="A25">
        <v>18.75</v>
      </c>
      <c r="B25">
        <v>2330.2370000000001</v>
      </c>
      <c r="C25">
        <v>2213.8649999999998</v>
      </c>
      <c r="D25">
        <v>2191.0909999999999</v>
      </c>
      <c r="E25">
        <v>1877.711</v>
      </c>
      <c r="F25">
        <v>2377.7370000000001</v>
      </c>
      <c r="H25" s="2">
        <f t="shared" si="0"/>
        <v>2198.1282000000001</v>
      </c>
      <c r="I25" s="2">
        <f t="shared" si="1"/>
        <v>87.371736616825928</v>
      </c>
      <c r="K25">
        <v>18.75</v>
      </c>
      <c r="L25">
        <v>1898.453</v>
      </c>
      <c r="M25">
        <v>2490.6819999999998</v>
      </c>
      <c r="N25">
        <v>2071.0079999999998</v>
      </c>
      <c r="O25">
        <v>1956.934</v>
      </c>
      <c r="P25">
        <v>2343.5239999999999</v>
      </c>
      <c r="R25" s="3">
        <f t="shared" si="2"/>
        <v>2152.1201999999998</v>
      </c>
      <c r="S25" s="3">
        <f t="shared" si="3"/>
        <v>114.07966450879914</v>
      </c>
    </row>
    <row r="26" spans="1:19" x14ac:dyDescent="0.25">
      <c r="A26">
        <v>20</v>
      </c>
      <c r="B26">
        <v>2343.2579999999998</v>
      </c>
      <c r="C26">
        <v>2213.0639999999999</v>
      </c>
      <c r="D26">
        <v>2192.587</v>
      </c>
      <c r="E26">
        <v>1884.44</v>
      </c>
      <c r="F26">
        <v>2390.768</v>
      </c>
      <c r="H26" s="2">
        <f t="shared" si="0"/>
        <v>2204.8234000000002</v>
      </c>
      <c r="I26" s="2">
        <f t="shared" si="1"/>
        <v>88.488047982538276</v>
      </c>
      <c r="K26">
        <v>20</v>
      </c>
      <c r="L26">
        <v>1901.4449999999999</v>
      </c>
      <c r="M26">
        <v>2490.7689999999998</v>
      </c>
      <c r="N26">
        <v>2056.393</v>
      </c>
      <c r="O26">
        <v>1956.3030000000001</v>
      </c>
      <c r="P26">
        <v>2360.5320000000002</v>
      </c>
      <c r="R26" s="3">
        <f t="shared" si="2"/>
        <v>2153.0883999999996</v>
      </c>
      <c r="S26" s="3">
        <f t="shared" si="3"/>
        <v>115.85765611197343</v>
      </c>
    </row>
    <row r="27" spans="1:19" x14ac:dyDescent="0.25">
      <c r="A27">
        <v>21.25</v>
      </c>
      <c r="B27">
        <v>2359.9389999999999</v>
      </c>
      <c r="C27">
        <v>2219.3939999999998</v>
      </c>
      <c r="D27">
        <v>2202.4560000000001</v>
      </c>
      <c r="E27">
        <v>1879.7570000000001</v>
      </c>
      <c r="F27">
        <v>2413.3530000000001</v>
      </c>
      <c r="H27" s="2">
        <f t="shared" si="0"/>
        <v>2214.9798000000001</v>
      </c>
      <c r="I27" s="2">
        <f t="shared" si="1"/>
        <v>92.982727565607561</v>
      </c>
      <c r="K27">
        <v>21.25</v>
      </c>
      <c r="L27">
        <v>1894.539</v>
      </c>
      <c r="M27">
        <v>2501.91</v>
      </c>
      <c r="N27">
        <v>2045.883</v>
      </c>
      <c r="O27">
        <v>1955.5989999999999</v>
      </c>
      <c r="P27">
        <v>2383.1439999999998</v>
      </c>
      <c r="R27" s="3">
        <f t="shared" si="2"/>
        <v>2156.2149999999997</v>
      </c>
      <c r="S27" s="3">
        <f t="shared" si="3"/>
        <v>120.8089530461218</v>
      </c>
    </row>
    <row r="28" spans="1:19" x14ac:dyDescent="0.25">
      <c r="A28">
        <v>22.5</v>
      </c>
      <c r="B28">
        <v>2371.6579999999999</v>
      </c>
      <c r="C28">
        <v>2221.5549999999998</v>
      </c>
      <c r="D28">
        <v>2210.3519999999999</v>
      </c>
      <c r="E28">
        <v>1864.0350000000001</v>
      </c>
      <c r="F28">
        <v>2426.2269999999999</v>
      </c>
      <c r="H28" s="2">
        <f t="shared" si="0"/>
        <v>2218.7654000000002</v>
      </c>
      <c r="I28" s="2">
        <f t="shared" si="1"/>
        <v>98.063419902938278</v>
      </c>
      <c r="K28">
        <v>22.5</v>
      </c>
      <c r="L28">
        <v>1880.2639999999999</v>
      </c>
      <c r="M28">
        <v>2506.3049999999998</v>
      </c>
      <c r="N28">
        <v>2045.069</v>
      </c>
      <c r="O28">
        <v>1968.318</v>
      </c>
      <c r="P28">
        <v>2395.9360000000001</v>
      </c>
      <c r="R28" s="3">
        <f t="shared" si="2"/>
        <v>2159.1783999999998</v>
      </c>
      <c r="S28" s="3">
        <f t="shared" si="3"/>
        <v>123.2462834265623</v>
      </c>
    </row>
    <row r="29" spans="1:19" x14ac:dyDescent="0.25">
      <c r="A29">
        <v>23.75</v>
      </c>
      <c r="B29">
        <v>2361.194</v>
      </c>
      <c r="C29">
        <v>2215.8420000000001</v>
      </c>
      <c r="D29">
        <v>2215.7959999999998</v>
      </c>
      <c r="E29">
        <v>1856.1489999999999</v>
      </c>
      <c r="F29">
        <v>2424.748</v>
      </c>
      <c r="H29" s="2">
        <f t="shared" si="0"/>
        <v>2214.7457999999997</v>
      </c>
      <c r="I29" s="2">
        <f t="shared" si="1"/>
        <v>98.524608304930624</v>
      </c>
      <c r="K29">
        <v>23.75</v>
      </c>
      <c r="L29">
        <v>1860.6959999999999</v>
      </c>
      <c r="M29">
        <v>2503.087</v>
      </c>
      <c r="N29">
        <v>2044.653</v>
      </c>
      <c r="O29">
        <v>1971.5820000000001</v>
      </c>
      <c r="P29">
        <v>2399.8409999999999</v>
      </c>
      <c r="R29" s="3">
        <f t="shared" si="2"/>
        <v>2155.9718000000003</v>
      </c>
      <c r="S29" s="3">
        <f t="shared" si="3"/>
        <v>125.20791117633026</v>
      </c>
    </row>
    <row r="30" spans="1:19" x14ac:dyDescent="0.25">
      <c r="A30">
        <v>25</v>
      </c>
      <c r="B30">
        <v>2353.8589999999999</v>
      </c>
      <c r="C30">
        <v>2215.9609999999998</v>
      </c>
      <c r="D30">
        <v>2224.3679999999999</v>
      </c>
      <c r="E30">
        <v>1864.377</v>
      </c>
      <c r="F30">
        <v>2427.5749999999998</v>
      </c>
      <c r="H30" s="2">
        <f t="shared" si="0"/>
        <v>2217.2280000000001</v>
      </c>
      <c r="I30" s="2">
        <f t="shared" si="1"/>
        <v>96.816915789545774</v>
      </c>
      <c r="K30">
        <v>25</v>
      </c>
      <c r="L30">
        <v>1854.7950000000001</v>
      </c>
      <c r="M30">
        <v>2507.94</v>
      </c>
      <c r="N30">
        <v>2041.9739999999999</v>
      </c>
      <c r="O30">
        <v>1967.425</v>
      </c>
      <c r="P30">
        <v>2394.4369999999999</v>
      </c>
      <c r="R30" s="3">
        <f t="shared" si="2"/>
        <v>2153.3141999999998</v>
      </c>
      <c r="S30" s="3">
        <f t="shared" si="3"/>
        <v>126.4841512377739</v>
      </c>
    </row>
    <row r="31" spans="1:19" x14ac:dyDescent="0.25">
      <c r="A31">
        <v>26.25</v>
      </c>
      <c r="B31">
        <v>2380.297</v>
      </c>
      <c r="C31">
        <v>2235.875</v>
      </c>
      <c r="D31">
        <v>2236.9160000000002</v>
      </c>
      <c r="E31">
        <v>1883.0139999999999</v>
      </c>
      <c r="F31">
        <v>2442.4789999999998</v>
      </c>
      <c r="H31" s="2">
        <f t="shared" si="0"/>
        <v>2235.7161999999998</v>
      </c>
      <c r="I31" s="2">
        <f t="shared" si="1"/>
        <v>96.967718807549559</v>
      </c>
      <c r="K31">
        <v>26.25</v>
      </c>
      <c r="L31">
        <v>1884.117</v>
      </c>
      <c r="M31">
        <v>2530.9989999999998</v>
      </c>
      <c r="N31">
        <v>2064.0830000000001</v>
      </c>
      <c r="O31">
        <v>1987.43</v>
      </c>
      <c r="P31">
        <v>2398.808</v>
      </c>
      <c r="R31" s="3">
        <f t="shared" si="2"/>
        <v>2173.0874000000003</v>
      </c>
      <c r="S31" s="3">
        <f t="shared" si="3"/>
        <v>124.27892503340836</v>
      </c>
    </row>
    <row r="32" spans="1:19" x14ac:dyDescent="0.25">
      <c r="A32">
        <v>27.5</v>
      </c>
      <c r="B32">
        <v>2409.2869999999998</v>
      </c>
      <c r="C32">
        <v>2262.1750000000002</v>
      </c>
      <c r="D32">
        <v>2263.9119999999998</v>
      </c>
      <c r="E32">
        <v>1901.654</v>
      </c>
      <c r="F32">
        <v>2467.6280000000002</v>
      </c>
      <c r="H32" s="2">
        <f t="shared" si="0"/>
        <v>2260.9312</v>
      </c>
      <c r="I32" s="2">
        <f t="shared" si="1"/>
        <v>98.443778160633386</v>
      </c>
      <c r="K32">
        <v>27.5</v>
      </c>
      <c r="L32">
        <v>1915.088</v>
      </c>
      <c r="M32">
        <v>2553.5329999999999</v>
      </c>
      <c r="N32">
        <v>2085.9430000000002</v>
      </c>
      <c r="O32">
        <v>2017.663</v>
      </c>
      <c r="P32">
        <v>2424.5239999999999</v>
      </c>
      <c r="R32" s="3">
        <f t="shared" si="2"/>
        <v>2199.3501999999999</v>
      </c>
      <c r="S32" s="3">
        <f t="shared" si="3"/>
        <v>123.04981227673572</v>
      </c>
    </row>
    <row r="33" spans="1:19" x14ac:dyDescent="0.25">
      <c r="A33">
        <v>28.75</v>
      </c>
      <c r="B33">
        <v>2416.3670000000002</v>
      </c>
      <c r="C33">
        <v>2275.6889999999999</v>
      </c>
      <c r="D33">
        <v>2278.9229999999998</v>
      </c>
      <c r="E33">
        <v>1915.2819999999999</v>
      </c>
      <c r="F33">
        <v>2492.0360000000001</v>
      </c>
      <c r="H33" s="2">
        <f t="shared" si="0"/>
        <v>2275.6594</v>
      </c>
      <c r="I33" s="2">
        <f t="shared" si="1"/>
        <v>99.12113400208861</v>
      </c>
      <c r="K33">
        <v>28.75</v>
      </c>
      <c r="L33">
        <v>1933.66</v>
      </c>
      <c r="M33">
        <v>2574.3139999999999</v>
      </c>
      <c r="N33">
        <v>2091.1840000000002</v>
      </c>
      <c r="O33">
        <v>2033.2529999999999</v>
      </c>
      <c r="P33">
        <v>2454.0239999999999</v>
      </c>
      <c r="R33" s="3">
        <f t="shared" si="2"/>
        <v>2217.2869999999998</v>
      </c>
      <c r="S33" s="3">
        <f t="shared" si="3"/>
        <v>125.24524757291228</v>
      </c>
    </row>
    <row r="34" spans="1:19" x14ac:dyDescent="0.25">
      <c r="A34">
        <v>30</v>
      </c>
      <c r="B34">
        <v>2427.2779999999998</v>
      </c>
      <c r="C34">
        <v>2286.9879999999998</v>
      </c>
      <c r="D34">
        <v>2291.1709999999998</v>
      </c>
      <c r="E34">
        <v>1928.816</v>
      </c>
      <c r="F34">
        <v>2504.5149999999999</v>
      </c>
      <c r="H34" s="2">
        <f t="shared" si="0"/>
        <v>2287.7536</v>
      </c>
      <c r="I34" s="2">
        <f t="shared" si="1"/>
        <v>98.81827467255232</v>
      </c>
      <c r="K34">
        <v>30</v>
      </c>
      <c r="L34">
        <v>1947.4649999999999</v>
      </c>
      <c r="M34">
        <v>2600.9920000000002</v>
      </c>
      <c r="N34">
        <v>2109.2159999999999</v>
      </c>
      <c r="O34">
        <v>2047.002</v>
      </c>
      <c r="P34">
        <v>2466.0709999999999</v>
      </c>
      <c r="R34" s="3">
        <f t="shared" si="2"/>
        <v>2234.1492000000003</v>
      </c>
      <c r="S34" s="3">
        <f t="shared" si="3"/>
        <v>126.72441964491119</v>
      </c>
    </row>
    <row r="35" spans="1:19" x14ac:dyDescent="0.25">
      <c r="A35">
        <v>31.25</v>
      </c>
      <c r="B35">
        <v>2434.7260000000001</v>
      </c>
      <c r="C35">
        <v>2304.2020000000002</v>
      </c>
      <c r="D35">
        <v>2310.7530000000002</v>
      </c>
      <c r="E35">
        <v>1936.7929999999999</v>
      </c>
      <c r="F35">
        <v>2520.6179999999999</v>
      </c>
      <c r="H35" s="2">
        <f t="shared" si="0"/>
        <v>2301.4184</v>
      </c>
      <c r="I35" s="2">
        <f t="shared" si="1"/>
        <v>99.716083549545829</v>
      </c>
      <c r="K35">
        <v>31.25</v>
      </c>
      <c r="L35">
        <v>1950.53</v>
      </c>
      <c r="M35">
        <v>2620.3420000000001</v>
      </c>
      <c r="N35">
        <v>2125.2849999999999</v>
      </c>
      <c r="O35">
        <v>2054.366</v>
      </c>
      <c r="P35">
        <v>2462.8330000000001</v>
      </c>
      <c r="R35" s="3">
        <f t="shared" si="2"/>
        <v>2242.6712000000002</v>
      </c>
      <c r="S35" s="3">
        <f t="shared" si="3"/>
        <v>127.61099098173277</v>
      </c>
    </row>
    <row r="36" spans="1:19" x14ac:dyDescent="0.25">
      <c r="A36">
        <v>32.5</v>
      </c>
      <c r="B36">
        <v>2428.46</v>
      </c>
      <c r="C36">
        <v>2301.9360000000001</v>
      </c>
      <c r="D36">
        <v>2315.63</v>
      </c>
      <c r="E36">
        <v>1931.827</v>
      </c>
      <c r="F36">
        <v>2524.3359999999998</v>
      </c>
      <c r="H36" s="2">
        <f t="shared" si="0"/>
        <v>2300.4378000000002</v>
      </c>
      <c r="I36" s="2">
        <f t="shared" si="1"/>
        <v>100.65462162186093</v>
      </c>
      <c r="K36">
        <v>32.5</v>
      </c>
      <c r="L36">
        <v>1942.9079999999999</v>
      </c>
      <c r="M36">
        <v>2632.16</v>
      </c>
      <c r="N36">
        <v>2120.2840000000001</v>
      </c>
      <c r="O36">
        <v>2051.0549999999998</v>
      </c>
      <c r="P36">
        <v>2458.0100000000002</v>
      </c>
      <c r="R36" s="3">
        <f t="shared" si="2"/>
        <v>2240.8833999999997</v>
      </c>
      <c r="S36" s="3">
        <f t="shared" si="3"/>
        <v>130.30919266636607</v>
      </c>
    </row>
    <row r="37" spans="1:19" x14ac:dyDescent="0.25">
      <c r="A37">
        <v>33.75</v>
      </c>
      <c r="B37">
        <v>2416.1260000000002</v>
      </c>
      <c r="C37">
        <v>2279.5059999999999</v>
      </c>
      <c r="D37">
        <v>2296.0219999999999</v>
      </c>
      <c r="E37">
        <v>1916.596</v>
      </c>
      <c r="F37">
        <v>2505.8209999999999</v>
      </c>
      <c r="H37" s="2">
        <f t="shared" si="0"/>
        <v>2282.8141999999998</v>
      </c>
      <c r="I37" s="2">
        <f t="shared" si="1"/>
        <v>100.45029344028818</v>
      </c>
      <c r="K37">
        <v>33.75</v>
      </c>
      <c r="L37">
        <v>1933.2760000000001</v>
      </c>
      <c r="M37">
        <v>2615.3310000000001</v>
      </c>
      <c r="N37">
        <v>2115.732</v>
      </c>
      <c r="O37">
        <v>2039.348</v>
      </c>
      <c r="P37">
        <v>2451.982</v>
      </c>
      <c r="R37" s="3">
        <f t="shared" si="2"/>
        <v>2231.1338000000001</v>
      </c>
      <c r="S37" s="3">
        <f t="shared" si="3"/>
        <v>129.46042898832044</v>
      </c>
    </row>
    <row r="38" spans="1:19" x14ac:dyDescent="0.25">
      <c r="A38">
        <v>35</v>
      </c>
      <c r="B38">
        <v>2388.6010000000001</v>
      </c>
      <c r="C38">
        <v>2241.1570000000002</v>
      </c>
      <c r="D38">
        <v>2249.1770000000001</v>
      </c>
      <c r="E38">
        <v>1870.07</v>
      </c>
      <c r="F38">
        <v>2461.2429999999999</v>
      </c>
      <c r="H38" s="2">
        <f t="shared" si="0"/>
        <v>2242.0495999999998</v>
      </c>
      <c r="I38" s="2">
        <f t="shared" si="1"/>
        <v>101.96653343798641</v>
      </c>
      <c r="K38">
        <v>35</v>
      </c>
      <c r="L38">
        <v>1899.809</v>
      </c>
      <c r="M38">
        <v>2564.9119999999998</v>
      </c>
      <c r="N38">
        <v>2085.8449999999998</v>
      </c>
      <c r="O38">
        <v>2000.53</v>
      </c>
      <c r="P38">
        <v>2416.9830000000002</v>
      </c>
      <c r="R38" s="3">
        <f t="shared" si="2"/>
        <v>2193.6158</v>
      </c>
      <c r="S38" s="3">
        <f t="shared" si="3"/>
        <v>127.07731532236564</v>
      </c>
    </row>
    <row r="39" spans="1:19" x14ac:dyDescent="0.25">
      <c r="A39">
        <v>36.25</v>
      </c>
      <c r="B39">
        <v>2298.8530000000001</v>
      </c>
      <c r="C39">
        <v>2151.2869999999998</v>
      </c>
      <c r="D39">
        <v>2160.0129999999999</v>
      </c>
      <c r="E39">
        <v>1793.73</v>
      </c>
      <c r="F39">
        <v>2366.154</v>
      </c>
      <c r="H39" s="2">
        <f t="shared" si="0"/>
        <v>2154.0074</v>
      </c>
      <c r="I39" s="2">
        <f t="shared" si="1"/>
        <v>98.951932899059628</v>
      </c>
      <c r="K39">
        <v>36.25</v>
      </c>
      <c r="L39">
        <v>1823.33</v>
      </c>
      <c r="M39">
        <v>2471.4720000000002</v>
      </c>
      <c r="N39">
        <v>1993.4359999999999</v>
      </c>
      <c r="O39">
        <v>1921.3579999999999</v>
      </c>
      <c r="P39">
        <v>2338.89</v>
      </c>
      <c r="R39" s="3">
        <f t="shared" si="2"/>
        <v>2109.6971999999996</v>
      </c>
      <c r="S39" s="3">
        <f t="shared" si="3"/>
        <v>125.38038913737714</v>
      </c>
    </row>
    <row r="40" spans="1:19" x14ac:dyDescent="0.25">
      <c r="A40">
        <v>37.5</v>
      </c>
      <c r="B40">
        <v>2158.1419999999998</v>
      </c>
      <c r="C40">
        <v>2020.8230000000001</v>
      </c>
      <c r="D40">
        <v>2039.8589999999999</v>
      </c>
      <c r="E40">
        <v>1693.501</v>
      </c>
      <c r="F40">
        <v>2237.0259999999998</v>
      </c>
      <c r="H40" s="2">
        <f t="shared" si="0"/>
        <v>2029.8702000000001</v>
      </c>
      <c r="I40" s="2">
        <f t="shared" si="1"/>
        <v>92.92283002868561</v>
      </c>
      <c r="K40">
        <v>37.5</v>
      </c>
      <c r="L40">
        <v>1715.2339999999999</v>
      </c>
      <c r="M40">
        <v>2335.2510000000002</v>
      </c>
      <c r="N40">
        <v>1865.011</v>
      </c>
      <c r="O40">
        <v>1815.346</v>
      </c>
      <c r="P40">
        <v>2226.3380000000002</v>
      </c>
      <c r="R40" s="3">
        <f t="shared" si="2"/>
        <v>1991.4360000000001</v>
      </c>
      <c r="S40" s="3">
        <f t="shared" si="3"/>
        <v>121.7920804810396</v>
      </c>
    </row>
    <row r="41" spans="1:19" x14ac:dyDescent="0.25">
      <c r="A41">
        <v>38.75</v>
      </c>
      <c r="B41">
        <v>2024.1959999999999</v>
      </c>
      <c r="C41">
        <v>1896.915</v>
      </c>
      <c r="D41">
        <v>1917.1469999999999</v>
      </c>
      <c r="E41">
        <v>1593.56</v>
      </c>
      <c r="F41">
        <v>2102.087</v>
      </c>
      <c r="H41" s="2">
        <f t="shared" si="0"/>
        <v>1906.7809999999997</v>
      </c>
      <c r="I41" s="2">
        <f t="shared" si="1"/>
        <v>86.672631958998451</v>
      </c>
      <c r="K41">
        <v>38.75</v>
      </c>
      <c r="L41">
        <v>1608.008</v>
      </c>
      <c r="M41">
        <v>2183.0830000000001</v>
      </c>
      <c r="N41">
        <v>1746.5550000000001</v>
      </c>
      <c r="O41">
        <v>1705.193</v>
      </c>
      <c r="P41">
        <v>2092.1509999999998</v>
      </c>
      <c r="R41" s="3">
        <f t="shared" si="2"/>
        <v>1866.9980000000003</v>
      </c>
      <c r="S41" s="3">
        <f t="shared" si="3"/>
        <v>113.6588744902914</v>
      </c>
    </row>
    <row r="42" spans="1:19" x14ac:dyDescent="0.25">
      <c r="A42">
        <v>40</v>
      </c>
      <c r="B42">
        <v>1931.883</v>
      </c>
      <c r="C42">
        <v>1803.777</v>
      </c>
      <c r="D42">
        <v>1827.7170000000001</v>
      </c>
      <c r="E42">
        <v>1522.1869999999999</v>
      </c>
      <c r="F42">
        <v>2001.393</v>
      </c>
      <c r="H42" s="2">
        <f t="shared" si="0"/>
        <v>1817.3914</v>
      </c>
      <c r="I42" s="2">
        <f t="shared" si="1"/>
        <v>81.976375546617106</v>
      </c>
      <c r="K42">
        <v>40</v>
      </c>
      <c r="L42">
        <v>1526.085</v>
      </c>
      <c r="M42">
        <v>2077.7860000000001</v>
      </c>
      <c r="N42">
        <v>1668.481</v>
      </c>
      <c r="O42">
        <v>1623.2370000000001</v>
      </c>
      <c r="P42">
        <v>1987.3520000000001</v>
      </c>
      <c r="R42" s="3">
        <f t="shared" si="2"/>
        <v>1776.5882000000001</v>
      </c>
      <c r="S42" s="3">
        <f t="shared" si="3"/>
        <v>107.95765479084785</v>
      </c>
    </row>
    <row r="43" spans="1:19" x14ac:dyDescent="0.25">
      <c r="A43">
        <v>41.25</v>
      </c>
      <c r="B43">
        <v>1888.27</v>
      </c>
      <c r="C43">
        <v>1743.8409999999999</v>
      </c>
      <c r="D43">
        <v>1782.502</v>
      </c>
      <c r="E43">
        <v>1481.605</v>
      </c>
      <c r="F43">
        <v>1934.9960000000001</v>
      </c>
      <c r="H43" s="2">
        <f t="shared" si="0"/>
        <v>1766.2428</v>
      </c>
      <c r="I43" s="2">
        <f t="shared" si="1"/>
        <v>79.105359953292677</v>
      </c>
      <c r="K43">
        <v>41.25</v>
      </c>
      <c r="L43">
        <v>1475.5</v>
      </c>
      <c r="M43">
        <v>2009.99</v>
      </c>
      <c r="N43">
        <v>1617.3219999999999</v>
      </c>
      <c r="O43">
        <v>1578.82</v>
      </c>
      <c r="P43">
        <v>1922.6880000000001</v>
      </c>
      <c r="R43" s="3">
        <f t="shared" si="2"/>
        <v>1720.864</v>
      </c>
      <c r="S43" s="3">
        <f t="shared" si="3"/>
        <v>103.78528485483928</v>
      </c>
    </row>
    <row r="44" spans="1:19" x14ac:dyDescent="0.25">
      <c r="A44">
        <v>42.5</v>
      </c>
      <c r="B44">
        <v>1864.2360000000001</v>
      </c>
      <c r="C44">
        <v>1727.404</v>
      </c>
      <c r="D44">
        <v>1766.1759999999999</v>
      </c>
      <c r="E44">
        <v>1472.366</v>
      </c>
      <c r="F44">
        <v>1911.6210000000001</v>
      </c>
      <c r="H44" s="2">
        <f t="shared" si="0"/>
        <v>1748.3606</v>
      </c>
      <c r="I44" s="2">
        <f t="shared" si="1"/>
        <v>76.488774772250096</v>
      </c>
      <c r="K44">
        <v>42.5</v>
      </c>
      <c r="L44">
        <v>1463.0129999999999</v>
      </c>
      <c r="M44">
        <v>1970.5340000000001</v>
      </c>
      <c r="N44">
        <v>1599.691</v>
      </c>
      <c r="O44">
        <v>1563.809</v>
      </c>
      <c r="P44">
        <v>1897.479</v>
      </c>
      <c r="R44" s="3">
        <f t="shared" si="2"/>
        <v>1698.9051999999999</v>
      </c>
      <c r="S44" s="3">
        <f t="shared" si="3"/>
        <v>99.235409454690426</v>
      </c>
    </row>
    <row r="45" spans="1:19" x14ac:dyDescent="0.25">
      <c r="A45">
        <v>43.75</v>
      </c>
      <c r="B45">
        <v>1867.3589999999999</v>
      </c>
      <c r="C45">
        <v>1748.1849999999999</v>
      </c>
      <c r="D45">
        <v>1763.9860000000001</v>
      </c>
      <c r="E45">
        <v>1482.36</v>
      </c>
      <c r="F45">
        <v>1908.4860000000001</v>
      </c>
      <c r="H45" s="2">
        <f t="shared" si="0"/>
        <v>1754.0752</v>
      </c>
      <c r="I45" s="2">
        <f t="shared" si="1"/>
        <v>74.376737903325676</v>
      </c>
      <c r="K45">
        <v>43.75</v>
      </c>
      <c r="L45">
        <v>1467.377</v>
      </c>
      <c r="M45">
        <v>1974.875</v>
      </c>
      <c r="N45">
        <v>1603.0940000000001</v>
      </c>
      <c r="O45">
        <v>1564.26</v>
      </c>
      <c r="P45">
        <v>1899.8869999999999</v>
      </c>
      <c r="R45" s="3">
        <f t="shared" si="2"/>
        <v>1701.8986</v>
      </c>
      <c r="S45" s="3">
        <f t="shared" si="3"/>
        <v>99.353569525507936</v>
      </c>
    </row>
    <row r="46" spans="1:19" x14ac:dyDescent="0.25">
      <c r="A46">
        <v>45</v>
      </c>
      <c r="B46">
        <v>1900.242</v>
      </c>
      <c r="C46">
        <v>1785.1010000000001</v>
      </c>
      <c r="D46">
        <v>1793.2270000000001</v>
      </c>
      <c r="E46">
        <v>1504.1310000000001</v>
      </c>
      <c r="F46">
        <v>1936.2380000000001</v>
      </c>
      <c r="H46" s="2">
        <f t="shared" si="0"/>
        <v>1783.7878000000001</v>
      </c>
      <c r="I46" s="2">
        <f t="shared" si="1"/>
        <v>75.862175342788561</v>
      </c>
      <c r="K46">
        <v>45</v>
      </c>
      <c r="L46">
        <v>1479.09</v>
      </c>
      <c r="M46">
        <v>2005.1020000000001</v>
      </c>
      <c r="N46">
        <v>1635.971</v>
      </c>
      <c r="O46">
        <v>1590.4570000000001</v>
      </c>
      <c r="P46">
        <v>1923.73</v>
      </c>
      <c r="R46" s="3">
        <f t="shared" si="2"/>
        <v>1726.8700000000001</v>
      </c>
      <c r="S46" s="3">
        <f t="shared" si="3"/>
        <v>101.10216827397956</v>
      </c>
    </row>
    <row r="47" spans="1:19" x14ac:dyDescent="0.25">
      <c r="A47">
        <v>46.25</v>
      </c>
      <c r="B47">
        <v>1956.6690000000001</v>
      </c>
      <c r="C47">
        <v>1833.914</v>
      </c>
      <c r="D47">
        <v>1856.0709999999999</v>
      </c>
      <c r="E47">
        <v>1549.7860000000001</v>
      </c>
      <c r="F47">
        <v>1997.498</v>
      </c>
      <c r="H47" s="2">
        <f t="shared" si="0"/>
        <v>1838.7876000000001</v>
      </c>
      <c r="I47" s="2">
        <f t="shared" si="1"/>
        <v>78.39942864243335</v>
      </c>
      <c r="K47">
        <v>46.25</v>
      </c>
      <c r="L47">
        <v>1517.442</v>
      </c>
      <c r="M47">
        <v>2065.9810000000002</v>
      </c>
      <c r="N47">
        <v>1700.6120000000001</v>
      </c>
      <c r="O47">
        <v>1644.2070000000001</v>
      </c>
      <c r="P47">
        <v>1979.856</v>
      </c>
      <c r="R47" s="3">
        <f t="shared" si="2"/>
        <v>1781.6196</v>
      </c>
      <c r="S47" s="3">
        <f t="shared" si="3"/>
        <v>103.77700475856874</v>
      </c>
    </row>
    <row r="48" spans="1:19" x14ac:dyDescent="0.25">
      <c r="A48">
        <v>47.5</v>
      </c>
      <c r="B48">
        <v>2024.1769999999999</v>
      </c>
      <c r="C48">
        <v>1898.7840000000001</v>
      </c>
      <c r="D48">
        <v>1938.347</v>
      </c>
      <c r="E48">
        <v>1613.0350000000001</v>
      </c>
      <c r="F48">
        <v>2077.0169999999998</v>
      </c>
      <c r="H48" s="2">
        <f t="shared" si="0"/>
        <v>1910.2720000000002</v>
      </c>
      <c r="I48" s="2">
        <f t="shared" si="1"/>
        <v>80.637540261344739</v>
      </c>
      <c r="K48">
        <v>47.5</v>
      </c>
      <c r="L48">
        <v>1574.2729999999999</v>
      </c>
      <c r="M48">
        <v>2137.279</v>
      </c>
      <c r="N48">
        <v>1767.4290000000001</v>
      </c>
      <c r="O48">
        <v>1706.203</v>
      </c>
      <c r="P48">
        <v>2065.73</v>
      </c>
      <c r="R48" s="3">
        <f t="shared" si="2"/>
        <v>1850.1827999999998</v>
      </c>
      <c r="S48" s="3">
        <f t="shared" si="3"/>
        <v>107.84002398015433</v>
      </c>
    </row>
    <row r="49" spans="1:19" x14ac:dyDescent="0.25">
      <c r="A49">
        <v>48.75</v>
      </c>
      <c r="B49">
        <v>2079.741</v>
      </c>
      <c r="C49">
        <v>1954.6489999999999</v>
      </c>
      <c r="D49">
        <v>2007.963</v>
      </c>
      <c r="E49">
        <v>1666.9780000000001</v>
      </c>
      <c r="F49">
        <v>2142.3200000000002</v>
      </c>
      <c r="H49" s="2">
        <f t="shared" si="0"/>
        <v>1970.3301999999999</v>
      </c>
      <c r="I49" s="2">
        <f t="shared" si="1"/>
        <v>82.230134188994242</v>
      </c>
      <c r="K49">
        <v>48.75</v>
      </c>
      <c r="L49">
        <v>1622.5820000000001</v>
      </c>
      <c r="M49">
        <v>2193.0909999999999</v>
      </c>
      <c r="N49">
        <v>1821.296</v>
      </c>
      <c r="O49">
        <v>1757.87</v>
      </c>
      <c r="P49">
        <v>2129.7139999999999</v>
      </c>
      <c r="R49" s="3">
        <f t="shared" si="2"/>
        <v>1904.9105999999999</v>
      </c>
      <c r="S49" s="3">
        <f t="shared" si="3"/>
        <v>109.97870006396688</v>
      </c>
    </row>
    <row r="50" spans="1:19" x14ac:dyDescent="0.25">
      <c r="A50">
        <v>50</v>
      </c>
      <c r="B50">
        <v>2146.6689999999999</v>
      </c>
      <c r="C50">
        <v>2015.5160000000001</v>
      </c>
      <c r="D50">
        <v>2049.8240000000001</v>
      </c>
      <c r="E50">
        <v>1716.229</v>
      </c>
      <c r="F50">
        <v>2189.723</v>
      </c>
      <c r="H50" s="2">
        <f t="shared" si="0"/>
        <v>2023.5921999999998</v>
      </c>
      <c r="I50" s="2">
        <f t="shared" si="1"/>
        <v>83.058055135790383</v>
      </c>
      <c r="K50">
        <v>50</v>
      </c>
      <c r="L50">
        <v>1679.241</v>
      </c>
      <c r="M50">
        <v>2250.9810000000002</v>
      </c>
      <c r="N50">
        <v>1863.3969999999999</v>
      </c>
      <c r="O50">
        <v>1808.595</v>
      </c>
      <c r="P50">
        <v>2183.1509999999998</v>
      </c>
      <c r="R50" s="3">
        <f t="shared" si="2"/>
        <v>1957.0730000000003</v>
      </c>
      <c r="S50" s="3">
        <f t="shared" si="3"/>
        <v>110.7936605208069</v>
      </c>
    </row>
    <row r="51" spans="1:19" x14ac:dyDescent="0.25">
      <c r="A51">
        <v>51.25</v>
      </c>
      <c r="B51">
        <v>2221.0320000000002</v>
      </c>
      <c r="C51">
        <v>2081.4850000000001</v>
      </c>
      <c r="D51">
        <v>2087.4639999999999</v>
      </c>
      <c r="E51">
        <v>1759.2650000000001</v>
      </c>
      <c r="F51">
        <v>2252.201</v>
      </c>
      <c r="H51" s="2">
        <f t="shared" si="0"/>
        <v>2080.2894000000001</v>
      </c>
      <c r="I51" s="2">
        <f t="shared" si="1"/>
        <v>87.313128282406637</v>
      </c>
      <c r="K51">
        <v>51.25</v>
      </c>
      <c r="L51">
        <v>1739.4079999999999</v>
      </c>
      <c r="M51">
        <v>2312.0309999999999</v>
      </c>
      <c r="N51">
        <v>1892.1110000000001</v>
      </c>
      <c r="O51">
        <v>1855.6020000000001</v>
      </c>
      <c r="P51">
        <v>2238.4209999999998</v>
      </c>
      <c r="R51" s="3">
        <f t="shared" si="2"/>
        <v>2007.5146</v>
      </c>
      <c r="S51" s="3">
        <f t="shared" si="3"/>
        <v>112.76625854509838</v>
      </c>
    </row>
    <row r="52" spans="1:19" x14ac:dyDescent="0.25">
      <c r="A52">
        <v>52.5</v>
      </c>
      <c r="B52">
        <v>2274.2109999999998</v>
      </c>
      <c r="C52">
        <v>2127.6309999999999</v>
      </c>
      <c r="D52">
        <v>2124.4549999999999</v>
      </c>
      <c r="E52">
        <v>1786.9190000000001</v>
      </c>
      <c r="F52">
        <v>2280.5430000000001</v>
      </c>
      <c r="H52" s="2">
        <f t="shared" si="0"/>
        <v>2118.7518</v>
      </c>
      <c r="I52" s="2">
        <f t="shared" si="1"/>
        <v>89.601431099285421</v>
      </c>
      <c r="K52">
        <v>52.5</v>
      </c>
      <c r="L52">
        <v>1770.174</v>
      </c>
      <c r="M52">
        <v>2348.3209999999999</v>
      </c>
      <c r="N52">
        <v>1919.759</v>
      </c>
      <c r="O52">
        <v>1890.482</v>
      </c>
      <c r="P52">
        <v>2258.9459999999999</v>
      </c>
      <c r="R52" s="3">
        <f t="shared" si="2"/>
        <v>2037.5364000000002</v>
      </c>
      <c r="S52" s="3">
        <f t="shared" si="3"/>
        <v>112.38070208296372</v>
      </c>
    </row>
    <row r="53" spans="1:19" x14ac:dyDescent="0.25">
      <c r="A53">
        <v>53.75</v>
      </c>
      <c r="B53">
        <v>2302.326</v>
      </c>
      <c r="C53">
        <v>2146.4499999999998</v>
      </c>
      <c r="D53">
        <v>2158.779</v>
      </c>
      <c r="E53">
        <v>1803.133</v>
      </c>
      <c r="F53">
        <v>2262.297</v>
      </c>
      <c r="H53" s="2">
        <f t="shared" si="0"/>
        <v>2134.5970000000002</v>
      </c>
      <c r="I53" s="2">
        <f t="shared" si="1"/>
        <v>88.043725917864236</v>
      </c>
      <c r="K53">
        <v>53.75</v>
      </c>
      <c r="L53">
        <v>1767.1469999999999</v>
      </c>
      <c r="M53">
        <v>2355.6790000000001</v>
      </c>
      <c r="N53">
        <v>1940.4059999999999</v>
      </c>
      <c r="O53">
        <v>1904.944</v>
      </c>
      <c r="P53">
        <v>2255.1190000000001</v>
      </c>
      <c r="R53" s="3">
        <f t="shared" si="2"/>
        <v>2044.6590000000001</v>
      </c>
      <c r="S53" s="3">
        <f t="shared" si="3"/>
        <v>111.4514987288193</v>
      </c>
    </row>
    <row r="54" spans="1:19" x14ac:dyDescent="0.25">
      <c r="A54">
        <v>55</v>
      </c>
      <c r="B54">
        <v>2314.4960000000001</v>
      </c>
      <c r="C54">
        <v>2138.9899999999998</v>
      </c>
      <c r="D54">
        <v>2200.1149999999998</v>
      </c>
      <c r="E54">
        <v>1795.1849999999999</v>
      </c>
      <c r="F54">
        <v>2205.9879999999998</v>
      </c>
      <c r="H54" s="2">
        <f t="shared" si="0"/>
        <v>2130.9548</v>
      </c>
      <c r="I54" s="2">
        <f t="shared" si="1"/>
        <v>88.573813707777092</v>
      </c>
      <c r="K54">
        <v>55</v>
      </c>
      <c r="L54">
        <v>1748.107</v>
      </c>
      <c r="M54">
        <v>2325.9389999999999</v>
      </c>
      <c r="N54">
        <v>1940.365</v>
      </c>
      <c r="O54">
        <v>1894.229</v>
      </c>
      <c r="P54">
        <v>2228.89</v>
      </c>
      <c r="R54" s="3">
        <f t="shared" si="2"/>
        <v>2027.5060000000001</v>
      </c>
      <c r="S54" s="3">
        <f t="shared" si="3"/>
        <v>107.94394025511463</v>
      </c>
    </row>
    <row r="55" spans="1:19" x14ac:dyDescent="0.25">
      <c r="A55">
        <v>56.25</v>
      </c>
      <c r="B55">
        <v>2298.7159999999999</v>
      </c>
      <c r="C55">
        <v>2111.8679999999999</v>
      </c>
      <c r="D55">
        <v>2221.66</v>
      </c>
      <c r="E55">
        <v>1749.2819999999999</v>
      </c>
      <c r="F55">
        <v>2131.66</v>
      </c>
      <c r="H55" s="2">
        <f t="shared" si="0"/>
        <v>2102.6372000000001</v>
      </c>
      <c r="I55" s="2">
        <f t="shared" si="1"/>
        <v>94.445950332663799</v>
      </c>
      <c r="K55">
        <v>56.25</v>
      </c>
      <c r="L55">
        <v>1719.8119999999999</v>
      </c>
      <c r="M55">
        <v>2256.5390000000002</v>
      </c>
      <c r="N55">
        <v>1904.789</v>
      </c>
      <c r="O55">
        <v>1860.944</v>
      </c>
      <c r="P55">
        <v>2171.4960000000001</v>
      </c>
      <c r="R55" s="3">
        <f t="shared" si="2"/>
        <v>1982.7160000000003</v>
      </c>
      <c r="S55" s="3">
        <f t="shared" si="3"/>
        <v>100.1589921719449</v>
      </c>
    </row>
    <row r="56" spans="1:19" x14ac:dyDescent="0.25">
      <c r="A56">
        <v>57.5</v>
      </c>
      <c r="B56">
        <v>2241.8389999999999</v>
      </c>
      <c r="C56">
        <v>2066.7289999999998</v>
      </c>
      <c r="D56">
        <v>2223.431</v>
      </c>
      <c r="E56">
        <v>1687.0440000000001</v>
      </c>
      <c r="F56">
        <v>2045.125</v>
      </c>
      <c r="H56" s="2">
        <f t="shared" si="0"/>
        <v>2052.8335999999999</v>
      </c>
      <c r="I56" s="2">
        <f t="shared" si="1"/>
        <v>99.719870196265262</v>
      </c>
      <c r="K56">
        <v>57.5</v>
      </c>
      <c r="L56">
        <v>1670.3150000000001</v>
      </c>
      <c r="M56">
        <v>2175.6390000000001</v>
      </c>
      <c r="N56">
        <v>1840.222</v>
      </c>
      <c r="O56">
        <v>1821.047</v>
      </c>
      <c r="P56">
        <v>2108.3249999999998</v>
      </c>
      <c r="R56" s="3">
        <f t="shared" si="2"/>
        <v>1923.1095999999998</v>
      </c>
      <c r="S56" s="3">
        <f t="shared" si="3"/>
        <v>94.675255638207787</v>
      </c>
    </row>
    <row r="57" spans="1:19" x14ac:dyDescent="0.25">
      <c r="A57">
        <v>58.75</v>
      </c>
      <c r="B57">
        <v>2172.3359999999998</v>
      </c>
      <c r="C57">
        <v>2020.3820000000001</v>
      </c>
      <c r="D57">
        <v>2220.4760000000001</v>
      </c>
      <c r="E57">
        <v>1639.8230000000001</v>
      </c>
      <c r="F57">
        <v>1961.5170000000001</v>
      </c>
      <c r="H57" s="2">
        <f t="shared" si="0"/>
        <v>2002.9068</v>
      </c>
      <c r="I57" s="2">
        <f t="shared" si="1"/>
        <v>102.44289984737911</v>
      </c>
      <c r="K57">
        <v>58.75</v>
      </c>
      <c r="L57">
        <v>1602.893</v>
      </c>
      <c r="M57">
        <v>2093.8470000000002</v>
      </c>
      <c r="N57">
        <v>1773.066</v>
      </c>
      <c r="O57">
        <v>1774.22</v>
      </c>
      <c r="P57">
        <v>2031.7729999999999</v>
      </c>
      <c r="R57" s="3">
        <f t="shared" si="2"/>
        <v>1855.1598000000001</v>
      </c>
      <c r="S57" s="3">
        <f t="shared" si="3"/>
        <v>90.855099874140265</v>
      </c>
    </row>
    <row r="58" spans="1:19" x14ac:dyDescent="0.25">
      <c r="A58">
        <v>60</v>
      </c>
      <c r="B58">
        <v>2120.694</v>
      </c>
      <c r="C58">
        <v>1969.9349999999999</v>
      </c>
      <c r="D58">
        <v>2199.2289999999998</v>
      </c>
      <c r="E58">
        <v>1596.819</v>
      </c>
      <c r="F58">
        <v>1874.854</v>
      </c>
      <c r="H58" s="2">
        <f t="shared" si="0"/>
        <v>1952.3061999999998</v>
      </c>
      <c r="I58" s="2">
        <f t="shared" si="1"/>
        <v>105.35798203904663</v>
      </c>
      <c r="K58">
        <v>60</v>
      </c>
      <c r="L58">
        <v>1546.2370000000001</v>
      </c>
      <c r="M58">
        <v>2007.6279999999999</v>
      </c>
      <c r="N58">
        <v>1708.347</v>
      </c>
      <c r="O58">
        <v>1727.3219999999999</v>
      </c>
      <c r="P58">
        <v>1953.8009999999999</v>
      </c>
      <c r="R58" s="3">
        <f t="shared" si="2"/>
        <v>1788.6669999999999</v>
      </c>
      <c r="S58" s="3">
        <f t="shared" si="3"/>
        <v>84.911711148109575</v>
      </c>
    </row>
    <row r="59" spans="1:19" x14ac:dyDescent="0.25">
      <c r="A59">
        <v>61.25</v>
      </c>
      <c r="B59">
        <v>2074.5819999999999</v>
      </c>
      <c r="C59">
        <v>1903.395</v>
      </c>
      <c r="D59">
        <v>2150.5259999999998</v>
      </c>
      <c r="E59">
        <v>1545.479</v>
      </c>
      <c r="F59">
        <v>1801.104</v>
      </c>
      <c r="H59" s="2">
        <f t="shared" si="0"/>
        <v>1895.0171999999998</v>
      </c>
      <c r="I59" s="2">
        <f t="shared" si="1"/>
        <v>106.91003091450342</v>
      </c>
      <c r="K59">
        <v>61.25</v>
      </c>
      <c r="L59">
        <v>1488.8969999999999</v>
      </c>
      <c r="M59">
        <v>1934.0730000000001</v>
      </c>
      <c r="N59">
        <v>1644.933</v>
      </c>
      <c r="O59">
        <v>1686.298</v>
      </c>
      <c r="P59">
        <v>1882.2429999999999</v>
      </c>
      <c r="R59" s="3">
        <f t="shared" si="2"/>
        <v>1727.2887999999998</v>
      </c>
      <c r="S59" s="3">
        <f t="shared" si="3"/>
        <v>81.260040380497003</v>
      </c>
    </row>
    <row r="60" spans="1:19" x14ac:dyDescent="0.25">
      <c r="A60">
        <v>62.5</v>
      </c>
      <c r="B60">
        <v>2009.2460000000001</v>
      </c>
      <c r="C60">
        <v>1838.1469999999999</v>
      </c>
      <c r="D60">
        <v>2081.4250000000002</v>
      </c>
      <c r="E60">
        <v>1491.16</v>
      </c>
      <c r="F60">
        <v>1736.05</v>
      </c>
      <c r="H60" s="2">
        <f t="shared" si="0"/>
        <v>1831.2056</v>
      </c>
      <c r="I60" s="2">
        <f t="shared" si="1"/>
        <v>104.65226072407636</v>
      </c>
      <c r="K60">
        <v>62.5</v>
      </c>
      <c r="L60">
        <v>1430.8430000000001</v>
      </c>
      <c r="M60">
        <v>1856.3820000000001</v>
      </c>
      <c r="N60">
        <v>1570.3879999999999</v>
      </c>
      <c r="O60">
        <v>1643.4359999999999</v>
      </c>
      <c r="P60">
        <v>1807.692</v>
      </c>
      <c r="R60" s="3">
        <f t="shared" si="2"/>
        <v>1661.7482</v>
      </c>
      <c r="S60" s="3">
        <f t="shared" si="3"/>
        <v>77.839945741502149</v>
      </c>
    </row>
    <row r="61" spans="1:19" x14ac:dyDescent="0.25">
      <c r="A61">
        <v>63.75</v>
      </c>
      <c r="B61">
        <v>1949.992</v>
      </c>
      <c r="C61">
        <v>1749.94</v>
      </c>
      <c r="D61">
        <v>1998.296</v>
      </c>
      <c r="E61">
        <v>1417.183</v>
      </c>
      <c r="F61">
        <v>1661.5419999999999</v>
      </c>
      <c r="H61" s="2">
        <f t="shared" si="0"/>
        <v>1755.3905999999999</v>
      </c>
      <c r="I61" s="2">
        <f t="shared" si="1"/>
        <v>104.90338118745306</v>
      </c>
      <c r="K61">
        <v>63.75</v>
      </c>
      <c r="L61">
        <v>1353.55</v>
      </c>
      <c r="M61">
        <v>1768.338</v>
      </c>
      <c r="N61">
        <v>1494.348</v>
      </c>
      <c r="O61">
        <v>1572.4359999999999</v>
      </c>
      <c r="P61">
        <v>1729.06</v>
      </c>
      <c r="R61" s="3">
        <f t="shared" si="2"/>
        <v>1583.5463999999999</v>
      </c>
      <c r="S61" s="3">
        <f t="shared" si="3"/>
        <v>76.25624000014686</v>
      </c>
    </row>
    <row r="62" spans="1:19" x14ac:dyDescent="0.25">
      <c r="A62">
        <v>65</v>
      </c>
      <c r="B62">
        <v>1830.9269999999999</v>
      </c>
      <c r="C62">
        <v>1634.067</v>
      </c>
      <c r="D62">
        <v>1878.0740000000001</v>
      </c>
      <c r="E62">
        <v>1327.941</v>
      </c>
      <c r="F62">
        <v>1599.5229999999999</v>
      </c>
      <c r="H62" s="2">
        <f t="shared" si="0"/>
        <v>1654.1063999999999</v>
      </c>
      <c r="I62" s="2">
        <f t="shared" si="1"/>
        <v>97.773156770967262</v>
      </c>
      <c r="K62">
        <v>65</v>
      </c>
      <c r="L62">
        <v>1279.626</v>
      </c>
      <c r="M62">
        <v>1686.2660000000001</v>
      </c>
      <c r="N62">
        <v>1413.585</v>
      </c>
      <c r="O62">
        <v>1471.549</v>
      </c>
      <c r="P62">
        <v>1653.0930000000001</v>
      </c>
      <c r="R62" s="3">
        <f t="shared" si="2"/>
        <v>1500.8237999999999</v>
      </c>
      <c r="S62" s="3">
        <f t="shared" si="3"/>
        <v>75.819129405051569</v>
      </c>
    </row>
    <row r="63" spans="1:19" x14ac:dyDescent="0.25">
      <c r="A63">
        <v>66.25</v>
      </c>
      <c r="B63">
        <v>1665.9269999999999</v>
      </c>
      <c r="C63">
        <v>1507.143</v>
      </c>
      <c r="D63">
        <v>1719.684</v>
      </c>
      <c r="E63">
        <v>1249.123</v>
      </c>
      <c r="F63">
        <v>1542.7739999999999</v>
      </c>
      <c r="H63" s="2">
        <f t="shared" si="0"/>
        <v>1536.9302</v>
      </c>
      <c r="I63" s="2">
        <f t="shared" si="1"/>
        <v>81.790444881660534</v>
      </c>
      <c r="K63">
        <v>66.25</v>
      </c>
      <c r="L63">
        <v>1209.9590000000001</v>
      </c>
      <c r="M63">
        <v>1619.7919999999999</v>
      </c>
      <c r="N63">
        <v>1331.1120000000001</v>
      </c>
      <c r="O63">
        <v>1363</v>
      </c>
      <c r="P63">
        <v>1568.432</v>
      </c>
      <c r="R63" s="3">
        <f t="shared" si="2"/>
        <v>1418.4590000000001</v>
      </c>
      <c r="S63" s="3">
        <f t="shared" si="3"/>
        <v>76.552049844533329</v>
      </c>
    </row>
    <row r="64" spans="1:19" x14ac:dyDescent="0.25">
      <c r="A64">
        <v>67.5</v>
      </c>
      <c r="B64">
        <v>1551.7529999999999</v>
      </c>
      <c r="C64">
        <v>1403.1389999999999</v>
      </c>
      <c r="D64">
        <v>1567.7860000000001</v>
      </c>
      <c r="E64">
        <v>1180.479</v>
      </c>
      <c r="F64">
        <v>1505.0340000000001</v>
      </c>
      <c r="H64" s="2">
        <f t="shared" si="0"/>
        <v>1441.6382000000001</v>
      </c>
      <c r="I64" s="2">
        <f t="shared" si="1"/>
        <v>71.324568076785425</v>
      </c>
      <c r="K64">
        <v>67.5</v>
      </c>
      <c r="L64">
        <v>1147.9100000000001</v>
      </c>
      <c r="M64">
        <v>1570.1189999999999</v>
      </c>
      <c r="N64">
        <v>1261.6579999999999</v>
      </c>
      <c r="O64">
        <v>1279.432</v>
      </c>
      <c r="P64">
        <v>1510.2929999999999</v>
      </c>
      <c r="R64" s="3">
        <f t="shared" si="2"/>
        <v>1353.8824</v>
      </c>
      <c r="S64" s="3">
        <f t="shared" si="3"/>
        <v>79.904747840538477</v>
      </c>
    </row>
    <row r="65" spans="1:19" x14ac:dyDescent="0.25">
      <c r="A65">
        <v>68.75</v>
      </c>
      <c r="B65">
        <v>1465.5150000000001</v>
      </c>
      <c r="C65">
        <v>1337.884</v>
      </c>
      <c r="D65">
        <v>1430.5429999999999</v>
      </c>
      <c r="E65">
        <v>1131.7629999999999</v>
      </c>
      <c r="F65">
        <v>1481.431</v>
      </c>
      <c r="H65" s="2">
        <f t="shared" si="0"/>
        <v>1369.4272000000001</v>
      </c>
      <c r="I65" s="2">
        <f t="shared" si="1"/>
        <v>64.417428915162418</v>
      </c>
      <c r="K65">
        <v>68.75</v>
      </c>
      <c r="L65">
        <v>1108.097</v>
      </c>
      <c r="M65">
        <v>1538.865</v>
      </c>
      <c r="N65">
        <v>1217.0350000000001</v>
      </c>
      <c r="O65">
        <v>1232.723</v>
      </c>
      <c r="P65">
        <v>1469.57</v>
      </c>
      <c r="R65" s="3">
        <f t="shared" si="2"/>
        <v>1313.258</v>
      </c>
      <c r="S65" s="3">
        <f t="shared" si="3"/>
        <v>81.598942293390039</v>
      </c>
    </row>
    <row r="66" spans="1:19" x14ac:dyDescent="0.25">
      <c r="A66">
        <v>70</v>
      </c>
      <c r="B66">
        <v>1432.192</v>
      </c>
      <c r="C66">
        <v>1311.9159999999999</v>
      </c>
      <c r="D66">
        <v>1352.7190000000001</v>
      </c>
      <c r="E66">
        <v>1111.953</v>
      </c>
      <c r="F66">
        <v>1456.5319999999999</v>
      </c>
      <c r="H66" s="2">
        <f t="shared" si="0"/>
        <v>1333.0624000000003</v>
      </c>
      <c r="I66" s="2">
        <f t="shared" si="1"/>
        <v>61.153225035643047</v>
      </c>
      <c r="K66">
        <v>70</v>
      </c>
      <c r="L66">
        <v>1084.1369999999999</v>
      </c>
      <c r="M66">
        <v>1515.9860000000001</v>
      </c>
      <c r="N66">
        <v>1190.097</v>
      </c>
      <c r="O66">
        <v>1218.107</v>
      </c>
      <c r="P66">
        <v>1449.1669999999999</v>
      </c>
      <c r="R66" s="3">
        <f t="shared" si="2"/>
        <v>1291.4988000000001</v>
      </c>
      <c r="S66" s="3">
        <f t="shared" si="3"/>
        <v>81.82950620185801</v>
      </c>
    </row>
    <row r="67" spans="1:19" x14ac:dyDescent="0.25">
      <c r="A67">
        <v>71.25</v>
      </c>
      <c r="B67">
        <v>1401.229</v>
      </c>
      <c r="C67">
        <v>1300.4000000000001</v>
      </c>
      <c r="D67">
        <v>1325.135</v>
      </c>
      <c r="E67">
        <v>1105.7719999999999</v>
      </c>
      <c r="F67">
        <v>1442.046</v>
      </c>
      <c r="H67" s="2">
        <f t="shared" si="0"/>
        <v>1314.9164000000001</v>
      </c>
      <c r="I67" s="2">
        <f t="shared" si="1"/>
        <v>58.167140990940943</v>
      </c>
      <c r="K67">
        <v>71.25</v>
      </c>
      <c r="L67">
        <v>1069.604</v>
      </c>
      <c r="M67">
        <v>1498.422</v>
      </c>
      <c r="N67">
        <v>1184.8399999999999</v>
      </c>
      <c r="O67">
        <v>1205.9680000000001</v>
      </c>
      <c r="P67">
        <v>1435.702</v>
      </c>
      <c r="R67" s="3">
        <f t="shared" si="2"/>
        <v>1278.9072000000001</v>
      </c>
      <c r="S67" s="3">
        <f t="shared" si="3"/>
        <v>80.85417468158326</v>
      </c>
    </row>
    <row r="68" spans="1:19" x14ac:dyDescent="0.25">
      <c r="A68">
        <v>72.5</v>
      </c>
      <c r="B68">
        <v>1394.171</v>
      </c>
      <c r="C68">
        <v>1295.242</v>
      </c>
      <c r="D68">
        <v>1315.491</v>
      </c>
      <c r="E68">
        <v>1102.7149999999999</v>
      </c>
      <c r="F68">
        <v>1436.502</v>
      </c>
      <c r="H68" s="2">
        <f t="shared" si="0"/>
        <v>1308.8241999999998</v>
      </c>
      <c r="I68" s="2">
        <f t="shared" si="1"/>
        <v>57.574135506666536</v>
      </c>
      <c r="K68">
        <v>72.5</v>
      </c>
      <c r="L68">
        <v>1061.3969999999999</v>
      </c>
      <c r="M68">
        <v>1490.1949999999999</v>
      </c>
      <c r="N68">
        <v>1185.4939999999999</v>
      </c>
      <c r="O68">
        <v>1188.4359999999999</v>
      </c>
      <c r="P68">
        <v>1420.92</v>
      </c>
      <c r="R68" s="3">
        <f t="shared" si="2"/>
        <v>1269.2883999999999</v>
      </c>
      <c r="S68" s="3">
        <f t="shared" si="3"/>
        <v>80.177713328954781</v>
      </c>
    </row>
    <row r="69" spans="1:19" x14ac:dyDescent="0.25">
      <c r="A69">
        <v>73.75</v>
      </c>
      <c r="B69">
        <v>1392.5889999999999</v>
      </c>
      <c r="C69">
        <v>1292.3119999999999</v>
      </c>
      <c r="D69">
        <v>1318.2429999999999</v>
      </c>
      <c r="E69">
        <v>1112.7760000000001</v>
      </c>
      <c r="F69">
        <v>1437.441</v>
      </c>
      <c r="H69" s="2">
        <f t="shared" ref="H69:H96" si="4">AVERAGE(B69:F69)</f>
        <v>1310.6722</v>
      </c>
      <c r="I69" s="2">
        <f t="shared" ref="I69:I96" si="5">STDEV(B69:F69)/SQRT(COUNT(B69:F69))</f>
        <v>55.829208621831619</v>
      </c>
      <c r="K69">
        <v>73.75</v>
      </c>
      <c r="L69">
        <v>1068.953</v>
      </c>
      <c r="M69">
        <v>1502.578</v>
      </c>
      <c r="N69">
        <v>1187.085</v>
      </c>
      <c r="O69">
        <v>1183.885</v>
      </c>
      <c r="P69">
        <v>1441.826</v>
      </c>
      <c r="R69" s="3">
        <f t="shared" ref="R69:R96" si="6">AVERAGE(L69:P69)</f>
        <v>1276.8654000000001</v>
      </c>
      <c r="S69" s="3">
        <f t="shared" ref="S69:S96" si="7">STDEV(L69:P69)/SQRT(COUNT(L69:P69))</f>
        <v>83.093807962206128</v>
      </c>
    </row>
    <row r="70" spans="1:19" x14ac:dyDescent="0.25">
      <c r="A70">
        <v>75</v>
      </c>
      <c r="B70">
        <v>1472.3</v>
      </c>
      <c r="C70">
        <v>1358.605</v>
      </c>
      <c r="D70">
        <v>1381.2049999999999</v>
      </c>
      <c r="E70">
        <v>1177.635</v>
      </c>
      <c r="F70">
        <v>1521.607</v>
      </c>
      <c r="H70" s="2">
        <f t="shared" si="4"/>
        <v>1382.2703999999999</v>
      </c>
      <c r="I70" s="2">
        <f t="shared" si="5"/>
        <v>59.14256087759474</v>
      </c>
      <c r="K70">
        <v>75</v>
      </c>
      <c r="L70">
        <v>1116.2339999999999</v>
      </c>
      <c r="M70">
        <v>1590.2719999999999</v>
      </c>
      <c r="N70">
        <v>1257.9849999999999</v>
      </c>
      <c r="O70">
        <v>1255.7349999999999</v>
      </c>
      <c r="P70">
        <v>1546.414</v>
      </c>
      <c r="R70" s="3">
        <f t="shared" si="6"/>
        <v>1353.328</v>
      </c>
      <c r="S70" s="3">
        <f t="shared" si="7"/>
        <v>91.720474449819477</v>
      </c>
    </row>
    <row r="71" spans="1:19" x14ac:dyDescent="0.25">
      <c r="A71">
        <v>76.25</v>
      </c>
      <c r="B71">
        <v>1663.5840000000001</v>
      </c>
      <c r="C71">
        <v>1535.5160000000001</v>
      </c>
      <c r="D71">
        <v>1540.3420000000001</v>
      </c>
      <c r="E71">
        <v>1325.4960000000001</v>
      </c>
      <c r="F71">
        <v>1756.5630000000001</v>
      </c>
      <c r="H71" s="2">
        <f t="shared" si="4"/>
        <v>1564.3002000000001</v>
      </c>
      <c r="I71" s="2">
        <f t="shared" si="5"/>
        <v>72.543858685901171</v>
      </c>
      <c r="K71">
        <v>76.25</v>
      </c>
      <c r="L71">
        <v>1274.0609999999999</v>
      </c>
      <c r="M71">
        <v>1783.0340000000001</v>
      </c>
      <c r="N71">
        <v>1408.1279999999999</v>
      </c>
      <c r="O71">
        <v>1422.5989999999999</v>
      </c>
      <c r="P71">
        <v>1720.1189999999999</v>
      </c>
      <c r="R71" s="3">
        <f t="shared" si="6"/>
        <v>1521.5881999999999</v>
      </c>
      <c r="S71" s="3">
        <f t="shared" si="7"/>
        <v>97.905612282136417</v>
      </c>
    </row>
    <row r="72" spans="1:19" x14ac:dyDescent="0.25">
      <c r="A72">
        <v>77.5</v>
      </c>
      <c r="B72">
        <v>1767.9870000000001</v>
      </c>
      <c r="C72">
        <v>1638.673</v>
      </c>
      <c r="D72">
        <v>1630.0809999999999</v>
      </c>
      <c r="E72">
        <v>1382.6949999999999</v>
      </c>
      <c r="F72">
        <v>1897.568</v>
      </c>
      <c r="H72" s="2">
        <f t="shared" si="4"/>
        <v>1663.4007999999999</v>
      </c>
      <c r="I72" s="2">
        <f t="shared" si="5"/>
        <v>85.524841451125297</v>
      </c>
      <c r="K72">
        <v>77.5</v>
      </c>
      <c r="L72">
        <v>1368.3009999999999</v>
      </c>
      <c r="M72">
        <v>1895.9880000000001</v>
      </c>
      <c r="N72">
        <v>1495.7249999999999</v>
      </c>
      <c r="O72">
        <v>1498.056</v>
      </c>
      <c r="P72">
        <v>1804.5830000000001</v>
      </c>
      <c r="R72" s="3">
        <f t="shared" si="6"/>
        <v>1612.5306</v>
      </c>
      <c r="S72" s="3">
        <f t="shared" si="7"/>
        <v>100.90299839776821</v>
      </c>
    </row>
    <row r="73" spans="1:19" x14ac:dyDescent="0.25">
      <c r="A73">
        <v>78.75</v>
      </c>
      <c r="B73">
        <v>1702.4290000000001</v>
      </c>
      <c r="C73">
        <v>1569.7650000000001</v>
      </c>
      <c r="D73">
        <v>1574.4739999999999</v>
      </c>
      <c r="E73">
        <v>1331.3779999999999</v>
      </c>
      <c r="F73">
        <v>1820.8420000000001</v>
      </c>
      <c r="H73" s="2">
        <f t="shared" si="4"/>
        <v>1599.7776000000001</v>
      </c>
      <c r="I73" s="2">
        <f t="shared" si="5"/>
        <v>81.543286811728535</v>
      </c>
      <c r="K73">
        <v>78.75</v>
      </c>
      <c r="L73">
        <v>1306.575</v>
      </c>
      <c r="M73">
        <v>1829.3510000000001</v>
      </c>
      <c r="N73">
        <v>1433.9369999999999</v>
      </c>
      <c r="O73">
        <v>1432.279</v>
      </c>
      <c r="P73">
        <v>1759.848</v>
      </c>
      <c r="R73" s="3">
        <f t="shared" si="6"/>
        <v>1552.3979999999999</v>
      </c>
      <c r="S73" s="3">
        <f t="shared" si="7"/>
        <v>102.1344693822808</v>
      </c>
    </row>
    <row r="74" spans="1:19" x14ac:dyDescent="0.25">
      <c r="A74">
        <v>80</v>
      </c>
      <c r="B74">
        <v>1598.6659999999999</v>
      </c>
      <c r="C74">
        <v>1474.7370000000001</v>
      </c>
      <c r="D74">
        <v>1517.152</v>
      </c>
      <c r="E74">
        <v>1296.328</v>
      </c>
      <c r="F74">
        <v>1698.7180000000001</v>
      </c>
      <c r="H74" s="2">
        <f t="shared" si="4"/>
        <v>1517.1201999999998</v>
      </c>
      <c r="I74" s="2">
        <f t="shared" si="5"/>
        <v>67.146485647723964</v>
      </c>
      <c r="K74">
        <v>80</v>
      </c>
      <c r="L74">
        <v>1214.2349999999999</v>
      </c>
      <c r="M74">
        <v>1750.2049999999999</v>
      </c>
      <c r="N74">
        <v>1342.1030000000001</v>
      </c>
      <c r="O74">
        <v>1355.2170000000001</v>
      </c>
      <c r="P74">
        <v>1786.383</v>
      </c>
      <c r="R74" s="3">
        <f t="shared" si="6"/>
        <v>1489.6286</v>
      </c>
      <c r="S74" s="3">
        <f t="shared" si="7"/>
        <v>116.54079756617422</v>
      </c>
    </row>
    <row r="75" spans="1:19" x14ac:dyDescent="0.25">
      <c r="A75">
        <v>81.25</v>
      </c>
      <c r="B75">
        <v>1701.0530000000001</v>
      </c>
      <c r="C75">
        <v>1584.604</v>
      </c>
      <c r="D75">
        <v>1626.2380000000001</v>
      </c>
      <c r="E75">
        <v>1424.473</v>
      </c>
      <c r="F75">
        <v>1836.634</v>
      </c>
      <c r="H75" s="2">
        <f t="shared" si="4"/>
        <v>1634.6004</v>
      </c>
      <c r="I75" s="2">
        <f t="shared" si="5"/>
        <v>67.80730696363041</v>
      </c>
      <c r="K75">
        <v>81.25</v>
      </c>
      <c r="L75">
        <v>1297.376</v>
      </c>
      <c r="M75">
        <v>1939.84</v>
      </c>
      <c r="N75">
        <v>1434.4559999999999</v>
      </c>
      <c r="O75">
        <v>1493.596</v>
      </c>
      <c r="P75">
        <v>2069.9699999999998</v>
      </c>
      <c r="R75" s="3">
        <f t="shared" si="6"/>
        <v>1647.0475999999999</v>
      </c>
      <c r="S75" s="3">
        <f t="shared" si="7"/>
        <v>150.93103651986218</v>
      </c>
    </row>
    <row r="76" spans="1:19" x14ac:dyDescent="0.25">
      <c r="A76">
        <v>82.5</v>
      </c>
      <c r="B76">
        <v>2145.8139999999999</v>
      </c>
      <c r="C76">
        <v>2029.4380000000001</v>
      </c>
      <c r="D76">
        <v>1936.2829999999999</v>
      </c>
      <c r="E76">
        <v>1760.001</v>
      </c>
      <c r="F76">
        <v>2374.741</v>
      </c>
      <c r="H76" s="2">
        <f t="shared" si="4"/>
        <v>2049.2554</v>
      </c>
      <c r="I76" s="2">
        <f t="shared" si="5"/>
        <v>102.97767706284696</v>
      </c>
      <c r="K76">
        <v>82.5</v>
      </c>
      <c r="L76">
        <v>1652.424</v>
      </c>
      <c r="M76">
        <v>2503.9009999999998</v>
      </c>
      <c r="N76">
        <v>1830.059</v>
      </c>
      <c r="O76">
        <v>1896.1679999999999</v>
      </c>
      <c r="P76">
        <v>2607.4349999999999</v>
      </c>
      <c r="R76" s="3">
        <f t="shared" si="6"/>
        <v>2097.9973999999997</v>
      </c>
      <c r="S76" s="3">
        <f t="shared" si="7"/>
        <v>191.74803108157371</v>
      </c>
    </row>
    <row r="77" spans="1:19" x14ac:dyDescent="0.25">
      <c r="A77">
        <v>83.75</v>
      </c>
      <c r="B77">
        <v>2712.864</v>
      </c>
      <c r="C77">
        <v>2556.4720000000002</v>
      </c>
      <c r="D77">
        <v>2290.9</v>
      </c>
      <c r="E77">
        <v>2103.2240000000002</v>
      </c>
      <c r="F77">
        <v>3098.4140000000002</v>
      </c>
      <c r="H77" s="2">
        <f t="shared" si="4"/>
        <v>2552.3748000000005</v>
      </c>
      <c r="I77" s="2">
        <f t="shared" si="5"/>
        <v>172.34237587964154</v>
      </c>
      <c r="K77">
        <v>83.75</v>
      </c>
      <c r="L77">
        <v>2097.7649999999999</v>
      </c>
      <c r="M77">
        <v>3137.2979999999998</v>
      </c>
      <c r="N77">
        <v>2301.2220000000002</v>
      </c>
      <c r="O77">
        <v>2354.9279999999999</v>
      </c>
      <c r="P77">
        <v>3086.8020000000001</v>
      </c>
      <c r="R77" s="3">
        <f t="shared" si="6"/>
        <v>2595.6030000000001</v>
      </c>
      <c r="S77" s="3">
        <f t="shared" si="7"/>
        <v>215.30643669616529</v>
      </c>
    </row>
    <row r="78" spans="1:19" x14ac:dyDescent="0.25">
      <c r="A78">
        <v>85</v>
      </c>
      <c r="B78">
        <v>3058.0859999999998</v>
      </c>
      <c r="C78">
        <v>2883.8220000000001</v>
      </c>
      <c r="D78">
        <v>2483.7579999999998</v>
      </c>
      <c r="E78">
        <v>2321.4059999999999</v>
      </c>
      <c r="F78">
        <v>3635.8679999999999</v>
      </c>
      <c r="H78" s="2">
        <f t="shared" si="4"/>
        <v>2876.5880000000002</v>
      </c>
      <c r="I78" s="2">
        <f t="shared" si="5"/>
        <v>231.52132031240603</v>
      </c>
      <c r="K78">
        <v>85</v>
      </c>
      <c r="L78">
        <v>2391.7739999999999</v>
      </c>
      <c r="M78">
        <v>3524.5549999999998</v>
      </c>
      <c r="N78">
        <v>2588.8530000000001</v>
      </c>
      <c r="O78">
        <v>2606.9699999999998</v>
      </c>
      <c r="P78">
        <v>3388.0219999999999</v>
      </c>
      <c r="R78" s="3">
        <f t="shared" si="6"/>
        <v>2900.0347999999999</v>
      </c>
      <c r="S78" s="3">
        <f t="shared" si="7"/>
        <v>231.21495605159316</v>
      </c>
    </row>
    <row r="79" spans="1:19" x14ac:dyDescent="0.25">
      <c r="A79">
        <v>86.25</v>
      </c>
      <c r="B79">
        <v>3039.2779999999998</v>
      </c>
      <c r="C79">
        <v>2855.9380000000001</v>
      </c>
      <c r="D79">
        <v>2440.4380000000001</v>
      </c>
      <c r="E79">
        <v>2310.9380000000001</v>
      </c>
      <c r="F79">
        <v>3764.797</v>
      </c>
      <c r="H79" s="2">
        <f t="shared" si="4"/>
        <v>2882.2778000000003</v>
      </c>
      <c r="I79" s="2">
        <f t="shared" si="5"/>
        <v>257.47180060744415</v>
      </c>
      <c r="K79">
        <v>86.25</v>
      </c>
      <c r="L79">
        <v>2370.3119999999999</v>
      </c>
      <c r="M79">
        <v>3525.7420000000002</v>
      </c>
      <c r="N79">
        <v>2551.3560000000002</v>
      </c>
      <c r="O79">
        <v>2554.5129999999999</v>
      </c>
      <c r="P79">
        <v>3427.578</v>
      </c>
      <c r="R79" s="3">
        <f t="shared" si="6"/>
        <v>2885.9001999999996</v>
      </c>
      <c r="S79" s="3">
        <f t="shared" si="7"/>
        <v>243.96524937958102</v>
      </c>
    </row>
    <row r="80" spans="1:19" x14ac:dyDescent="0.25">
      <c r="A80">
        <v>87.5</v>
      </c>
      <c r="B80">
        <v>2732.9560000000001</v>
      </c>
      <c r="C80">
        <v>2557.366</v>
      </c>
      <c r="D80">
        <v>2251.598</v>
      </c>
      <c r="E80">
        <v>2122.5830000000001</v>
      </c>
      <c r="F80">
        <v>3495.6990000000001</v>
      </c>
      <c r="H80" s="2">
        <f t="shared" si="4"/>
        <v>2632.0404000000003</v>
      </c>
      <c r="I80" s="2">
        <f t="shared" si="5"/>
        <v>241.44871751835822</v>
      </c>
      <c r="K80">
        <v>87.5</v>
      </c>
      <c r="L80">
        <v>2119.431</v>
      </c>
      <c r="M80">
        <v>3201.1689999999999</v>
      </c>
      <c r="N80">
        <v>2275.904</v>
      </c>
      <c r="O80">
        <v>2287.181</v>
      </c>
      <c r="P80">
        <v>3193.3890000000001</v>
      </c>
      <c r="R80" s="3">
        <f t="shared" si="6"/>
        <v>2615.4148</v>
      </c>
      <c r="S80" s="3">
        <f t="shared" si="7"/>
        <v>239.39163512169762</v>
      </c>
    </row>
    <row r="81" spans="1:19" x14ac:dyDescent="0.25">
      <c r="A81">
        <v>88.75</v>
      </c>
      <c r="B81">
        <v>2445.665</v>
      </c>
      <c r="C81">
        <v>2278.386</v>
      </c>
      <c r="D81">
        <v>2090.9009999999998</v>
      </c>
      <c r="E81">
        <v>1943.3779999999999</v>
      </c>
      <c r="F81">
        <v>3046.904</v>
      </c>
      <c r="H81" s="2">
        <f t="shared" si="4"/>
        <v>2361.0468000000001</v>
      </c>
      <c r="I81" s="2">
        <f t="shared" si="5"/>
        <v>191.28762717055159</v>
      </c>
      <c r="K81">
        <v>88.75</v>
      </c>
      <c r="L81">
        <v>1867.7850000000001</v>
      </c>
      <c r="M81">
        <v>2821.4569999999999</v>
      </c>
      <c r="N81">
        <v>2013.0930000000001</v>
      </c>
      <c r="O81">
        <v>2064.8319999999999</v>
      </c>
      <c r="P81">
        <v>2873.942</v>
      </c>
      <c r="R81" s="3">
        <f t="shared" si="6"/>
        <v>2328.2218000000003</v>
      </c>
      <c r="S81" s="3">
        <f t="shared" si="7"/>
        <v>214.68277682837092</v>
      </c>
    </row>
    <row r="82" spans="1:19" x14ac:dyDescent="0.25">
      <c r="A82">
        <v>90</v>
      </c>
      <c r="B82">
        <v>2397.2089999999998</v>
      </c>
      <c r="C82">
        <v>2245.5320000000002</v>
      </c>
      <c r="D82">
        <v>2081.433</v>
      </c>
      <c r="E82">
        <v>1919.5150000000001</v>
      </c>
      <c r="F82">
        <v>2864.3690000000001</v>
      </c>
      <c r="H82" s="2">
        <f t="shared" si="4"/>
        <v>2301.6116000000002</v>
      </c>
      <c r="I82" s="2">
        <f t="shared" si="5"/>
        <v>161.78011362760296</v>
      </c>
      <c r="K82">
        <v>90</v>
      </c>
      <c r="L82">
        <v>1832.5329999999999</v>
      </c>
      <c r="M82">
        <v>2724.357</v>
      </c>
      <c r="N82">
        <v>1968.001</v>
      </c>
      <c r="O82">
        <v>2039.55</v>
      </c>
      <c r="P82">
        <v>2764.616</v>
      </c>
      <c r="R82" s="3">
        <f t="shared" si="6"/>
        <v>2265.8113999999996</v>
      </c>
      <c r="S82" s="3">
        <f t="shared" si="7"/>
        <v>198.32870740833351</v>
      </c>
    </row>
    <row r="83" spans="1:19" x14ac:dyDescent="0.25">
      <c r="A83">
        <v>91.25</v>
      </c>
      <c r="B83">
        <v>2567.6869999999999</v>
      </c>
      <c r="C83">
        <v>2426.5520000000001</v>
      </c>
      <c r="D83">
        <v>2204.9409999999998</v>
      </c>
      <c r="E83">
        <v>2043.259</v>
      </c>
      <c r="F83">
        <v>3106.8679999999999</v>
      </c>
      <c r="H83" s="2">
        <f t="shared" si="4"/>
        <v>2469.8613999999998</v>
      </c>
      <c r="I83" s="2">
        <f t="shared" si="5"/>
        <v>182.94744964185858</v>
      </c>
      <c r="K83">
        <v>91.25</v>
      </c>
      <c r="L83">
        <v>1989.018</v>
      </c>
      <c r="M83">
        <v>2940.136</v>
      </c>
      <c r="N83">
        <v>2128.6460000000002</v>
      </c>
      <c r="O83">
        <v>2205.06</v>
      </c>
      <c r="P83">
        <v>2970.616</v>
      </c>
      <c r="R83" s="3">
        <f t="shared" si="6"/>
        <v>2446.6952000000001</v>
      </c>
      <c r="S83" s="3">
        <f t="shared" si="7"/>
        <v>210.5929854810928</v>
      </c>
    </row>
    <row r="84" spans="1:19" x14ac:dyDescent="0.25">
      <c r="A84">
        <v>92.5</v>
      </c>
      <c r="B84">
        <v>2858.3780000000002</v>
      </c>
      <c r="C84">
        <v>2707.8090000000002</v>
      </c>
      <c r="D84">
        <v>2437.7049999999999</v>
      </c>
      <c r="E84">
        <v>2228.8429999999998</v>
      </c>
      <c r="F84">
        <v>3580.2579999999998</v>
      </c>
      <c r="H84" s="2">
        <f t="shared" si="4"/>
        <v>2762.5986000000003</v>
      </c>
      <c r="I84" s="2">
        <f t="shared" si="5"/>
        <v>231.42961997043429</v>
      </c>
      <c r="K84">
        <v>92.5</v>
      </c>
      <c r="L84">
        <v>2229.0529999999999</v>
      </c>
      <c r="M84">
        <v>3285.3090000000002</v>
      </c>
      <c r="N84">
        <v>2383.7809999999999</v>
      </c>
      <c r="O84">
        <v>2446.2489999999998</v>
      </c>
      <c r="P84">
        <v>3286.424</v>
      </c>
      <c r="R84" s="3">
        <f t="shared" si="6"/>
        <v>2726.1632</v>
      </c>
      <c r="S84" s="3">
        <f t="shared" si="7"/>
        <v>231.21767567130382</v>
      </c>
    </row>
    <row r="85" spans="1:19" x14ac:dyDescent="0.25">
      <c r="A85">
        <v>93.75</v>
      </c>
      <c r="B85">
        <v>3110.607</v>
      </c>
      <c r="C85">
        <v>2920.0329999999999</v>
      </c>
      <c r="D85">
        <v>2703.4690000000001</v>
      </c>
      <c r="E85">
        <v>2419.8389999999999</v>
      </c>
      <c r="F85">
        <v>3930.2020000000002</v>
      </c>
      <c r="H85" s="2">
        <f t="shared" si="4"/>
        <v>3016.8300000000004</v>
      </c>
      <c r="I85" s="2">
        <f t="shared" si="5"/>
        <v>255.63700492338594</v>
      </c>
      <c r="K85">
        <v>93.75</v>
      </c>
      <c r="L85">
        <v>2432.2539999999999</v>
      </c>
      <c r="M85">
        <v>3591.5540000000001</v>
      </c>
      <c r="N85">
        <v>2609.5529999999999</v>
      </c>
      <c r="O85">
        <v>2671.3330000000001</v>
      </c>
      <c r="P85">
        <v>3546.5940000000001</v>
      </c>
      <c r="R85" s="3">
        <f t="shared" si="6"/>
        <v>2970.2575999999999</v>
      </c>
      <c r="S85" s="3">
        <f t="shared" si="7"/>
        <v>247.69784629435114</v>
      </c>
    </row>
    <row r="86" spans="1:19" x14ac:dyDescent="0.25">
      <c r="A86">
        <v>95</v>
      </c>
      <c r="B86">
        <v>3282.433</v>
      </c>
      <c r="C86">
        <v>3020.8780000000002</v>
      </c>
      <c r="D86">
        <v>2913.6280000000002</v>
      </c>
      <c r="E86">
        <v>2595.87</v>
      </c>
      <c r="F86">
        <v>4031.49</v>
      </c>
      <c r="H86" s="2">
        <f t="shared" si="4"/>
        <v>3168.8598000000002</v>
      </c>
      <c r="I86" s="2">
        <f t="shared" si="5"/>
        <v>242.11453172794043</v>
      </c>
      <c r="K86">
        <v>95</v>
      </c>
      <c r="L86">
        <v>2530.297</v>
      </c>
      <c r="M86">
        <v>3729.971</v>
      </c>
      <c r="N86">
        <v>2748.5320000000002</v>
      </c>
      <c r="O86">
        <v>2836.7020000000002</v>
      </c>
      <c r="P86">
        <v>3685.1869999999999</v>
      </c>
      <c r="R86" s="3">
        <f t="shared" si="6"/>
        <v>3106.1378</v>
      </c>
      <c r="S86" s="3">
        <f t="shared" si="7"/>
        <v>250.65275012482851</v>
      </c>
    </row>
    <row r="87" spans="1:19" x14ac:dyDescent="0.25">
      <c r="A87">
        <v>96.25</v>
      </c>
      <c r="B87">
        <v>3444.2049999999999</v>
      </c>
      <c r="C87">
        <v>3155.0340000000001</v>
      </c>
      <c r="D87">
        <v>3147.355</v>
      </c>
      <c r="E87">
        <v>2791.2139999999999</v>
      </c>
      <c r="F87">
        <v>3943.9</v>
      </c>
      <c r="H87" s="2">
        <f t="shared" si="4"/>
        <v>3296.3415999999997</v>
      </c>
      <c r="I87" s="2">
        <f t="shared" si="5"/>
        <v>192.16063638909162</v>
      </c>
      <c r="K87">
        <v>96.25</v>
      </c>
      <c r="L87">
        <v>2602.0430000000001</v>
      </c>
      <c r="M87">
        <v>3807.5509999999999</v>
      </c>
      <c r="N87">
        <v>2896.6660000000002</v>
      </c>
      <c r="O87">
        <v>3032.4659999999999</v>
      </c>
      <c r="P87">
        <v>3755.3</v>
      </c>
      <c r="R87" s="3">
        <f t="shared" si="6"/>
        <v>3218.8052000000002</v>
      </c>
      <c r="S87" s="3">
        <f t="shared" si="7"/>
        <v>240.13952823585691</v>
      </c>
    </row>
    <row r="88" spans="1:19" x14ac:dyDescent="0.25">
      <c r="A88">
        <v>97.5</v>
      </c>
      <c r="B88">
        <v>3750.4470000000001</v>
      </c>
      <c r="C88">
        <v>3416.694</v>
      </c>
      <c r="D88">
        <v>3457.8049999999998</v>
      </c>
      <c r="E88">
        <v>3009.4029999999998</v>
      </c>
      <c r="F88">
        <v>3946.0839999999998</v>
      </c>
      <c r="H88" s="2">
        <f t="shared" si="4"/>
        <v>3516.0866000000001</v>
      </c>
      <c r="I88" s="2">
        <f t="shared" si="5"/>
        <v>159.66002402561514</v>
      </c>
      <c r="K88">
        <v>97.5</v>
      </c>
      <c r="L88">
        <v>2771.098</v>
      </c>
      <c r="M88">
        <v>3996.7429999999999</v>
      </c>
      <c r="N88">
        <v>3124.5549999999998</v>
      </c>
      <c r="O88">
        <v>3313.8919999999998</v>
      </c>
      <c r="P88">
        <v>3861.02</v>
      </c>
      <c r="R88" s="3">
        <f t="shared" si="6"/>
        <v>3413.4616000000001</v>
      </c>
      <c r="S88" s="3">
        <f t="shared" si="7"/>
        <v>228.7507198206381</v>
      </c>
    </row>
    <row r="89" spans="1:19" x14ac:dyDescent="0.25">
      <c r="A89">
        <v>98.75</v>
      </c>
      <c r="B89">
        <v>4057.2089999999998</v>
      </c>
      <c r="C89">
        <v>3667.5360000000001</v>
      </c>
      <c r="D89">
        <v>3696.5509999999999</v>
      </c>
      <c r="E89">
        <v>3168.3290000000002</v>
      </c>
      <c r="F89">
        <v>4077.982</v>
      </c>
      <c r="H89" s="2">
        <f t="shared" si="4"/>
        <v>3733.5214000000001</v>
      </c>
      <c r="I89" s="2">
        <f t="shared" si="5"/>
        <v>165.61855268254212</v>
      </c>
      <c r="K89">
        <v>98.75</v>
      </c>
      <c r="L89">
        <v>2985.395</v>
      </c>
      <c r="M89">
        <v>4219.96</v>
      </c>
      <c r="N89">
        <v>3338.1930000000002</v>
      </c>
      <c r="O89">
        <v>3502.04</v>
      </c>
      <c r="P89">
        <v>4012.7379999999998</v>
      </c>
      <c r="R89" s="3">
        <f t="shared" si="6"/>
        <v>3611.6652000000004</v>
      </c>
      <c r="S89" s="3">
        <f t="shared" si="7"/>
        <v>224.71104185851576</v>
      </c>
    </row>
    <row r="90" spans="1:19" x14ac:dyDescent="0.25">
      <c r="A90">
        <v>100</v>
      </c>
      <c r="B90">
        <v>4200.2520000000004</v>
      </c>
      <c r="C90">
        <v>3761.2869999999998</v>
      </c>
      <c r="D90">
        <v>3735.8389999999999</v>
      </c>
      <c r="E90">
        <v>3193.5709999999999</v>
      </c>
      <c r="F90">
        <v>4159.6490000000003</v>
      </c>
      <c r="H90" s="2">
        <f t="shared" si="4"/>
        <v>3810.1196000000004</v>
      </c>
      <c r="I90" s="2">
        <f t="shared" si="5"/>
        <v>181.99017796507599</v>
      </c>
      <c r="K90">
        <v>100</v>
      </c>
      <c r="L90">
        <v>3084.8809999999999</v>
      </c>
      <c r="M90">
        <v>4337.6530000000002</v>
      </c>
      <c r="N90">
        <v>3386.0059999999999</v>
      </c>
      <c r="O90">
        <v>3520.2759999999998</v>
      </c>
      <c r="P90">
        <v>4097.05</v>
      </c>
      <c r="R90" s="3">
        <f t="shared" si="6"/>
        <v>3685.1731999999997</v>
      </c>
      <c r="S90" s="3">
        <f t="shared" si="7"/>
        <v>231.56156992156647</v>
      </c>
    </row>
    <row r="91" spans="1:19" x14ac:dyDescent="0.25">
      <c r="A91">
        <v>101.25</v>
      </c>
      <c r="B91">
        <v>4104.2860000000001</v>
      </c>
      <c r="C91">
        <v>3653.4050000000002</v>
      </c>
      <c r="D91">
        <v>3576.6959999999999</v>
      </c>
      <c r="E91">
        <v>3075.2370000000001</v>
      </c>
      <c r="F91">
        <v>4056.2669999999998</v>
      </c>
      <c r="H91" s="2">
        <f t="shared" si="4"/>
        <v>3693.1781999999998</v>
      </c>
      <c r="I91" s="2">
        <f t="shared" si="5"/>
        <v>186.79459801059693</v>
      </c>
      <c r="K91">
        <v>101.25</v>
      </c>
      <c r="L91">
        <v>2990.7710000000002</v>
      </c>
      <c r="M91">
        <v>4214.0280000000002</v>
      </c>
      <c r="N91">
        <v>3257.752</v>
      </c>
      <c r="O91">
        <v>3398.0410000000002</v>
      </c>
      <c r="P91">
        <v>4015.6109999999999</v>
      </c>
      <c r="R91" s="3">
        <f t="shared" si="6"/>
        <v>3575.2406000000001</v>
      </c>
      <c r="S91" s="3">
        <f t="shared" si="7"/>
        <v>231.9244331985301</v>
      </c>
    </row>
    <row r="92" spans="1:19" x14ac:dyDescent="0.25">
      <c r="A92">
        <v>102.5</v>
      </c>
      <c r="B92">
        <v>3831.2959999999998</v>
      </c>
      <c r="C92">
        <v>3417.8119999999999</v>
      </c>
      <c r="D92">
        <v>3320.9160000000002</v>
      </c>
      <c r="E92">
        <v>2876.3989999999999</v>
      </c>
      <c r="F92">
        <v>3788.9459999999999</v>
      </c>
      <c r="H92" s="2">
        <f t="shared" si="4"/>
        <v>3447.0737999999997</v>
      </c>
      <c r="I92" s="2">
        <f t="shared" si="5"/>
        <v>174.20463123878162</v>
      </c>
      <c r="K92">
        <v>102.5</v>
      </c>
      <c r="L92">
        <v>2769.99</v>
      </c>
      <c r="M92">
        <v>3920.8609999999999</v>
      </c>
      <c r="N92">
        <v>3026.7869999999998</v>
      </c>
      <c r="O92">
        <v>3164.81</v>
      </c>
      <c r="P92">
        <v>3773.0030000000002</v>
      </c>
      <c r="R92" s="3">
        <f t="shared" si="6"/>
        <v>3331.0901999999996</v>
      </c>
      <c r="S92" s="3">
        <f t="shared" si="7"/>
        <v>221.15599655207271</v>
      </c>
    </row>
    <row r="93" spans="1:19" x14ac:dyDescent="0.25">
      <c r="A93">
        <v>103.75</v>
      </c>
      <c r="B93">
        <v>3469.221</v>
      </c>
      <c r="C93">
        <v>3107.1350000000002</v>
      </c>
      <c r="D93">
        <v>3015.3960000000002</v>
      </c>
      <c r="E93">
        <v>2629.0709999999999</v>
      </c>
      <c r="F93">
        <v>3403.9960000000001</v>
      </c>
      <c r="H93" s="2">
        <f t="shared" si="4"/>
        <v>3124.9638</v>
      </c>
      <c r="I93" s="2">
        <f t="shared" si="5"/>
        <v>150.76548450935314</v>
      </c>
      <c r="K93">
        <v>103.75</v>
      </c>
      <c r="L93">
        <v>2480.0210000000002</v>
      </c>
      <c r="M93">
        <v>3526.0859999999998</v>
      </c>
      <c r="N93">
        <v>2686.3330000000001</v>
      </c>
      <c r="O93">
        <v>2852.357</v>
      </c>
      <c r="P93">
        <v>3420.8220000000001</v>
      </c>
      <c r="R93" s="3">
        <f t="shared" si="6"/>
        <v>2993.1238000000003</v>
      </c>
      <c r="S93" s="3">
        <f t="shared" si="7"/>
        <v>205.44887773200358</v>
      </c>
    </row>
    <row r="94" spans="1:19" x14ac:dyDescent="0.25">
      <c r="A94">
        <v>105</v>
      </c>
      <c r="B94">
        <v>3073.2220000000002</v>
      </c>
      <c r="C94">
        <v>2777.2080000000001</v>
      </c>
      <c r="D94">
        <v>2697.431</v>
      </c>
      <c r="E94">
        <v>2368.9969999999998</v>
      </c>
      <c r="F94">
        <v>2951.288</v>
      </c>
      <c r="H94" s="2">
        <f t="shared" si="4"/>
        <v>2773.6292000000003</v>
      </c>
      <c r="I94" s="2">
        <f t="shared" si="5"/>
        <v>120.59533278672112</v>
      </c>
      <c r="K94">
        <v>105</v>
      </c>
      <c r="L94">
        <v>2159.4740000000002</v>
      </c>
      <c r="M94">
        <v>3082.0940000000001</v>
      </c>
      <c r="N94">
        <v>2322.7719999999999</v>
      </c>
      <c r="O94">
        <v>2535.6610000000001</v>
      </c>
      <c r="P94">
        <v>3028.6959999999999</v>
      </c>
      <c r="R94" s="3">
        <f t="shared" si="6"/>
        <v>2625.7393999999999</v>
      </c>
      <c r="S94" s="3">
        <f t="shared" si="7"/>
        <v>185.46432666030378</v>
      </c>
    </row>
    <row r="95" spans="1:19" x14ac:dyDescent="0.25">
      <c r="A95">
        <v>106.25</v>
      </c>
      <c r="B95">
        <v>2779.5549999999998</v>
      </c>
      <c r="C95">
        <v>2527.1010000000001</v>
      </c>
      <c r="D95">
        <v>2457.6260000000002</v>
      </c>
      <c r="E95">
        <v>2164.9409999999998</v>
      </c>
      <c r="F95">
        <v>2604.3119999999999</v>
      </c>
      <c r="H95" s="2">
        <f t="shared" si="4"/>
        <v>2506.7069999999999</v>
      </c>
      <c r="I95" s="2">
        <f t="shared" si="5"/>
        <v>100.89638885559781</v>
      </c>
      <c r="K95">
        <v>106.25</v>
      </c>
      <c r="L95">
        <v>1919.702</v>
      </c>
      <c r="M95">
        <v>2747.9540000000002</v>
      </c>
      <c r="N95">
        <v>2078.5709999999999</v>
      </c>
      <c r="O95">
        <v>2316.5410000000002</v>
      </c>
      <c r="P95">
        <v>2699.1970000000001</v>
      </c>
      <c r="R95" s="3">
        <f t="shared" si="6"/>
        <v>2352.393</v>
      </c>
      <c r="S95" s="3">
        <f t="shared" si="7"/>
        <v>164.3512814379624</v>
      </c>
    </row>
    <row r="96" spans="1:19" x14ac:dyDescent="0.25">
      <c r="A96">
        <v>107.5</v>
      </c>
      <c r="B96">
        <v>2615.808</v>
      </c>
      <c r="C96">
        <v>2358.3490000000002</v>
      </c>
      <c r="D96">
        <v>2297.46</v>
      </c>
      <c r="E96">
        <v>2023.6289999999999</v>
      </c>
      <c r="F96">
        <v>2405.5459999999998</v>
      </c>
      <c r="H96" s="2">
        <f t="shared" si="4"/>
        <v>2340.1583999999998</v>
      </c>
      <c r="I96" s="2">
        <f t="shared" si="5"/>
        <v>95.551858320285973</v>
      </c>
      <c r="K96">
        <v>107.5</v>
      </c>
      <c r="L96">
        <v>1792.99</v>
      </c>
      <c r="M96">
        <v>2566.2840000000001</v>
      </c>
      <c r="N96">
        <v>1949.4159999999999</v>
      </c>
      <c r="O96">
        <v>2176.0549999999998</v>
      </c>
      <c r="P96">
        <v>2477.846</v>
      </c>
      <c r="R96" s="3">
        <f t="shared" si="6"/>
        <v>2192.5182</v>
      </c>
      <c r="S96" s="3">
        <f t="shared" si="7"/>
        <v>148.34172135592803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BRIGHT!OCT_RAW___\CO11_\_dark_profiles_CO11_DARK</vt:lpstr>
      <vt:lpstr>BRIGHT!OCT_RAW___\CO11_\_light_profiles_CO11_LIGHT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2019-11-17T03:48:59Z</dcterms:modified>
</cp:coreProperties>
</file>