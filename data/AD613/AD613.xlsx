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613\"/>
    </mc:Choice>
  </mc:AlternateContent>
  <xr:revisionPtr revIDLastSave="0" documentId="13_ncr:1_{7594520F-EC9B-4D58-9C09-0179AFCBC7FC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4\_dark_profiles_AD04_DARK" localSheetId="0">BRIGHT!$A$2:$F$96</definedName>
    <definedName name="OCT_RAW___\AD04\_light_profiles_AD04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94960-6E66-452B-B4B5-5E5664FF3313}" name="[[[OCT RAW]]]\AD04\_dark_profiles_AD04_DARK" type="6" refreshedVersion="6" background="1" saveData="1">
    <textPr codePage="437" sourceFile="E:\[Documents]\[[[OCT RAW]]]\AD04\_dark_profiles_AD04_DARK.txt" space="1" consecutive="1">
      <textFields count="6">
        <textField/>
        <textField/>
        <textField/>
        <textField/>
        <textField/>
        <textField/>
      </textFields>
    </textPr>
  </connection>
  <connection id="2" xr16:uid="{677A2F3E-B204-4FD7-8678-08BE28C35D5E}" name="[[[OCT RAW]]]\AD04\_light_profiles_AD04_LIGHT" type="6" refreshedVersion="6" background="1" saveData="1">
    <textPr codePage="437" sourceFile="E:\[Documents]\[[[OCT RAW]]]\AD04\_light_profiles_AD04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<sst xmlns="http://schemas.openxmlformats.org/spreadsheetml/2006/main" count="12" uniqueCount="8">
  <si>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</si>
  <si>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</si>
  <si>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</si>
  <si>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</si>
  <si>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</si>
  <si>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</si>
  <si>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AD613_DARK</t>
  </si>
  <si>
    <t>AD613_LIGHT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</si>
</sst>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1110.5688</c:v>
                </c:pt>
                <c:pt idx="1">
                  <c:v>1308.9412</c:v>
                </c:pt>
                <c:pt idx="2">
                  <c:v>1740.1419999999998</c:v>
                </c:pt>
                <c:pt idx="3">
                  <c:v>2331.1418000000003</c:v>
                </c:pt>
                <c:pt idx="4">
                  <c:v>2940.4893999999999</c:v>
                </c:pt>
                <c:pt idx="5">
                  <c:v>3320.1704</c:v>
                </c:pt>
                <c:pt idx="6">
                  <c:v>3528.4029999999998</c:v>
                </c:pt>
                <c:pt idx="7">
                  <c:v>3638.1832000000004</c:v>
                </c:pt>
                <c:pt idx="8">
                  <c:v>3656.3902000000003</c:v>
                </c:pt>
                <c:pt idx="9">
                  <c:v>3570.4398000000001</c:v>
                </c:pt>
                <c:pt idx="10">
                  <c:v>3359.7460000000001</c:v>
                </c:pt>
                <c:pt idx="11">
                  <c:v>2974.2668000000003</c:v>
                </c:pt>
                <c:pt idx="12">
                  <c:v>2687.672</c:v>
                </c:pt>
                <c:pt idx="13">
                  <c:v>2538.8596000000002</c:v>
                </c:pt>
                <c:pt idx="14">
                  <c:v>2488.7925999999998</c:v>
                </c:pt>
                <c:pt idx="15">
                  <c:v>2479.2215999999999</c:v>
                </c:pt>
                <c:pt idx="16">
                  <c:v>2482.4728</c:v>
                </c:pt>
                <c:pt idx="17">
                  <c:v>2498.8235999999997</c:v>
                </c:pt>
                <c:pt idx="18">
                  <c:v>2521.7204000000002</c:v>
                </c:pt>
                <c:pt idx="19">
                  <c:v>2538.3386</c:v>
                </c:pt>
                <c:pt idx="20">
                  <c:v>2543.3953999999999</c:v>
                </c:pt>
                <c:pt idx="21">
                  <c:v>2548.2060000000006</c:v>
                </c:pt>
                <c:pt idx="22">
                  <c:v>2565.2012000000004</c:v>
                </c:pt>
                <c:pt idx="23">
                  <c:v>2601.7910000000002</c:v>
                </c:pt>
                <c:pt idx="24">
                  <c:v>2637.6261999999997</c:v>
                </c:pt>
                <c:pt idx="25">
                  <c:v>2646.07</c:v>
                </c:pt>
                <c:pt idx="26">
                  <c:v>2650.6176</c:v>
                </c:pt>
                <c:pt idx="27">
                  <c:v>2677.4540000000002</c:v>
                </c:pt>
                <c:pt idx="28">
                  <c:v>2700.7042000000001</c:v>
                </c:pt>
                <c:pt idx="29">
                  <c:v>2700.0632000000001</c:v>
                </c:pt>
                <c:pt idx="30">
                  <c:v>2695.9875999999995</c:v>
                </c:pt>
                <c:pt idx="31">
                  <c:v>2670.2457999999997</c:v>
                </c:pt>
                <c:pt idx="32">
                  <c:v>2555.4784</c:v>
                </c:pt>
                <c:pt idx="33">
                  <c:v>2382.0652</c:v>
                </c:pt>
                <c:pt idx="34">
                  <c:v>2204.7723999999998</c:v>
                </c:pt>
                <c:pt idx="35">
                  <c:v>2108.5626000000002</c:v>
                </c:pt>
                <c:pt idx="36">
                  <c:v>2067.8281999999999</c:v>
                </c:pt>
                <c:pt idx="37">
                  <c:v>2055.9103999999998</c:v>
                </c:pt>
                <c:pt idx="38">
                  <c:v>2067.5616</c:v>
                </c:pt>
                <c:pt idx="39">
                  <c:v>2104.3010000000004</c:v>
                </c:pt>
                <c:pt idx="40">
                  <c:v>2176.7053999999998</c:v>
                </c:pt>
                <c:pt idx="41">
                  <c:v>2280.6469999999999</c:v>
                </c:pt>
                <c:pt idx="42">
                  <c:v>2353.6089999999999</c:v>
                </c:pt>
                <c:pt idx="43">
                  <c:v>2401.7195999999994</c:v>
                </c:pt>
                <c:pt idx="44">
                  <c:v>2469.3018000000002</c:v>
                </c:pt>
                <c:pt idx="45">
                  <c:v>2520.9386</c:v>
                </c:pt>
                <c:pt idx="46">
                  <c:v>2571.5886</c:v>
                </c:pt>
                <c:pt idx="47">
                  <c:v>2570.1997999999999</c:v>
                </c:pt>
                <c:pt idx="48">
                  <c:v>2482.8332</c:v>
                </c:pt>
                <c:pt idx="49">
                  <c:v>2338.623</c:v>
                </c:pt>
                <c:pt idx="50">
                  <c:v>2221.8918000000003</c:v>
                </c:pt>
                <c:pt idx="51">
                  <c:v>2143.69</c:v>
                </c:pt>
                <c:pt idx="52">
                  <c:v>2081.6318000000001</c:v>
                </c:pt>
                <c:pt idx="53">
                  <c:v>2024.6943999999999</c:v>
                </c:pt>
                <c:pt idx="54">
                  <c:v>1977.1781999999998</c:v>
                </c:pt>
                <c:pt idx="55">
                  <c:v>1928.0794000000001</c:v>
                </c:pt>
                <c:pt idx="56">
                  <c:v>1868.4860000000001</c:v>
                </c:pt>
                <c:pt idx="57">
                  <c:v>1802.5268000000001</c:v>
                </c:pt>
                <c:pt idx="58">
                  <c:v>1724.0794000000001</c:v>
                </c:pt>
                <c:pt idx="59">
                  <c:v>1666.5513999999998</c:v>
                </c:pt>
                <c:pt idx="60">
                  <c:v>1641.5603999999998</c:v>
                </c:pt>
                <c:pt idx="61">
                  <c:v>1633.5711999999999</c:v>
                </c:pt>
                <c:pt idx="62">
                  <c:v>1640.3788</c:v>
                </c:pt>
                <c:pt idx="63">
                  <c:v>1719.9885999999999</c:v>
                </c:pt>
                <c:pt idx="64">
                  <c:v>1900.2120000000002</c:v>
                </c:pt>
                <c:pt idx="65">
                  <c:v>1995.7400000000002</c:v>
                </c:pt>
                <c:pt idx="66">
                  <c:v>1934.4524000000001</c:v>
                </c:pt>
                <c:pt idx="67">
                  <c:v>1862.1866000000002</c:v>
                </c:pt>
                <c:pt idx="68">
                  <c:v>1977.175</c:v>
                </c:pt>
                <c:pt idx="69">
                  <c:v>2469.2464</c:v>
                </c:pt>
                <c:pt idx="70">
                  <c:v>3214.4836</c:v>
                </c:pt>
                <c:pt idx="71">
                  <c:v>3755.9222</c:v>
                </c:pt>
                <c:pt idx="72">
                  <c:v>3761.9705999999996</c:v>
                </c:pt>
                <c:pt idx="73">
                  <c:v>3316.3985999999995</c:v>
                </c:pt>
                <c:pt idx="74">
                  <c:v>2797.4575999999997</c:v>
                </c:pt>
                <c:pt idx="75">
                  <c:v>2605.9492</c:v>
                </c:pt>
                <c:pt idx="76">
                  <c:v>2688.2882</c:v>
                </c:pt>
                <c:pt idx="77">
                  <c:v>2841.3558000000003</c:v>
                </c:pt>
                <c:pt idx="78">
                  <c:v>3100.4803999999995</c:v>
                </c:pt>
                <c:pt idx="79">
                  <c:v>3490.2733999999996</c:v>
                </c:pt>
                <c:pt idx="80">
                  <c:v>3880.1578</c:v>
                </c:pt>
                <c:pt idx="81">
                  <c:v>4182.3752000000004</c:v>
                </c:pt>
                <c:pt idx="82">
                  <c:v>4386.0457999999999</c:v>
                </c:pt>
                <c:pt idx="83">
                  <c:v>4415.4856</c:v>
                </c:pt>
                <c:pt idx="84">
                  <c:v>4286.1844000000001</c:v>
                </c:pt>
                <c:pt idx="85">
                  <c:v>4004.5114000000003</c:v>
                </c:pt>
                <c:pt idx="86">
                  <c:v>3576.4427999999998</c:v>
                </c:pt>
                <c:pt idx="87">
                  <c:v>3166.5774000000001</c:v>
                </c:pt>
                <c:pt idx="88">
                  <c:v>2890.9818</c:v>
                </c:pt>
                <c:pt idx="89">
                  <c:v>2668.8918000000003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1010.691</c:v>
                </c:pt>
                <c:pt idx="1">
                  <c:v>1163.3853999999999</c:v>
                </c:pt>
                <c:pt idx="2">
                  <c:v>1538.0022000000001</c:v>
                </c:pt>
                <c:pt idx="3">
                  <c:v>2125.8561999999997</c:v>
                </c:pt>
                <c:pt idx="4">
                  <c:v>2705.2768000000001</c:v>
                </c:pt>
                <c:pt idx="5">
                  <c:v>3063.6122</c:v>
                </c:pt>
                <c:pt idx="6">
                  <c:v>3256.8498</c:v>
                </c:pt>
                <c:pt idx="7">
                  <c:v>3377.9173999999998</c:v>
                </c:pt>
                <c:pt idx="8">
                  <c:v>3394.4199999999996</c:v>
                </c:pt>
                <c:pt idx="9">
                  <c:v>3316.7368000000001</c:v>
                </c:pt>
                <c:pt idx="10">
                  <c:v>3096.4370000000004</c:v>
                </c:pt>
                <c:pt idx="11">
                  <c:v>2709.7664</c:v>
                </c:pt>
                <c:pt idx="12">
                  <c:v>2415.0817999999999</c:v>
                </c:pt>
                <c:pt idx="13">
                  <c:v>2273.5456000000004</c:v>
                </c:pt>
                <c:pt idx="14">
                  <c:v>2231.8517999999999</c:v>
                </c:pt>
                <c:pt idx="15">
                  <c:v>2230.4101999999998</c:v>
                </c:pt>
                <c:pt idx="16">
                  <c:v>2237.6261999999997</c:v>
                </c:pt>
                <c:pt idx="17">
                  <c:v>2251.8226000000004</c:v>
                </c:pt>
                <c:pt idx="18">
                  <c:v>2276.2876000000001</c:v>
                </c:pt>
                <c:pt idx="19">
                  <c:v>2294.8355999999999</c:v>
                </c:pt>
                <c:pt idx="20">
                  <c:v>2308.8501999999999</c:v>
                </c:pt>
                <c:pt idx="21">
                  <c:v>2302.6379999999999</c:v>
                </c:pt>
                <c:pt idx="22">
                  <c:v>2303.2663999999995</c:v>
                </c:pt>
                <c:pt idx="23">
                  <c:v>2336.6118000000001</c:v>
                </c:pt>
                <c:pt idx="24">
                  <c:v>2374.7035999999998</c:v>
                </c:pt>
                <c:pt idx="25">
                  <c:v>2393.6153999999997</c:v>
                </c:pt>
                <c:pt idx="26">
                  <c:v>2405.3470000000002</c:v>
                </c:pt>
                <c:pt idx="27">
                  <c:v>2441.3298</c:v>
                </c:pt>
                <c:pt idx="28">
                  <c:v>2471.7784000000001</c:v>
                </c:pt>
                <c:pt idx="29">
                  <c:v>2463.3606</c:v>
                </c:pt>
                <c:pt idx="30">
                  <c:v>2458.0135999999998</c:v>
                </c:pt>
                <c:pt idx="31">
                  <c:v>2441.0544</c:v>
                </c:pt>
                <c:pt idx="32">
                  <c:v>2339.1222000000002</c:v>
                </c:pt>
                <c:pt idx="33">
                  <c:v>2168.9295999999999</c:v>
                </c:pt>
                <c:pt idx="34">
                  <c:v>2000.7418000000002</c:v>
                </c:pt>
                <c:pt idx="35">
                  <c:v>1905.1032</c:v>
                </c:pt>
                <c:pt idx="36">
                  <c:v>1861.5858000000001</c:v>
                </c:pt>
                <c:pt idx="37">
                  <c:v>1856.0849999999998</c:v>
                </c:pt>
                <c:pt idx="38">
                  <c:v>1870.7444</c:v>
                </c:pt>
                <c:pt idx="39">
                  <c:v>1897.8173999999999</c:v>
                </c:pt>
                <c:pt idx="40">
                  <c:v>1969.2596000000001</c:v>
                </c:pt>
                <c:pt idx="41">
                  <c:v>2081.6945999999998</c:v>
                </c:pt>
                <c:pt idx="42">
                  <c:v>2155.4777999999997</c:v>
                </c:pt>
                <c:pt idx="43">
                  <c:v>2189.4906000000001</c:v>
                </c:pt>
                <c:pt idx="44">
                  <c:v>2245.4036000000001</c:v>
                </c:pt>
                <c:pt idx="45">
                  <c:v>2288.2788</c:v>
                </c:pt>
                <c:pt idx="46">
                  <c:v>2312.3825999999999</c:v>
                </c:pt>
                <c:pt idx="47">
                  <c:v>2305.1294000000003</c:v>
                </c:pt>
                <c:pt idx="48">
                  <c:v>2205.8182000000002</c:v>
                </c:pt>
                <c:pt idx="49">
                  <c:v>2056.3694</c:v>
                </c:pt>
                <c:pt idx="50">
                  <c:v>1935.5648000000001</c:v>
                </c:pt>
                <c:pt idx="51">
                  <c:v>1851.7619999999999</c:v>
                </c:pt>
                <c:pt idx="52">
                  <c:v>1790.5724000000002</c:v>
                </c:pt>
                <c:pt idx="53">
                  <c:v>1744.5218</c:v>
                </c:pt>
                <c:pt idx="54">
                  <c:v>1702.3376000000001</c:v>
                </c:pt>
                <c:pt idx="55">
                  <c:v>1657.9221999999997</c:v>
                </c:pt>
                <c:pt idx="56">
                  <c:v>1606.3558</c:v>
                </c:pt>
                <c:pt idx="57">
                  <c:v>1550.1894</c:v>
                </c:pt>
                <c:pt idx="58">
                  <c:v>1496.5968</c:v>
                </c:pt>
                <c:pt idx="59">
                  <c:v>1462.8372000000002</c:v>
                </c:pt>
                <c:pt idx="60">
                  <c:v>1451.0310000000002</c:v>
                </c:pt>
                <c:pt idx="61">
                  <c:v>1435.4686000000002</c:v>
                </c:pt>
                <c:pt idx="62">
                  <c:v>1425.0466000000001</c:v>
                </c:pt>
                <c:pt idx="63">
                  <c:v>1525.9392</c:v>
                </c:pt>
                <c:pt idx="64">
                  <c:v>1737.3733999999999</c:v>
                </c:pt>
                <c:pt idx="65">
                  <c:v>1833.6979999999999</c:v>
                </c:pt>
                <c:pt idx="66">
                  <c:v>1775.7192</c:v>
                </c:pt>
                <c:pt idx="67">
                  <c:v>1710.2637999999999</c:v>
                </c:pt>
                <c:pt idx="68">
                  <c:v>1897.9866000000002</c:v>
                </c:pt>
                <c:pt idx="69">
                  <c:v>2588.0598</c:v>
                </c:pt>
                <c:pt idx="70">
                  <c:v>3533.4105999999992</c:v>
                </c:pt>
                <c:pt idx="71">
                  <c:v>4181.3658000000005</c:v>
                </c:pt>
                <c:pt idx="72">
                  <c:v>4162.1797999999999</c:v>
                </c:pt>
                <c:pt idx="73">
                  <c:v>3563.6927999999998</c:v>
                </c:pt>
                <c:pt idx="74">
                  <c:v>2924.8324000000002</c:v>
                </c:pt>
                <c:pt idx="75">
                  <c:v>2847.9633999999996</c:v>
                </c:pt>
                <c:pt idx="76">
                  <c:v>3095.8006</c:v>
                </c:pt>
                <c:pt idx="77">
                  <c:v>3256.0948000000003</c:v>
                </c:pt>
                <c:pt idx="78">
                  <c:v>3250.3069999999998</c:v>
                </c:pt>
                <c:pt idx="79">
                  <c:v>3305.1339999999996</c:v>
                </c:pt>
                <c:pt idx="80">
                  <c:v>3517.6840000000002</c:v>
                </c:pt>
                <c:pt idx="81">
                  <c:v>3765.0740000000005</c:v>
                </c:pt>
                <c:pt idx="82">
                  <c:v>3978.9580000000001</c:v>
                </c:pt>
                <c:pt idx="83">
                  <c:v>4055.7385999999997</c:v>
                </c:pt>
                <c:pt idx="84">
                  <c:v>3948.1201999999998</c:v>
                </c:pt>
                <c:pt idx="85">
                  <c:v>3723.8317999999999</c:v>
                </c:pt>
                <c:pt idx="86">
                  <c:v>3347.7028</c:v>
                </c:pt>
                <c:pt idx="87">
                  <c:v>2922.5369999999998</c:v>
                </c:pt>
                <c:pt idx="88">
                  <c:v>2632.7496000000001</c:v>
                </c:pt>
                <c:pt idx="89">
                  <c:v>2421.9353999999998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4\_light_profiles_AD04_LIGHT" connectionId="2" xr16:uid="{B998BCA0-E551-4314-AF0B-ED9093F6D36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4\_dark_profiles_AD04_DARK" connectionId="1" xr16:uid="{9D512FBB-C9FF-452D-859E-9466558A179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Y22" sqref="Y22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0.08</v>
      </c>
      <c r="C3">
        <v>-3.1179999999999999</v>
      </c>
      <c r="D3">
        <v>-6.27</v>
      </c>
      <c r="E3">
        <v>-5.4649999999999999</v>
      </c>
      <c r="F3">
        <v>-3.698</v>
      </c>
      <c r="K3" t="s">
        <v>0</v>
      </c>
      <c r="L3">
        <v>-1.5429999999999999</v>
      </c>
      <c r="M3">
        <v>-2.3159999999999998</v>
      </c>
      <c r="N3">
        <v>-1.38</v>
      </c>
      <c r="O3">
        <v>-2.38</v>
      </c>
      <c r="P3">
        <v>-3.1030000000000002</v>
      </c>
    </row>
    <row r="4" spans="1:19" x14ac:dyDescent="0.25">
      <c r="A4" t="s">
        <v>1</v>
      </c>
      <c r="B4">
        <v>339.887</v>
      </c>
      <c r="C4">
        <v>341.48200000000003</v>
      </c>
      <c r="D4">
        <v>341.911</v>
      </c>
      <c r="E4">
        <v>343.33499999999998</v>
      </c>
      <c r="F4">
        <v>342.43</v>
      </c>
      <c r="H4" s="2">
        <f>AVERAGE(B4:F4)</f>
        <v>341.80900000000003</v>
      </c>
      <c r="I4" s="2">
        <f>STDEV(B4:F4)/SQRT(COUNT(B4:F4))</f>
        <v>0.57121510834360489</v>
      </c>
      <c r="K4" t="s">
        <v>1</v>
      </c>
      <c r="L4">
        <v>339.48500000000001</v>
      </c>
      <c r="M4">
        <v>340.12400000000002</v>
      </c>
      <c r="N4">
        <v>339.09199999999998</v>
      </c>
      <c r="O4">
        <v>340.45499999999998</v>
      </c>
      <c r="P4">
        <v>339.82100000000003</v>
      </c>
      <c r="R4" s="3">
        <f>AVERAGE(L4:P4)</f>
        <v>339.79539999999997</v>
      </c>
      <c r="S4" s="3">
        <f>STDEV(L4:P4)/SQRT(COUNT(L4:P4))</f>
        <v>0.23820424009660376</v>
      </c>
    </row>
    <row r="5" spans="1:19" x14ac:dyDescent="0.25">
      <c r="A5" t="s">
        <v>2</v>
      </c>
      <c r="B5">
        <v>72.352999999999994</v>
      </c>
      <c r="C5">
        <v>72.656999999999996</v>
      </c>
      <c r="D5">
        <v>72.884</v>
      </c>
      <c r="E5">
        <v>72.537999999999997</v>
      </c>
      <c r="F5">
        <v>72.605999999999995</v>
      </c>
      <c r="H5" s="2">
        <f t="shared" ref="H5:H68" si="0">AVERAGE(B5:F5)</f>
        <v>72.607600000000005</v>
      </c>
      <c r="I5" s="2">
        <f t="shared" ref="I5:I68" si="1">STDEV(B5:F5)/SQRT(COUNT(B5:F5))</f>
        <v>8.6169948357882623E-2</v>
      </c>
      <c r="K5" t="s">
        <v>2</v>
      </c>
      <c r="L5">
        <v>71.512</v>
      </c>
      <c r="M5">
        <v>72.600999999999999</v>
      </c>
      <c r="N5">
        <v>71.477999999999994</v>
      </c>
      <c r="O5">
        <v>71.948999999999998</v>
      </c>
      <c r="P5">
        <v>71.257999999999996</v>
      </c>
      <c r="R5" s="3">
        <f t="shared" ref="R5:R68" si="2">AVERAGE(L5:P5)</f>
        <v>71.759600000000006</v>
      </c>
      <c r="S5" s="3">
        <f t="shared" ref="S5:S68" si="3">STDEV(L5:P5)/SQRT(COUNT(L5:P5))</f>
        <v>0.23833098833345248</v>
      </c>
    </row>
    <row r="6" spans="1:19" x14ac:dyDescent="0.25">
      <c r="A6" t="s">
        <v>3</v>
      </c>
      <c r="B6">
        <v>34.146000000000001</v>
      </c>
      <c r="C6">
        <v>34.194000000000003</v>
      </c>
      <c r="D6">
        <v>34.116999999999997</v>
      </c>
      <c r="E6">
        <v>35.738999999999997</v>
      </c>
      <c r="F6">
        <v>34.225000000000001</v>
      </c>
      <c r="H6" s="2">
        <f t="shared" si="0"/>
        <v>34.484200000000001</v>
      </c>
      <c r="I6" s="2">
        <f t="shared" si="1"/>
        <v>0.31425616939051426</v>
      </c>
      <c r="K6" t="s">
        <v>3</v>
      </c>
      <c r="L6">
        <v>34.005000000000003</v>
      </c>
      <c r="M6">
        <v>33.091000000000001</v>
      </c>
      <c r="N6">
        <v>34.295999999999999</v>
      </c>
      <c r="O6">
        <v>33.805</v>
      </c>
      <c r="P6">
        <v>33.774000000000001</v>
      </c>
      <c r="R6" s="3">
        <f t="shared" si="2"/>
        <v>33.794200000000004</v>
      </c>
      <c r="S6" s="3">
        <f t="shared" si="3"/>
        <v>0.19890384611665995</v>
      </c>
    </row>
    <row r="7" spans="1:19" x14ac:dyDescent="0.25">
      <c r="A7">
        <v>-3.75</v>
      </c>
      <c r="B7">
        <v>1186.675</v>
      </c>
      <c r="C7">
        <v>1196.258</v>
      </c>
      <c r="D7">
        <v>938.10299999999995</v>
      </c>
      <c r="E7">
        <v>1026.3530000000001</v>
      </c>
      <c r="F7">
        <v>1205.4549999999999</v>
      </c>
      <c r="H7" s="2">
        <f t="shared" si="0"/>
        <v>1110.5688</v>
      </c>
      <c r="I7" s="2">
        <f t="shared" si="1"/>
        <v>54.302364941501388</v>
      </c>
      <c r="K7">
        <v>-3.75</v>
      </c>
      <c r="L7">
        <v>1036.4680000000001</v>
      </c>
      <c r="M7">
        <v>1020.519</v>
      </c>
      <c r="N7">
        <v>1044.0609999999999</v>
      </c>
      <c r="O7">
        <v>934.83299999999997</v>
      </c>
      <c r="P7">
        <v>1017.574</v>
      </c>
      <c r="R7" s="3">
        <f t="shared" si="2"/>
        <v>1010.691</v>
      </c>
      <c r="S7" s="3">
        <f t="shared" si="3"/>
        <v>19.591340007768743</v>
      </c>
    </row>
    <row r="8" spans="1:19" x14ac:dyDescent="0.25">
      <c r="A8">
        <v>-2.5</v>
      </c>
      <c r="B8">
        <v>1385.4570000000001</v>
      </c>
      <c r="C8">
        <v>1338.473</v>
      </c>
      <c r="D8">
        <v>1104.2950000000001</v>
      </c>
      <c r="E8">
        <v>1269.8340000000001</v>
      </c>
      <c r="F8">
        <v>1446.6469999999999</v>
      </c>
      <c r="H8" s="2">
        <f t="shared" si="0"/>
        <v>1308.9412</v>
      </c>
      <c r="I8" s="2">
        <f t="shared" si="1"/>
        <v>58.778874810938646</v>
      </c>
      <c r="K8">
        <v>-2.5</v>
      </c>
      <c r="L8">
        <v>1206.7639999999999</v>
      </c>
      <c r="M8">
        <v>1188.489</v>
      </c>
      <c r="N8">
        <v>1146.4580000000001</v>
      </c>
      <c r="O8">
        <v>1107.317</v>
      </c>
      <c r="P8">
        <v>1167.8989999999999</v>
      </c>
      <c r="R8" s="3">
        <f t="shared" si="2"/>
        <v>1163.3853999999999</v>
      </c>
      <c r="S8" s="3">
        <f t="shared" si="3"/>
        <v>17.266251193006529</v>
      </c>
    </row>
    <row r="9" spans="1:19" x14ac:dyDescent="0.25">
      <c r="A9">
        <v>-1.25</v>
      </c>
      <c r="B9">
        <v>1819.6110000000001</v>
      </c>
      <c r="C9">
        <v>1778.7270000000001</v>
      </c>
      <c r="D9">
        <v>1454.404</v>
      </c>
      <c r="E9">
        <v>1727.194</v>
      </c>
      <c r="F9">
        <v>1920.7739999999999</v>
      </c>
      <c r="H9" s="2">
        <f t="shared" si="0"/>
        <v>1740.1419999999998</v>
      </c>
      <c r="I9" s="2">
        <f t="shared" si="1"/>
        <v>78.181167475933734</v>
      </c>
      <c r="K9">
        <v>-1.25</v>
      </c>
      <c r="L9">
        <v>1561.7380000000001</v>
      </c>
      <c r="M9">
        <v>1566.1410000000001</v>
      </c>
      <c r="N9">
        <v>1468.001</v>
      </c>
      <c r="O9">
        <v>1591.0350000000001</v>
      </c>
      <c r="P9">
        <v>1503.096</v>
      </c>
      <c r="R9" s="3">
        <f t="shared" si="2"/>
        <v>1538.0022000000001</v>
      </c>
      <c r="S9" s="3">
        <f t="shared" si="3"/>
        <v>22.678479824273957</v>
      </c>
    </row>
    <row r="10" spans="1:19" x14ac:dyDescent="0.25">
      <c r="A10">
        <v>0</v>
      </c>
      <c r="B10">
        <v>2469.23</v>
      </c>
      <c r="C10">
        <v>2345.4560000000001</v>
      </c>
      <c r="D10">
        <v>1906.549</v>
      </c>
      <c r="E10">
        <v>2301.489</v>
      </c>
      <c r="F10">
        <v>2632.9850000000001</v>
      </c>
      <c r="H10" s="2">
        <f t="shared" si="0"/>
        <v>2331.1418000000003</v>
      </c>
      <c r="I10" s="2">
        <f t="shared" si="1"/>
        <v>120.73543370667971</v>
      </c>
      <c r="K10">
        <v>0</v>
      </c>
      <c r="L10">
        <v>2181.1329999999998</v>
      </c>
      <c r="M10">
        <v>2099.5360000000001</v>
      </c>
      <c r="N10">
        <v>2115.3290000000002</v>
      </c>
      <c r="O10">
        <v>2247.2919999999999</v>
      </c>
      <c r="P10">
        <v>1985.991</v>
      </c>
      <c r="R10" s="3">
        <f t="shared" si="2"/>
        <v>2125.8561999999997</v>
      </c>
      <c r="S10" s="3">
        <f t="shared" si="3"/>
        <v>43.685253334964159</v>
      </c>
    </row>
    <row r="11" spans="1:19" x14ac:dyDescent="0.25">
      <c r="A11">
        <v>1.25</v>
      </c>
      <c r="B11">
        <v>3076.8780000000002</v>
      </c>
      <c r="C11">
        <v>2943.4319999999998</v>
      </c>
      <c r="D11">
        <v>2400.58</v>
      </c>
      <c r="E11">
        <v>2922.0540000000001</v>
      </c>
      <c r="F11">
        <v>3359.5030000000002</v>
      </c>
      <c r="H11" s="2">
        <f t="shared" si="0"/>
        <v>2940.4893999999999</v>
      </c>
      <c r="I11" s="2">
        <f t="shared" si="1"/>
        <v>155.88857082403575</v>
      </c>
      <c r="K11">
        <v>1.25</v>
      </c>
      <c r="L11">
        <v>2794.2429999999999</v>
      </c>
      <c r="M11">
        <v>2624.7330000000002</v>
      </c>
      <c r="N11">
        <v>2761.2550000000001</v>
      </c>
      <c r="O11">
        <v>2860.6010000000001</v>
      </c>
      <c r="P11">
        <v>2485.5520000000001</v>
      </c>
      <c r="R11" s="3">
        <f t="shared" si="2"/>
        <v>2705.2768000000001</v>
      </c>
      <c r="S11" s="3">
        <f t="shared" si="3"/>
        <v>67.059839761514482</v>
      </c>
    </row>
    <row r="12" spans="1:19" x14ac:dyDescent="0.25">
      <c r="A12">
        <v>2.5</v>
      </c>
      <c r="B12">
        <v>3506.4279999999999</v>
      </c>
      <c r="C12">
        <v>3271.53</v>
      </c>
      <c r="D12">
        <v>2729.239</v>
      </c>
      <c r="E12">
        <v>3310.047</v>
      </c>
      <c r="F12">
        <v>3783.6080000000002</v>
      </c>
      <c r="H12" s="2">
        <f t="shared" si="0"/>
        <v>3320.1704</v>
      </c>
      <c r="I12" s="2">
        <f t="shared" si="1"/>
        <v>173.36876793373258</v>
      </c>
      <c r="K12">
        <v>2.5</v>
      </c>
      <c r="L12">
        <v>3171.9369999999999</v>
      </c>
      <c r="M12">
        <v>2928.01</v>
      </c>
      <c r="N12">
        <v>3140.7939999999999</v>
      </c>
      <c r="O12">
        <v>3292.0450000000001</v>
      </c>
      <c r="P12">
        <v>2785.2750000000001</v>
      </c>
      <c r="R12" s="3">
        <f t="shared" si="2"/>
        <v>3063.6122</v>
      </c>
      <c r="S12" s="3">
        <f t="shared" si="3"/>
        <v>91.030871195106073</v>
      </c>
    </row>
    <row r="13" spans="1:19" x14ac:dyDescent="0.25">
      <c r="A13">
        <v>3.75</v>
      </c>
      <c r="B13">
        <v>3686.69</v>
      </c>
      <c r="C13">
        <v>3497.8449999999998</v>
      </c>
      <c r="D13">
        <v>2885.8829999999998</v>
      </c>
      <c r="E13">
        <v>3526.5880000000002</v>
      </c>
      <c r="F13">
        <v>4045.009</v>
      </c>
      <c r="H13" s="2">
        <f t="shared" si="0"/>
        <v>3528.4029999999998</v>
      </c>
      <c r="I13" s="2">
        <f t="shared" si="1"/>
        <v>187.84376082186003</v>
      </c>
      <c r="K13">
        <v>3.75</v>
      </c>
      <c r="L13">
        <v>3377.9789999999998</v>
      </c>
      <c r="M13">
        <v>3103.2080000000001</v>
      </c>
      <c r="N13">
        <v>3311.05</v>
      </c>
      <c r="O13">
        <v>3532.0880000000002</v>
      </c>
      <c r="P13">
        <v>2959.924</v>
      </c>
      <c r="R13" s="3">
        <f t="shared" si="2"/>
        <v>3256.8498</v>
      </c>
      <c r="S13" s="3">
        <f t="shared" si="3"/>
        <v>101.27604477979973</v>
      </c>
    </row>
    <row r="14" spans="1:19" x14ac:dyDescent="0.25">
      <c r="A14">
        <v>5</v>
      </c>
      <c r="B14">
        <v>3799.9079999999999</v>
      </c>
      <c r="C14">
        <v>3601.9769999999999</v>
      </c>
      <c r="D14">
        <v>2957.3209999999999</v>
      </c>
      <c r="E14">
        <v>3647.2860000000001</v>
      </c>
      <c r="F14">
        <v>4184.424</v>
      </c>
      <c r="H14" s="2">
        <f t="shared" si="0"/>
        <v>3638.1832000000004</v>
      </c>
      <c r="I14" s="2">
        <f t="shared" si="1"/>
        <v>198.6832916722972</v>
      </c>
      <c r="K14">
        <v>5</v>
      </c>
      <c r="L14">
        <v>3462.3330000000001</v>
      </c>
      <c r="M14">
        <v>3258.0610000000001</v>
      </c>
      <c r="N14">
        <v>3437.5419999999999</v>
      </c>
      <c r="O14">
        <v>3664.6979999999999</v>
      </c>
      <c r="P14">
        <v>3066.953</v>
      </c>
      <c r="R14" s="3">
        <f t="shared" si="2"/>
        <v>3377.9173999999998</v>
      </c>
      <c r="S14" s="3">
        <f t="shared" si="3"/>
        <v>100.99223080841413</v>
      </c>
    </row>
    <row r="15" spans="1:19" x14ac:dyDescent="0.25">
      <c r="A15">
        <v>6.25</v>
      </c>
      <c r="B15">
        <v>3833.1579999999999</v>
      </c>
      <c r="C15">
        <v>3628.3240000000001</v>
      </c>
      <c r="D15">
        <v>2959.1570000000002</v>
      </c>
      <c r="E15">
        <v>3665.7159999999999</v>
      </c>
      <c r="F15">
        <v>4195.5959999999995</v>
      </c>
      <c r="H15" s="2">
        <f t="shared" si="0"/>
        <v>3656.3902000000003</v>
      </c>
      <c r="I15" s="2">
        <f t="shared" si="1"/>
        <v>201.12167550773805</v>
      </c>
      <c r="K15">
        <v>6.25</v>
      </c>
      <c r="L15">
        <v>3448.5590000000002</v>
      </c>
      <c r="M15">
        <v>3284.5210000000002</v>
      </c>
      <c r="N15">
        <v>3462.2890000000002</v>
      </c>
      <c r="O15">
        <v>3710.0889999999999</v>
      </c>
      <c r="P15">
        <v>3066.6419999999998</v>
      </c>
      <c r="R15" s="3">
        <f t="shared" si="2"/>
        <v>3394.4199999999996</v>
      </c>
      <c r="S15" s="3">
        <f t="shared" si="3"/>
        <v>106.46604095391169</v>
      </c>
    </row>
    <row r="16" spans="1:19" x14ac:dyDescent="0.25">
      <c r="A16">
        <v>7.5</v>
      </c>
      <c r="B16">
        <v>3685.6579999999999</v>
      </c>
      <c r="C16">
        <v>3541.223</v>
      </c>
      <c r="D16">
        <v>2940.4409999999998</v>
      </c>
      <c r="E16">
        <v>3588.453</v>
      </c>
      <c r="F16">
        <v>4096.424</v>
      </c>
      <c r="H16" s="2">
        <f t="shared" si="0"/>
        <v>3570.4398000000001</v>
      </c>
      <c r="I16" s="2">
        <f t="shared" si="1"/>
        <v>185.47387916345417</v>
      </c>
      <c r="K16">
        <v>7.5</v>
      </c>
      <c r="L16">
        <v>3365.3939999999998</v>
      </c>
      <c r="M16">
        <v>3203.4690000000001</v>
      </c>
      <c r="N16">
        <v>3407.0459999999998</v>
      </c>
      <c r="O16">
        <v>3586.3020000000001</v>
      </c>
      <c r="P16">
        <v>3021.473</v>
      </c>
      <c r="R16" s="3">
        <f t="shared" si="2"/>
        <v>3316.7368000000001</v>
      </c>
      <c r="S16" s="3">
        <f t="shared" si="3"/>
        <v>95.707621920827179</v>
      </c>
    </row>
    <row r="17" spans="1:19" x14ac:dyDescent="0.25">
      <c r="A17">
        <v>8.75</v>
      </c>
      <c r="B17">
        <v>3413.8470000000002</v>
      </c>
      <c r="C17">
        <v>3329.0680000000002</v>
      </c>
      <c r="D17">
        <v>2819.3719999999998</v>
      </c>
      <c r="E17">
        <v>3391.335</v>
      </c>
      <c r="F17">
        <v>3845.1080000000002</v>
      </c>
      <c r="H17" s="2">
        <f t="shared" si="0"/>
        <v>3359.7460000000001</v>
      </c>
      <c r="I17" s="2">
        <f t="shared" si="1"/>
        <v>163.16345389302109</v>
      </c>
      <c r="K17">
        <v>8.75</v>
      </c>
      <c r="L17">
        <v>3149.8690000000001</v>
      </c>
      <c r="M17">
        <v>2998.538</v>
      </c>
      <c r="N17">
        <v>3162.1460000000002</v>
      </c>
      <c r="O17">
        <v>3350.136</v>
      </c>
      <c r="P17">
        <v>2821.4960000000001</v>
      </c>
      <c r="R17" s="3">
        <f t="shared" si="2"/>
        <v>3096.4370000000004</v>
      </c>
      <c r="S17" s="3">
        <f t="shared" si="3"/>
        <v>88.51909443391294</v>
      </c>
    </row>
    <row r="18" spans="1:19" x14ac:dyDescent="0.25">
      <c r="A18">
        <v>10</v>
      </c>
      <c r="B18">
        <v>2956.5729999999999</v>
      </c>
      <c r="C18">
        <v>2926.163</v>
      </c>
      <c r="D18">
        <v>2552.7330000000002</v>
      </c>
      <c r="E18">
        <v>3036.0349999999999</v>
      </c>
      <c r="F18">
        <v>3399.83</v>
      </c>
      <c r="H18" s="2">
        <f t="shared" si="0"/>
        <v>2974.2668000000003</v>
      </c>
      <c r="I18" s="2">
        <f t="shared" si="1"/>
        <v>135.13643816543333</v>
      </c>
      <c r="K18">
        <v>10</v>
      </c>
      <c r="L18">
        <v>2737.0889999999999</v>
      </c>
      <c r="M18">
        <v>2658.7620000000002</v>
      </c>
      <c r="N18">
        <v>2717.6529999999998</v>
      </c>
      <c r="O18">
        <v>2951.0619999999999</v>
      </c>
      <c r="P18">
        <v>2484.2660000000001</v>
      </c>
      <c r="R18" s="3">
        <f t="shared" si="2"/>
        <v>2709.7664</v>
      </c>
      <c r="S18" s="3">
        <f t="shared" si="3"/>
        <v>74.994722724069021</v>
      </c>
    </row>
    <row r="19" spans="1:19" x14ac:dyDescent="0.25">
      <c r="A19">
        <v>11.25</v>
      </c>
      <c r="B19">
        <v>2618.5920000000001</v>
      </c>
      <c r="C19">
        <v>2642.598</v>
      </c>
      <c r="D19">
        <v>2348.8130000000001</v>
      </c>
      <c r="E19">
        <v>2762.3110000000001</v>
      </c>
      <c r="F19">
        <v>3066.0459999999998</v>
      </c>
      <c r="H19" s="2">
        <f t="shared" si="0"/>
        <v>2687.672</v>
      </c>
      <c r="I19" s="2">
        <f t="shared" si="1"/>
        <v>116.26843895787019</v>
      </c>
      <c r="K19">
        <v>11.25</v>
      </c>
      <c r="L19">
        <v>2426.46</v>
      </c>
      <c r="M19">
        <v>2395.5680000000002</v>
      </c>
      <c r="N19">
        <v>2400.5540000000001</v>
      </c>
      <c r="O19">
        <v>2650.3539999999998</v>
      </c>
      <c r="P19">
        <v>2202.473</v>
      </c>
      <c r="R19" s="3">
        <f t="shared" si="2"/>
        <v>2415.0817999999999</v>
      </c>
      <c r="S19" s="3">
        <f t="shared" si="3"/>
        <v>71.160669870652541</v>
      </c>
    </row>
    <row r="20" spans="1:19" x14ac:dyDescent="0.25">
      <c r="A20">
        <v>12.5</v>
      </c>
      <c r="B20">
        <v>2464.5059999999999</v>
      </c>
      <c r="C20">
        <v>2491.1799999999998</v>
      </c>
      <c r="D20">
        <v>2246.7890000000002</v>
      </c>
      <c r="E20">
        <v>2619.0970000000002</v>
      </c>
      <c r="F20">
        <v>2872.7260000000001</v>
      </c>
      <c r="H20" s="2">
        <f t="shared" si="0"/>
        <v>2538.8596000000002</v>
      </c>
      <c r="I20" s="2">
        <f t="shared" si="1"/>
        <v>102.71607733972321</v>
      </c>
      <c r="K20">
        <v>12.5</v>
      </c>
      <c r="L20">
        <v>2286.152</v>
      </c>
      <c r="M20">
        <v>2260.748</v>
      </c>
      <c r="N20">
        <v>2254.6930000000002</v>
      </c>
      <c r="O20">
        <v>2496.1779999999999</v>
      </c>
      <c r="P20">
        <v>2069.9569999999999</v>
      </c>
      <c r="R20" s="3">
        <f t="shared" si="2"/>
        <v>2273.5456000000004</v>
      </c>
      <c r="S20" s="3">
        <f t="shared" si="3"/>
        <v>67.709535515021798</v>
      </c>
    </row>
    <row r="21" spans="1:19" x14ac:dyDescent="0.25">
      <c r="A21">
        <v>13.75</v>
      </c>
      <c r="B21">
        <v>2410.5659999999998</v>
      </c>
      <c r="C21">
        <v>2431.6619999999998</v>
      </c>
      <c r="D21">
        <v>2205.5610000000001</v>
      </c>
      <c r="E21">
        <v>2576.748</v>
      </c>
      <c r="F21">
        <v>2819.4259999999999</v>
      </c>
      <c r="H21" s="2">
        <f t="shared" si="0"/>
        <v>2488.7925999999998</v>
      </c>
      <c r="I21" s="2">
        <f t="shared" si="1"/>
        <v>101.65088372149057</v>
      </c>
      <c r="K21">
        <v>13.75</v>
      </c>
      <c r="L21">
        <v>2254.489</v>
      </c>
      <c r="M21">
        <v>2211.5340000000001</v>
      </c>
      <c r="N21">
        <v>2212.5369999999998</v>
      </c>
      <c r="O21">
        <v>2438.8470000000002</v>
      </c>
      <c r="P21">
        <v>2041.8520000000001</v>
      </c>
      <c r="R21" s="3">
        <f t="shared" si="2"/>
        <v>2231.8517999999999</v>
      </c>
      <c r="S21" s="3">
        <f t="shared" si="3"/>
        <v>63.342424228474258</v>
      </c>
    </row>
    <row r="22" spans="1:19" x14ac:dyDescent="0.25">
      <c r="A22">
        <v>15</v>
      </c>
      <c r="B22">
        <v>2393.4670000000001</v>
      </c>
      <c r="C22">
        <v>2422.7950000000001</v>
      </c>
      <c r="D22">
        <v>2190.1239999999998</v>
      </c>
      <c r="E22">
        <v>2574.6950000000002</v>
      </c>
      <c r="F22">
        <v>2815.027</v>
      </c>
      <c r="H22" s="2">
        <f t="shared" si="0"/>
        <v>2479.2215999999999</v>
      </c>
      <c r="I22" s="2">
        <f t="shared" si="1"/>
        <v>103.92200722445658</v>
      </c>
      <c r="K22">
        <v>15</v>
      </c>
      <c r="L22">
        <v>2256.0210000000002</v>
      </c>
      <c r="M22">
        <v>2200.8209999999999</v>
      </c>
      <c r="N22">
        <v>2222.7220000000002</v>
      </c>
      <c r="O22">
        <v>2425.4319999999998</v>
      </c>
      <c r="P22">
        <v>2047.0550000000001</v>
      </c>
      <c r="R22" s="3">
        <f t="shared" si="2"/>
        <v>2230.4101999999998</v>
      </c>
      <c r="S22" s="3">
        <f t="shared" si="3"/>
        <v>60.515772363409475</v>
      </c>
    </row>
    <row r="23" spans="1:19" x14ac:dyDescent="0.25">
      <c r="A23">
        <v>16.25</v>
      </c>
      <c r="B23">
        <v>2391.9070000000002</v>
      </c>
      <c r="C23">
        <v>2424.386</v>
      </c>
      <c r="D23">
        <v>2194.6619999999998</v>
      </c>
      <c r="E23">
        <v>2581.9209999999998</v>
      </c>
      <c r="F23">
        <v>2819.4879999999998</v>
      </c>
      <c r="H23" s="2">
        <f t="shared" si="0"/>
        <v>2482.4728</v>
      </c>
      <c r="I23" s="2">
        <f t="shared" si="1"/>
        <v>104.37444289068084</v>
      </c>
      <c r="K23">
        <v>16.25</v>
      </c>
      <c r="L23">
        <v>2260.337</v>
      </c>
      <c r="M23">
        <v>2206.0349999999999</v>
      </c>
      <c r="N23">
        <v>2237.0360000000001</v>
      </c>
      <c r="O23">
        <v>2424.7469999999998</v>
      </c>
      <c r="P23">
        <v>2059.9760000000001</v>
      </c>
      <c r="R23" s="3">
        <f t="shared" si="2"/>
        <v>2237.6261999999997</v>
      </c>
      <c r="S23" s="3">
        <f t="shared" si="3"/>
        <v>58.347202179196174</v>
      </c>
    </row>
    <row r="24" spans="1:19" x14ac:dyDescent="0.25">
      <c r="A24">
        <v>17.5</v>
      </c>
      <c r="B24">
        <v>2415.2559999999999</v>
      </c>
      <c r="C24">
        <v>2432.38</v>
      </c>
      <c r="D24">
        <v>2221.5529999999999</v>
      </c>
      <c r="E24">
        <v>2594.6819999999998</v>
      </c>
      <c r="F24">
        <v>2830.2469999999998</v>
      </c>
      <c r="H24" s="2">
        <f t="shared" si="0"/>
        <v>2498.8235999999997</v>
      </c>
      <c r="I24" s="2">
        <f t="shared" si="1"/>
        <v>101.81050640606792</v>
      </c>
      <c r="K24">
        <v>17.5</v>
      </c>
      <c r="L24">
        <v>2276.9349999999999</v>
      </c>
      <c r="M24">
        <v>2233.4160000000002</v>
      </c>
      <c r="N24">
        <v>2227.096</v>
      </c>
      <c r="O24">
        <v>2448.6080000000002</v>
      </c>
      <c r="P24">
        <v>2073.058</v>
      </c>
      <c r="R24" s="3">
        <f t="shared" si="2"/>
        <v>2251.8226000000004</v>
      </c>
      <c r="S24" s="3">
        <f t="shared" si="3"/>
        <v>60.109115852422946</v>
      </c>
    </row>
    <row r="25" spans="1:19" x14ac:dyDescent="0.25">
      <c r="A25">
        <v>18.75</v>
      </c>
      <c r="B25">
        <v>2438.2779999999998</v>
      </c>
      <c r="C25">
        <v>2453.7420000000002</v>
      </c>
      <c r="D25">
        <v>2248.1039999999998</v>
      </c>
      <c r="E25">
        <v>2618.1640000000002</v>
      </c>
      <c r="F25">
        <v>2850.3139999999999</v>
      </c>
      <c r="H25" s="2">
        <f t="shared" si="0"/>
        <v>2521.7204000000002</v>
      </c>
      <c r="I25" s="2">
        <f t="shared" si="1"/>
        <v>100.92689266870353</v>
      </c>
      <c r="K25">
        <v>18.75</v>
      </c>
      <c r="L25">
        <v>2302.2919999999999</v>
      </c>
      <c r="M25">
        <v>2260.1019999999999</v>
      </c>
      <c r="N25">
        <v>2240.5169999999998</v>
      </c>
      <c r="O25">
        <v>2480.7959999999998</v>
      </c>
      <c r="P25">
        <v>2097.7310000000002</v>
      </c>
      <c r="R25" s="3">
        <f t="shared" si="2"/>
        <v>2276.2876000000001</v>
      </c>
      <c r="S25" s="3">
        <f t="shared" si="3"/>
        <v>61.613262924957908</v>
      </c>
    </row>
    <row r="26" spans="1:19" x14ac:dyDescent="0.25">
      <c r="A26">
        <v>20</v>
      </c>
      <c r="B26">
        <v>2447.087</v>
      </c>
      <c r="C26">
        <v>2481.739</v>
      </c>
      <c r="D26">
        <v>2257.0410000000002</v>
      </c>
      <c r="E26">
        <v>2629.89</v>
      </c>
      <c r="F26">
        <v>2875.9360000000001</v>
      </c>
      <c r="H26" s="2">
        <f t="shared" si="0"/>
        <v>2538.3386</v>
      </c>
      <c r="I26" s="2">
        <f t="shared" si="1"/>
        <v>103.20183436286391</v>
      </c>
      <c r="K26">
        <v>20</v>
      </c>
      <c r="L26">
        <v>2308.0010000000002</v>
      </c>
      <c r="M26">
        <v>2276.9859999999999</v>
      </c>
      <c r="N26">
        <v>2260.136</v>
      </c>
      <c r="O26">
        <v>2518.5120000000002</v>
      </c>
      <c r="P26">
        <v>2110.5430000000001</v>
      </c>
      <c r="R26" s="3">
        <f t="shared" si="2"/>
        <v>2294.8355999999999</v>
      </c>
      <c r="S26" s="3">
        <f t="shared" si="3"/>
        <v>65.456433048708078</v>
      </c>
    </row>
    <row r="27" spans="1:19" x14ac:dyDescent="0.25">
      <c r="A27">
        <v>21.25</v>
      </c>
      <c r="B27">
        <v>2452.5149999999999</v>
      </c>
      <c r="C27">
        <v>2485.0390000000002</v>
      </c>
      <c r="D27">
        <v>2256.3530000000001</v>
      </c>
      <c r="E27">
        <v>2640.4929999999999</v>
      </c>
      <c r="F27">
        <v>2882.5770000000002</v>
      </c>
      <c r="H27" s="2">
        <f t="shared" si="0"/>
        <v>2543.3953999999999</v>
      </c>
      <c r="I27" s="2">
        <f t="shared" si="1"/>
        <v>104.52993772771514</v>
      </c>
      <c r="K27">
        <v>21.25</v>
      </c>
      <c r="L27">
        <v>2312.9699999999998</v>
      </c>
      <c r="M27">
        <v>2288.0749999999998</v>
      </c>
      <c r="N27">
        <v>2285.0279999999998</v>
      </c>
      <c r="O27">
        <v>2552.3130000000001</v>
      </c>
      <c r="P27">
        <v>2105.8649999999998</v>
      </c>
      <c r="R27" s="3">
        <f t="shared" si="2"/>
        <v>2308.8501999999999</v>
      </c>
      <c r="S27" s="3">
        <f t="shared" si="3"/>
        <v>71.23664973270435</v>
      </c>
    </row>
    <row r="28" spans="1:19" x14ac:dyDescent="0.25">
      <c r="A28">
        <v>22.5</v>
      </c>
      <c r="B28">
        <v>2471.4360000000001</v>
      </c>
      <c r="C28">
        <v>2477.7020000000002</v>
      </c>
      <c r="D28">
        <v>2262.0549999999998</v>
      </c>
      <c r="E28">
        <v>2650.6280000000002</v>
      </c>
      <c r="F28">
        <v>2879.2089999999998</v>
      </c>
      <c r="H28" s="2">
        <f t="shared" si="0"/>
        <v>2548.2060000000006</v>
      </c>
      <c r="I28" s="2">
        <f t="shared" si="1"/>
        <v>103.15039840204203</v>
      </c>
      <c r="K28">
        <v>22.5</v>
      </c>
      <c r="L28">
        <v>2314.3229999999999</v>
      </c>
      <c r="M28">
        <v>2280.3919999999998</v>
      </c>
      <c r="N28">
        <v>2285.9899999999998</v>
      </c>
      <c r="O28">
        <v>2532.163</v>
      </c>
      <c r="P28">
        <v>2100.3220000000001</v>
      </c>
      <c r="R28" s="3">
        <f t="shared" si="2"/>
        <v>2302.6379999999999</v>
      </c>
      <c r="S28" s="3">
        <f t="shared" si="3"/>
        <v>68.746661419300921</v>
      </c>
    </row>
    <row r="29" spans="1:19" x14ac:dyDescent="0.25">
      <c r="A29">
        <v>23.75</v>
      </c>
      <c r="B29">
        <v>2486.8000000000002</v>
      </c>
      <c r="C29">
        <v>2491.1579999999999</v>
      </c>
      <c r="D29">
        <v>2286.0210000000002</v>
      </c>
      <c r="E29">
        <v>2664.5189999999998</v>
      </c>
      <c r="F29">
        <v>2897.5079999999998</v>
      </c>
      <c r="H29" s="2">
        <f t="shared" si="0"/>
        <v>2565.2012000000004</v>
      </c>
      <c r="I29" s="2">
        <f t="shared" si="1"/>
        <v>102.43597083612761</v>
      </c>
      <c r="K29">
        <v>23.75</v>
      </c>
      <c r="L29">
        <v>2319.5149999999999</v>
      </c>
      <c r="M29">
        <v>2277.4119999999998</v>
      </c>
      <c r="N29">
        <v>2281.3560000000002</v>
      </c>
      <c r="O29">
        <v>2523.1570000000002</v>
      </c>
      <c r="P29">
        <v>2114.8919999999998</v>
      </c>
      <c r="R29" s="3">
        <f t="shared" si="2"/>
        <v>2303.2663999999995</v>
      </c>
      <c r="S29" s="3">
        <f t="shared" si="3"/>
        <v>65.28756511511213</v>
      </c>
    </row>
    <row r="30" spans="1:19" x14ac:dyDescent="0.25">
      <c r="A30">
        <v>25</v>
      </c>
      <c r="B30">
        <v>2510.0369999999998</v>
      </c>
      <c r="C30">
        <v>2521.2620000000002</v>
      </c>
      <c r="D30">
        <v>2334.8000000000002</v>
      </c>
      <c r="E30">
        <v>2699.6729999999998</v>
      </c>
      <c r="F30">
        <v>2943.183</v>
      </c>
      <c r="H30" s="2">
        <f t="shared" si="0"/>
        <v>2601.7910000000002</v>
      </c>
      <c r="I30" s="2">
        <f t="shared" si="1"/>
        <v>103.03331840380564</v>
      </c>
      <c r="K30">
        <v>25</v>
      </c>
      <c r="L30">
        <v>2348.8690000000001</v>
      </c>
      <c r="M30">
        <v>2310.5920000000001</v>
      </c>
      <c r="N30">
        <v>2302.23</v>
      </c>
      <c r="O30">
        <v>2574.0120000000002</v>
      </c>
      <c r="P30">
        <v>2147.3560000000002</v>
      </c>
      <c r="R30" s="3">
        <f t="shared" si="2"/>
        <v>2336.6118000000001</v>
      </c>
      <c r="S30" s="3">
        <f t="shared" si="3"/>
        <v>68.624336029137638</v>
      </c>
    </row>
    <row r="31" spans="1:19" x14ac:dyDescent="0.25">
      <c r="A31">
        <v>26.25</v>
      </c>
      <c r="B31">
        <v>2530.973</v>
      </c>
      <c r="C31">
        <v>2553.7060000000001</v>
      </c>
      <c r="D31">
        <v>2373.944</v>
      </c>
      <c r="E31">
        <v>2736.2809999999999</v>
      </c>
      <c r="F31">
        <v>2993.2269999999999</v>
      </c>
      <c r="H31" s="2">
        <f t="shared" si="0"/>
        <v>2637.6261999999997</v>
      </c>
      <c r="I31" s="2">
        <f t="shared" si="1"/>
        <v>105.86087713570105</v>
      </c>
      <c r="K31">
        <v>26.25</v>
      </c>
      <c r="L31">
        <v>2396.221</v>
      </c>
      <c r="M31">
        <v>2350.4340000000002</v>
      </c>
      <c r="N31">
        <v>2329.8139999999999</v>
      </c>
      <c r="O31">
        <v>2619.4189999999999</v>
      </c>
      <c r="P31">
        <v>2177.63</v>
      </c>
      <c r="R31" s="3">
        <f t="shared" si="2"/>
        <v>2374.7035999999998</v>
      </c>
      <c r="S31" s="3">
        <f t="shared" si="3"/>
        <v>71.340983659184246</v>
      </c>
    </row>
    <row r="32" spans="1:19" x14ac:dyDescent="0.25">
      <c r="A32">
        <v>27.5</v>
      </c>
      <c r="B32">
        <v>2525.9189999999999</v>
      </c>
      <c r="C32">
        <v>2572.4780000000001</v>
      </c>
      <c r="D32">
        <v>2387.2469999999998</v>
      </c>
      <c r="E32">
        <v>2746.0390000000002</v>
      </c>
      <c r="F32">
        <v>2998.6669999999999</v>
      </c>
      <c r="H32" s="2">
        <f t="shared" si="0"/>
        <v>2646.07</v>
      </c>
      <c r="I32" s="2">
        <f t="shared" si="1"/>
        <v>105.15698644502896</v>
      </c>
      <c r="K32">
        <v>27.5</v>
      </c>
      <c r="L32">
        <v>2410.549</v>
      </c>
      <c r="M32">
        <v>2377.0880000000002</v>
      </c>
      <c r="N32">
        <v>2346.2739999999999</v>
      </c>
      <c r="O32">
        <v>2625.5070000000001</v>
      </c>
      <c r="P32">
        <v>2208.6590000000001</v>
      </c>
      <c r="R32" s="3">
        <f t="shared" si="2"/>
        <v>2393.6153999999997</v>
      </c>
      <c r="S32" s="3">
        <f t="shared" si="3"/>
        <v>67.373471769384125</v>
      </c>
    </row>
    <row r="33" spans="1:19" x14ac:dyDescent="0.25">
      <c r="A33">
        <v>28.75</v>
      </c>
      <c r="B33">
        <v>2540.1759999999999</v>
      </c>
      <c r="C33">
        <v>2576.0079999999998</v>
      </c>
      <c r="D33">
        <v>2392.6419999999998</v>
      </c>
      <c r="E33">
        <v>2760.5259999999998</v>
      </c>
      <c r="F33">
        <v>2983.7359999999999</v>
      </c>
      <c r="H33" s="2">
        <f t="shared" si="0"/>
        <v>2650.6176</v>
      </c>
      <c r="I33" s="2">
        <f t="shared" si="1"/>
        <v>101.8241313312321</v>
      </c>
      <c r="K33">
        <v>28.75</v>
      </c>
      <c r="L33">
        <v>2412.567</v>
      </c>
      <c r="M33">
        <v>2390.2860000000001</v>
      </c>
      <c r="N33">
        <v>2361.9070000000002</v>
      </c>
      <c r="O33">
        <v>2627.8690000000001</v>
      </c>
      <c r="P33">
        <v>2234.1060000000002</v>
      </c>
      <c r="R33" s="3">
        <f t="shared" si="2"/>
        <v>2405.3470000000002</v>
      </c>
      <c r="S33" s="3">
        <f t="shared" si="3"/>
        <v>63.641777271694721</v>
      </c>
    </row>
    <row r="34" spans="1:19" x14ac:dyDescent="0.25">
      <c r="A34">
        <v>30</v>
      </c>
      <c r="B34">
        <v>2567.9169999999999</v>
      </c>
      <c r="C34">
        <v>2593.7800000000002</v>
      </c>
      <c r="D34">
        <v>2418.491</v>
      </c>
      <c r="E34">
        <v>2792.27</v>
      </c>
      <c r="F34">
        <v>3014.8119999999999</v>
      </c>
      <c r="H34" s="2">
        <f t="shared" si="0"/>
        <v>2677.4540000000002</v>
      </c>
      <c r="I34" s="2">
        <f t="shared" si="1"/>
        <v>103.21207827429886</v>
      </c>
      <c r="K34">
        <v>30</v>
      </c>
      <c r="L34">
        <v>2444.2089999999998</v>
      </c>
      <c r="M34">
        <v>2414.4299999999998</v>
      </c>
      <c r="N34">
        <v>2408.998</v>
      </c>
      <c r="O34">
        <v>2665.85</v>
      </c>
      <c r="P34">
        <v>2273.1619999999998</v>
      </c>
      <c r="R34" s="3">
        <f t="shared" si="2"/>
        <v>2441.3298</v>
      </c>
      <c r="S34" s="3">
        <f t="shared" si="3"/>
        <v>63.429868157201781</v>
      </c>
    </row>
    <row r="35" spans="1:19" x14ac:dyDescent="0.25">
      <c r="A35">
        <v>31.25</v>
      </c>
      <c r="B35">
        <v>2593.1869999999999</v>
      </c>
      <c r="C35">
        <v>2609.8589999999999</v>
      </c>
      <c r="D35">
        <v>2431.547</v>
      </c>
      <c r="E35">
        <v>2817.8310000000001</v>
      </c>
      <c r="F35">
        <v>3051.0970000000002</v>
      </c>
      <c r="H35" s="2">
        <f t="shared" si="0"/>
        <v>2700.7042000000001</v>
      </c>
      <c r="I35" s="2">
        <f t="shared" si="1"/>
        <v>106.94676211573686</v>
      </c>
      <c r="K35">
        <v>31.25</v>
      </c>
      <c r="L35">
        <v>2477.2890000000002</v>
      </c>
      <c r="M35">
        <v>2451.6579999999999</v>
      </c>
      <c r="N35">
        <v>2426.7449999999999</v>
      </c>
      <c r="O35">
        <v>2700.3139999999999</v>
      </c>
      <c r="P35">
        <v>2302.886</v>
      </c>
      <c r="R35" s="3">
        <f t="shared" si="2"/>
        <v>2471.7784000000001</v>
      </c>
      <c r="S35" s="3">
        <f t="shared" si="3"/>
        <v>64.504405884094453</v>
      </c>
    </row>
    <row r="36" spans="1:19" x14ac:dyDescent="0.25">
      <c r="A36">
        <v>32.5</v>
      </c>
      <c r="B36">
        <v>2595.2809999999999</v>
      </c>
      <c r="C36">
        <v>2603.2930000000001</v>
      </c>
      <c r="D36">
        <v>2427.1559999999999</v>
      </c>
      <c r="E36">
        <v>2816.8380000000002</v>
      </c>
      <c r="F36">
        <v>3057.748</v>
      </c>
      <c r="H36" s="2">
        <f t="shared" si="0"/>
        <v>2700.0632000000001</v>
      </c>
      <c r="I36" s="2">
        <f t="shared" si="1"/>
        <v>108.7191084682909</v>
      </c>
      <c r="K36">
        <v>32.5</v>
      </c>
      <c r="L36">
        <v>2451.306</v>
      </c>
      <c r="M36">
        <v>2460.623</v>
      </c>
      <c r="N36">
        <v>2400.433</v>
      </c>
      <c r="O36">
        <v>2701.2350000000001</v>
      </c>
      <c r="P36">
        <v>2303.2060000000001</v>
      </c>
      <c r="R36" s="3">
        <f t="shared" si="2"/>
        <v>2463.3606</v>
      </c>
      <c r="S36" s="3">
        <f t="shared" si="3"/>
        <v>65.706322661217314</v>
      </c>
    </row>
    <row r="37" spans="1:19" x14ac:dyDescent="0.25">
      <c r="A37">
        <v>33.75</v>
      </c>
      <c r="B37">
        <v>2587.7399999999998</v>
      </c>
      <c r="C37">
        <v>2604.0250000000001</v>
      </c>
      <c r="D37">
        <v>2436.1410000000001</v>
      </c>
      <c r="E37">
        <v>2812.1489999999999</v>
      </c>
      <c r="F37">
        <v>3039.8829999999998</v>
      </c>
      <c r="H37" s="2">
        <f t="shared" si="0"/>
        <v>2695.9875999999995</v>
      </c>
      <c r="I37" s="2">
        <f t="shared" si="1"/>
        <v>104.75028287007149</v>
      </c>
      <c r="K37">
        <v>33.75</v>
      </c>
      <c r="L37">
        <v>2432.0230000000001</v>
      </c>
      <c r="M37">
        <v>2449.509</v>
      </c>
      <c r="N37">
        <v>2402.4549999999999</v>
      </c>
      <c r="O37">
        <v>2698.297</v>
      </c>
      <c r="P37">
        <v>2307.7840000000001</v>
      </c>
      <c r="R37" s="3">
        <f t="shared" si="2"/>
        <v>2458.0135999999998</v>
      </c>
      <c r="S37" s="3">
        <f t="shared" si="3"/>
        <v>64.86125290772604</v>
      </c>
    </row>
    <row r="38" spans="1:19" x14ac:dyDescent="0.25">
      <c r="A38">
        <v>35</v>
      </c>
      <c r="B38">
        <v>2565.61</v>
      </c>
      <c r="C38">
        <v>2583.4209999999998</v>
      </c>
      <c r="D38">
        <v>2417.261</v>
      </c>
      <c r="E38">
        <v>2775.2579999999998</v>
      </c>
      <c r="F38">
        <v>3009.6790000000001</v>
      </c>
      <c r="H38" s="2">
        <f t="shared" si="0"/>
        <v>2670.2457999999997</v>
      </c>
      <c r="I38" s="2">
        <f t="shared" si="1"/>
        <v>102.15942564903152</v>
      </c>
      <c r="K38">
        <v>35</v>
      </c>
      <c r="L38">
        <v>2417.4609999999998</v>
      </c>
      <c r="M38">
        <v>2438.9699999999998</v>
      </c>
      <c r="N38">
        <v>2388.6799999999998</v>
      </c>
      <c r="O38">
        <v>2675.4490000000001</v>
      </c>
      <c r="P38">
        <v>2284.712</v>
      </c>
      <c r="R38" s="3">
        <f t="shared" si="2"/>
        <v>2441.0544</v>
      </c>
      <c r="S38" s="3">
        <f t="shared" si="3"/>
        <v>64.299240107951533</v>
      </c>
    </row>
    <row r="39" spans="1:19" x14ac:dyDescent="0.25">
      <c r="A39">
        <v>36.25</v>
      </c>
      <c r="B39">
        <v>2463.9409999999998</v>
      </c>
      <c r="C39">
        <v>2467.0100000000002</v>
      </c>
      <c r="D39">
        <v>2308.3679999999999</v>
      </c>
      <c r="E39">
        <v>2656.0650000000001</v>
      </c>
      <c r="F39">
        <v>2882.0079999999998</v>
      </c>
      <c r="H39" s="2">
        <f t="shared" si="0"/>
        <v>2555.4784</v>
      </c>
      <c r="I39" s="2">
        <f t="shared" si="1"/>
        <v>98.490747525135561</v>
      </c>
      <c r="K39">
        <v>36.25</v>
      </c>
      <c r="L39">
        <v>2325.652</v>
      </c>
      <c r="M39">
        <v>2343.1080000000002</v>
      </c>
      <c r="N39">
        <v>2285.4209999999998</v>
      </c>
      <c r="O39">
        <v>2557.8240000000001</v>
      </c>
      <c r="P39">
        <v>2183.6060000000002</v>
      </c>
      <c r="R39" s="3">
        <f t="shared" si="2"/>
        <v>2339.1222000000002</v>
      </c>
      <c r="S39" s="3">
        <f t="shared" si="3"/>
        <v>61.27679722243974</v>
      </c>
    </row>
    <row r="40" spans="1:19" x14ac:dyDescent="0.25">
      <c r="A40">
        <v>37.5</v>
      </c>
      <c r="B40">
        <v>2287.8809999999999</v>
      </c>
      <c r="C40">
        <v>2304.2260000000001</v>
      </c>
      <c r="D40">
        <v>2155.3429999999998</v>
      </c>
      <c r="E40">
        <v>2476.643</v>
      </c>
      <c r="F40">
        <v>2686.2330000000002</v>
      </c>
      <c r="H40" s="2">
        <f t="shared" si="0"/>
        <v>2382.0652</v>
      </c>
      <c r="I40" s="2">
        <f t="shared" si="1"/>
        <v>91.595734444569018</v>
      </c>
      <c r="K40">
        <v>37.5</v>
      </c>
      <c r="L40">
        <v>2153.6370000000002</v>
      </c>
      <c r="M40">
        <v>2174.6889999999999</v>
      </c>
      <c r="N40">
        <v>2113.8960000000002</v>
      </c>
      <c r="O40">
        <v>2370.4540000000002</v>
      </c>
      <c r="P40">
        <v>2031.972</v>
      </c>
      <c r="R40" s="3">
        <f t="shared" si="2"/>
        <v>2168.9295999999999</v>
      </c>
      <c r="S40" s="3">
        <f t="shared" si="3"/>
        <v>55.975530111469261</v>
      </c>
    </row>
    <row r="41" spans="1:19" x14ac:dyDescent="0.25">
      <c r="A41">
        <v>38.75</v>
      </c>
      <c r="B41">
        <v>2097.2269999999999</v>
      </c>
      <c r="C41">
        <v>2147.4009999999998</v>
      </c>
      <c r="D41">
        <v>1997.682</v>
      </c>
      <c r="E41">
        <v>2297.5360000000001</v>
      </c>
      <c r="F41">
        <v>2484.0160000000001</v>
      </c>
      <c r="H41" s="2">
        <f t="shared" si="0"/>
        <v>2204.7723999999998</v>
      </c>
      <c r="I41" s="2">
        <f t="shared" si="1"/>
        <v>84.948807524649837</v>
      </c>
      <c r="K41">
        <v>38.75</v>
      </c>
      <c r="L41">
        <v>1982.4870000000001</v>
      </c>
      <c r="M41">
        <v>2002.136</v>
      </c>
      <c r="N41">
        <v>1940.462</v>
      </c>
      <c r="O41">
        <v>2195.9920000000002</v>
      </c>
      <c r="P41">
        <v>1882.6320000000001</v>
      </c>
      <c r="R41" s="3">
        <f t="shared" si="2"/>
        <v>2000.7418000000002</v>
      </c>
      <c r="S41" s="3">
        <f t="shared" si="3"/>
        <v>52.934582864513089</v>
      </c>
    </row>
    <row r="42" spans="1:19" x14ac:dyDescent="0.25">
      <c r="A42">
        <v>40</v>
      </c>
      <c r="B42">
        <v>1999.556</v>
      </c>
      <c r="C42">
        <v>2051.0720000000001</v>
      </c>
      <c r="D42">
        <v>1913.915</v>
      </c>
      <c r="E42">
        <v>2200.5749999999998</v>
      </c>
      <c r="F42">
        <v>2377.6950000000002</v>
      </c>
      <c r="H42" s="2">
        <f t="shared" si="0"/>
        <v>2108.5626000000002</v>
      </c>
      <c r="I42" s="2">
        <f t="shared" si="1"/>
        <v>81.845533354362118</v>
      </c>
      <c r="K42">
        <v>40</v>
      </c>
      <c r="L42">
        <v>1888.761</v>
      </c>
      <c r="M42">
        <v>1906.2370000000001</v>
      </c>
      <c r="N42">
        <v>1835.068</v>
      </c>
      <c r="O42">
        <v>2094.1179999999999</v>
      </c>
      <c r="P42">
        <v>1801.3320000000001</v>
      </c>
      <c r="R42" s="3">
        <f t="shared" si="2"/>
        <v>1905.1032</v>
      </c>
      <c r="S42" s="3">
        <f t="shared" si="3"/>
        <v>50.827324743094607</v>
      </c>
    </row>
    <row r="43" spans="1:19" x14ac:dyDescent="0.25">
      <c r="A43">
        <v>41.25</v>
      </c>
      <c r="B43">
        <v>1947.5160000000001</v>
      </c>
      <c r="C43">
        <v>2004.6130000000001</v>
      </c>
      <c r="D43">
        <v>1878.826</v>
      </c>
      <c r="E43">
        <v>2164.3330000000001</v>
      </c>
      <c r="F43">
        <v>2343.8530000000001</v>
      </c>
      <c r="H43" s="2">
        <f t="shared" si="0"/>
        <v>2067.8281999999999</v>
      </c>
      <c r="I43" s="2">
        <f t="shared" si="1"/>
        <v>83.575081580217443</v>
      </c>
      <c r="K43">
        <v>41.25</v>
      </c>
      <c r="L43">
        <v>1829.473</v>
      </c>
      <c r="M43">
        <v>1877.5119999999999</v>
      </c>
      <c r="N43">
        <v>1786.7560000000001</v>
      </c>
      <c r="O43">
        <v>2057.8020000000001</v>
      </c>
      <c r="P43">
        <v>1756.386</v>
      </c>
      <c r="R43" s="3">
        <f t="shared" si="2"/>
        <v>1861.5858000000001</v>
      </c>
      <c r="S43" s="3">
        <f t="shared" si="3"/>
        <v>53.128226867080762</v>
      </c>
    </row>
    <row r="44" spans="1:19" x14ac:dyDescent="0.25">
      <c r="A44">
        <v>42.5</v>
      </c>
      <c r="B44">
        <v>1926.924</v>
      </c>
      <c r="C44">
        <v>1996.6759999999999</v>
      </c>
      <c r="D44">
        <v>1874.2429999999999</v>
      </c>
      <c r="E44">
        <v>2150.1329999999998</v>
      </c>
      <c r="F44">
        <v>2331.576</v>
      </c>
      <c r="H44" s="2">
        <f t="shared" si="0"/>
        <v>2055.9103999999998</v>
      </c>
      <c r="I44" s="2">
        <f t="shared" si="1"/>
        <v>83.071857787460132</v>
      </c>
      <c r="K44">
        <v>42.5</v>
      </c>
      <c r="L44">
        <v>1831.34</v>
      </c>
      <c r="M44">
        <v>1874.5809999999999</v>
      </c>
      <c r="N44">
        <v>1786.979</v>
      </c>
      <c r="O44">
        <v>2038.93</v>
      </c>
      <c r="P44">
        <v>1748.595</v>
      </c>
      <c r="R44" s="3">
        <f t="shared" si="2"/>
        <v>1856.0849999999998</v>
      </c>
      <c r="S44" s="3">
        <f t="shared" si="3"/>
        <v>50.356951060404761</v>
      </c>
    </row>
    <row r="45" spans="1:19" x14ac:dyDescent="0.25">
      <c r="A45">
        <v>43.75</v>
      </c>
      <c r="B45">
        <v>1931.1289999999999</v>
      </c>
      <c r="C45">
        <v>2014.85</v>
      </c>
      <c r="D45">
        <v>1888.9069999999999</v>
      </c>
      <c r="E45">
        <v>2165.0450000000001</v>
      </c>
      <c r="F45">
        <v>2337.877</v>
      </c>
      <c r="H45" s="2">
        <f t="shared" si="0"/>
        <v>2067.5616</v>
      </c>
      <c r="I45" s="2">
        <f t="shared" si="1"/>
        <v>82.426713500903347</v>
      </c>
      <c r="K45">
        <v>43.75</v>
      </c>
      <c r="L45">
        <v>1847.336</v>
      </c>
      <c r="M45">
        <v>1878.162</v>
      </c>
      <c r="N45">
        <v>1821.4179999999999</v>
      </c>
      <c r="O45">
        <v>2038.8520000000001</v>
      </c>
      <c r="P45">
        <v>1767.954</v>
      </c>
      <c r="R45" s="3">
        <f t="shared" si="2"/>
        <v>1870.7444</v>
      </c>
      <c r="S45" s="3">
        <f t="shared" si="3"/>
        <v>45.750464056225724</v>
      </c>
    </row>
    <row r="46" spans="1:19" x14ac:dyDescent="0.25">
      <c r="A46">
        <v>45</v>
      </c>
      <c r="B46">
        <v>1953.625</v>
      </c>
      <c r="C46">
        <v>2037.6869999999999</v>
      </c>
      <c r="D46">
        <v>1930.3040000000001</v>
      </c>
      <c r="E46">
        <v>2217.0039999999999</v>
      </c>
      <c r="F46">
        <v>2382.8850000000002</v>
      </c>
      <c r="H46" s="2">
        <f t="shared" si="0"/>
        <v>2104.3010000000004</v>
      </c>
      <c r="I46" s="2">
        <f t="shared" si="1"/>
        <v>85.943775006105014</v>
      </c>
      <c r="K46">
        <v>45</v>
      </c>
      <c r="L46">
        <v>1874.346</v>
      </c>
      <c r="M46">
        <v>1908.3879999999999</v>
      </c>
      <c r="N46">
        <v>1830.874</v>
      </c>
      <c r="O46">
        <v>2072.2269999999999</v>
      </c>
      <c r="P46">
        <v>1803.252</v>
      </c>
      <c r="R46" s="3">
        <f t="shared" si="2"/>
        <v>1897.8173999999999</v>
      </c>
      <c r="S46" s="3">
        <f t="shared" si="3"/>
        <v>47.172760389445067</v>
      </c>
    </row>
    <row r="47" spans="1:19" x14ac:dyDescent="0.25">
      <c r="A47">
        <v>46.25</v>
      </c>
      <c r="B47">
        <v>2000.173</v>
      </c>
      <c r="C47">
        <v>2101.7080000000001</v>
      </c>
      <c r="D47">
        <v>2008.4580000000001</v>
      </c>
      <c r="E47">
        <v>2302.1869999999999</v>
      </c>
      <c r="F47">
        <v>2471.0010000000002</v>
      </c>
      <c r="H47" s="2">
        <f t="shared" si="0"/>
        <v>2176.7053999999998</v>
      </c>
      <c r="I47" s="2">
        <f t="shared" si="1"/>
        <v>91.501644242385069</v>
      </c>
      <c r="K47">
        <v>46.25</v>
      </c>
      <c r="L47">
        <v>1930.9459999999999</v>
      </c>
      <c r="M47">
        <v>1996.145</v>
      </c>
      <c r="N47">
        <v>1895.8710000000001</v>
      </c>
      <c r="O47">
        <v>2151.797</v>
      </c>
      <c r="P47">
        <v>1871.539</v>
      </c>
      <c r="R47" s="3">
        <f t="shared" si="2"/>
        <v>1969.2596000000001</v>
      </c>
      <c r="S47" s="3">
        <f t="shared" si="3"/>
        <v>50.222435898311417</v>
      </c>
    </row>
    <row r="48" spans="1:19" x14ac:dyDescent="0.25">
      <c r="A48">
        <v>47.5</v>
      </c>
      <c r="B48">
        <v>2086.558</v>
      </c>
      <c r="C48">
        <v>2214.0030000000002</v>
      </c>
      <c r="D48">
        <v>2106.5410000000002</v>
      </c>
      <c r="E48">
        <v>2404.1019999999999</v>
      </c>
      <c r="F48">
        <v>2592.0309999999999</v>
      </c>
      <c r="H48" s="2">
        <f t="shared" si="0"/>
        <v>2280.6469999999999</v>
      </c>
      <c r="I48" s="2">
        <f t="shared" si="1"/>
        <v>96.079652990110205</v>
      </c>
      <c r="K48">
        <v>47.5</v>
      </c>
      <c r="L48">
        <v>2027.8030000000001</v>
      </c>
      <c r="M48">
        <v>2102.0169999999998</v>
      </c>
      <c r="N48">
        <v>1998.509</v>
      </c>
      <c r="O48">
        <v>2305.1509999999998</v>
      </c>
      <c r="P48">
        <v>1974.9929999999999</v>
      </c>
      <c r="R48" s="3">
        <f t="shared" si="2"/>
        <v>2081.6945999999998</v>
      </c>
      <c r="S48" s="3">
        <f t="shared" si="3"/>
        <v>59.814355585929327</v>
      </c>
    </row>
    <row r="49" spans="1:19" x14ac:dyDescent="0.25">
      <c r="A49">
        <v>48.75</v>
      </c>
      <c r="B49">
        <v>2171.9459999999999</v>
      </c>
      <c r="C49">
        <v>2287.16</v>
      </c>
      <c r="D49">
        <v>2168.7159999999999</v>
      </c>
      <c r="E49">
        <v>2478.752</v>
      </c>
      <c r="F49">
        <v>2661.471</v>
      </c>
      <c r="H49" s="2">
        <f t="shared" si="0"/>
        <v>2353.6089999999999</v>
      </c>
      <c r="I49" s="2">
        <f t="shared" si="1"/>
        <v>95.404957447713386</v>
      </c>
      <c r="K49">
        <v>48.75</v>
      </c>
      <c r="L49">
        <v>2099.598</v>
      </c>
      <c r="M49">
        <v>2169.39</v>
      </c>
      <c r="N49">
        <v>2070.3620000000001</v>
      </c>
      <c r="O49">
        <v>2399.8780000000002</v>
      </c>
      <c r="P49">
        <v>2038.1610000000001</v>
      </c>
      <c r="R49" s="3">
        <f t="shared" si="2"/>
        <v>2155.4777999999997</v>
      </c>
      <c r="S49" s="3">
        <f t="shared" si="3"/>
        <v>64.828809216582101</v>
      </c>
    </row>
    <row r="50" spans="1:19" x14ac:dyDescent="0.25">
      <c r="A50">
        <v>50</v>
      </c>
      <c r="B50">
        <v>2205.723</v>
      </c>
      <c r="C50">
        <v>2331.0720000000001</v>
      </c>
      <c r="D50">
        <v>2216.0010000000002</v>
      </c>
      <c r="E50">
        <v>2540.5929999999998</v>
      </c>
      <c r="F50">
        <v>2715.2089999999998</v>
      </c>
      <c r="H50" s="2">
        <f t="shared" si="0"/>
        <v>2401.7195999999994</v>
      </c>
      <c r="I50" s="2">
        <f t="shared" si="1"/>
        <v>98.858124128267704</v>
      </c>
      <c r="K50">
        <v>50</v>
      </c>
      <c r="L50">
        <v>2134.8029999999999</v>
      </c>
      <c r="M50">
        <v>2197.4290000000001</v>
      </c>
      <c r="N50">
        <v>2111.0549999999998</v>
      </c>
      <c r="O50">
        <v>2432.0740000000001</v>
      </c>
      <c r="P50">
        <v>2072.0920000000001</v>
      </c>
      <c r="R50" s="3">
        <f t="shared" si="2"/>
        <v>2189.4906000000001</v>
      </c>
      <c r="S50" s="3">
        <f t="shared" si="3"/>
        <v>63.966800910003329</v>
      </c>
    </row>
    <row r="51" spans="1:19" x14ac:dyDescent="0.25">
      <c r="A51">
        <v>51.25</v>
      </c>
      <c r="B51">
        <v>2273.4560000000001</v>
      </c>
      <c r="C51">
        <v>2390.7829999999999</v>
      </c>
      <c r="D51">
        <v>2274.9079999999999</v>
      </c>
      <c r="E51">
        <v>2597.7460000000001</v>
      </c>
      <c r="F51">
        <v>2809.616</v>
      </c>
      <c r="H51" s="2">
        <f t="shared" si="0"/>
        <v>2469.3018000000002</v>
      </c>
      <c r="I51" s="2">
        <f t="shared" si="1"/>
        <v>103.5908770222552</v>
      </c>
      <c r="K51">
        <v>51.25</v>
      </c>
      <c r="L51">
        <v>2210.9870000000001</v>
      </c>
      <c r="M51">
        <v>2253.0410000000002</v>
      </c>
      <c r="N51">
        <v>2151.2190000000001</v>
      </c>
      <c r="O51">
        <v>2493.9</v>
      </c>
      <c r="P51">
        <v>2117.8710000000001</v>
      </c>
      <c r="R51" s="3">
        <f t="shared" si="2"/>
        <v>2245.4036000000001</v>
      </c>
      <c r="S51" s="3">
        <f t="shared" si="3"/>
        <v>66.380944550074005</v>
      </c>
    </row>
    <row r="52" spans="1:19" x14ac:dyDescent="0.25">
      <c r="A52">
        <v>52.5</v>
      </c>
      <c r="B52">
        <v>2342.48</v>
      </c>
      <c r="C52">
        <v>2430.4119999999998</v>
      </c>
      <c r="D52">
        <v>2325.1889999999999</v>
      </c>
      <c r="E52">
        <v>2649.8490000000002</v>
      </c>
      <c r="F52">
        <v>2856.7629999999999</v>
      </c>
      <c r="H52" s="2">
        <f t="shared" si="0"/>
        <v>2520.9386</v>
      </c>
      <c r="I52" s="2">
        <f t="shared" si="1"/>
        <v>101.92064608929833</v>
      </c>
      <c r="K52">
        <v>52.5</v>
      </c>
      <c r="L52">
        <v>2249.2420000000002</v>
      </c>
      <c r="M52">
        <v>2314.6239999999998</v>
      </c>
      <c r="N52">
        <v>2181.9029999999998</v>
      </c>
      <c r="O52">
        <v>2535.9650000000001</v>
      </c>
      <c r="P52">
        <v>2159.66</v>
      </c>
      <c r="R52" s="3">
        <f t="shared" si="2"/>
        <v>2288.2788</v>
      </c>
      <c r="S52" s="3">
        <f t="shared" si="3"/>
        <v>67.611020376415013</v>
      </c>
    </row>
    <row r="53" spans="1:19" x14ac:dyDescent="0.25">
      <c r="A53">
        <v>53.75</v>
      </c>
      <c r="B53">
        <v>2362.5839999999998</v>
      </c>
      <c r="C53">
        <v>2446.1790000000001</v>
      </c>
      <c r="D53">
        <v>2419.6390000000001</v>
      </c>
      <c r="E53">
        <v>2750.3240000000001</v>
      </c>
      <c r="F53">
        <v>2879.2170000000001</v>
      </c>
      <c r="H53" s="2">
        <f t="shared" si="0"/>
        <v>2571.5886</v>
      </c>
      <c r="I53" s="2">
        <f t="shared" si="1"/>
        <v>102.24498697569483</v>
      </c>
      <c r="K53">
        <v>53.75</v>
      </c>
      <c r="L53">
        <v>2237.4349999999999</v>
      </c>
      <c r="M53">
        <v>2382.4259999999999</v>
      </c>
      <c r="N53">
        <v>2198.1550000000002</v>
      </c>
      <c r="O53">
        <v>2559.5549999999998</v>
      </c>
      <c r="P53">
        <v>2184.3420000000001</v>
      </c>
      <c r="R53" s="3">
        <f t="shared" si="2"/>
        <v>2312.3825999999999</v>
      </c>
      <c r="S53" s="3">
        <f t="shared" si="3"/>
        <v>71.084370926807765</v>
      </c>
    </row>
    <row r="54" spans="1:19" x14ac:dyDescent="0.25">
      <c r="A54">
        <v>55</v>
      </c>
      <c r="B54">
        <v>2311.9029999999998</v>
      </c>
      <c r="C54">
        <v>2427.7750000000001</v>
      </c>
      <c r="D54">
        <v>2467.884</v>
      </c>
      <c r="E54">
        <v>2777.0210000000002</v>
      </c>
      <c r="F54">
        <v>2866.4160000000002</v>
      </c>
      <c r="H54" s="2">
        <f t="shared" si="0"/>
        <v>2570.1997999999999</v>
      </c>
      <c r="I54" s="2">
        <f t="shared" si="1"/>
        <v>106.76835425040517</v>
      </c>
      <c r="K54">
        <v>55</v>
      </c>
      <c r="L54">
        <v>2216.471</v>
      </c>
      <c r="M54">
        <v>2406.0680000000002</v>
      </c>
      <c r="N54">
        <v>2180.846</v>
      </c>
      <c r="O54">
        <v>2534.288</v>
      </c>
      <c r="P54">
        <v>2187.9740000000002</v>
      </c>
      <c r="R54" s="3">
        <f t="shared" si="2"/>
        <v>2305.1294000000003</v>
      </c>
      <c r="S54" s="3">
        <f t="shared" si="3"/>
        <v>70.616686441378718</v>
      </c>
    </row>
    <row r="55" spans="1:19" x14ac:dyDescent="0.25">
      <c r="A55">
        <v>56.25</v>
      </c>
      <c r="B55">
        <v>2186.8200000000002</v>
      </c>
      <c r="C55">
        <v>2318.3209999999999</v>
      </c>
      <c r="D55">
        <v>2447.5189999999998</v>
      </c>
      <c r="E55">
        <v>2698.6750000000002</v>
      </c>
      <c r="F55">
        <v>2762.8310000000001</v>
      </c>
      <c r="H55" s="2">
        <f t="shared" si="0"/>
        <v>2482.8332</v>
      </c>
      <c r="I55" s="2">
        <f t="shared" si="1"/>
        <v>109.75464042053075</v>
      </c>
      <c r="K55">
        <v>56.25</v>
      </c>
      <c r="L55">
        <v>2125.6779999999999</v>
      </c>
      <c r="M55">
        <v>2318.7570000000001</v>
      </c>
      <c r="N55">
        <v>2064.1379999999999</v>
      </c>
      <c r="O55">
        <v>2419.4059999999999</v>
      </c>
      <c r="P55">
        <v>2101.1120000000001</v>
      </c>
      <c r="R55" s="3">
        <f t="shared" si="2"/>
        <v>2205.8182000000002</v>
      </c>
      <c r="S55" s="3">
        <f t="shared" si="3"/>
        <v>69.222120706028647</v>
      </c>
    </row>
    <row r="56" spans="1:19" x14ac:dyDescent="0.25">
      <c r="A56">
        <v>57.5</v>
      </c>
      <c r="B56">
        <v>2008.433</v>
      </c>
      <c r="C56">
        <v>2164.7350000000001</v>
      </c>
      <c r="D56">
        <v>2371.06</v>
      </c>
      <c r="E56">
        <v>2573.4299999999998</v>
      </c>
      <c r="F56">
        <v>2575.4569999999999</v>
      </c>
      <c r="H56" s="2">
        <f t="shared" si="0"/>
        <v>2338.623</v>
      </c>
      <c r="I56" s="2">
        <f t="shared" si="1"/>
        <v>112.14706915876131</v>
      </c>
      <c r="K56">
        <v>57.5</v>
      </c>
      <c r="L56">
        <v>1979.0219999999999</v>
      </c>
      <c r="M56">
        <v>2180.9229999999998</v>
      </c>
      <c r="N56">
        <v>1902.6110000000001</v>
      </c>
      <c r="O56">
        <v>2258.654</v>
      </c>
      <c r="P56">
        <v>1960.6369999999999</v>
      </c>
      <c r="R56" s="3">
        <f t="shared" si="2"/>
        <v>2056.3694</v>
      </c>
      <c r="S56" s="3">
        <f t="shared" si="3"/>
        <v>69.000585844324505</v>
      </c>
    </row>
    <row r="57" spans="1:19" x14ac:dyDescent="0.25">
      <c r="A57">
        <v>58.75</v>
      </c>
      <c r="B57">
        <v>1840.4449999999999</v>
      </c>
      <c r="C57">
        <v>2045.1410000000001</v>
      </c>
      <c r="D57">
        <v>2296.8809999999999</v>
      </c>
      <c r="E57">
        <v>2488.5729999999999</v>
      </c>
      <c r="F57">
        <v>2438.4189999999999</v>
      </c>
      <c r="H57" s="2">
        <f t="shared" si="0"/>
        <v>2221.8918000000003</v>
      </c>
      <c r="I57" s="2">
        <f t="shared" si="1"/>
        <v>122.54974039564433</v>
      </c>
      <c r="K57">
        <v>58.75</v>
      </c>
      <c r="L57">
        <v>1855.7080000000001</v>
      </c>
      <c r="M57">
        <v>2073.7280000000001</v>
      </c>
      <c r="N57">
        <v>1782.854</v>
      </c>
      <c r="O57">
        <v>2112.7089999999998</v>
      </c>
      <c r="P57">
        <v>1852.825</v>
      </c>
      <c r="R57" s="3">
        <f t="shared" si="2"/>
        <v>1935.5648000000001</v>
      </c>
      <c r="S57" s="3">
        <f t="shared" si="3"/>
        <v>65.959346902012271</v>
      </c>
    </row>
    <row r="58" spans="1:19" x14ac:dyDescent="0.25">
      <c r="A58">
        <v>60</v>
      </c>
      <c r="B58">
        <v>1738.1120000000001</v>
      </c>
      <c r="C58">
        <v>1969.4680000000001</v>
      </c>
      <c r="D58">
        <v>2227.6799999999998</v>
      </c>
      <c r="E58">
        <v>2417.0320000000002</v>
      </c>
      <c r="F58">
        <v>2366.1579999999999</v>
      </c>
      <c r="H58" s="2">
        <f t="shared" si="0"/>
        <v>2143.69</v>
      </c>
      <c r="I58" s="2">
        <f t="shared" si="1"/>
        <v>127.69279530498179</v>
      </c>
      <c r="K58">
        <v>60</v>
      </c>
      <c r="L58">
        <v>1771.71</v>
      </c>
      <c r="M58">
        <v>2023.182</v>
      </c>
      <c r="N58">
        <v>1677.9770000000001</v>
      </c>
      <c r="O58">
        <v>2007.3420000000001</v>
      </c>
      <c r="P58">
        <v>1778.5989999999999</v>
      </c>
      <c r="R58" s="3">
        <f t="shared" si="2"/>
        <v>1851.7619999999999</v>
      </c>
      <c r="S58" s="3">
        <f t="shared" si="3"/>
        <v>69.120303203183369</v>
      </c>
    </row>
    <row r="59" spans="1:19" x14ac:dyDescent="0.25">
      <c r="A59">
        <v>61.25</v>
      </c>
      <c r="B59">
        <v>1679.0730000000001</v>
      </c>
      <c r="C59">
        <v>1906.944</v>
      </c>
      <c r="D59">
        <v>2184.2750000000001</v>
      </c>
      <c r="E59">
        <v>2345.2869999999998</v>
      </c>
      <c r="F59">
        <v>2292.58</v>
      </c>
      <c r="H59" s="2">
        <f t="shared" si="0"/>
        <v>2081.6318000000001</v>
      </c>
      <c r="I59" s="2">
        <f t="shared" si="1"/>
        <v>125.9202622699777</v>
      </c>
      <c r="K59">
        <v>61.25</v>
      </c>
      <c r="L59">
        <v>1704.616</v>
      </c>
      <c r="M59">
        <v>1978.6759999999999</v>
      </c>
      <c r="N59">
        <v>1629.7449999999999</v>
      </c>
      <c r="O59">
        <v>1915.95</v>
      </c>
      <c r="P59">
        <v>1723.875</v>
      </c>
      <c r="R59" s="3">
        <f t="shared" si="2"/>
        <v>1790.5724000000002</v>
      </c>
      <c r="S59" s="3">
        <f t="shared" si="3"/>
        <v>66.635202923529846</v>
      </c>
    </row>
    <row r="60" spans="1:19" x14ac:dyDescent="0.25">
      <c r="A60">
        <v>62.5</v>
      </c>
      <c r="B60">
        <v>1639.1659999999999</v>
      </c>
      <c r="C60">
        <v>1845.778</v>
      </c>
      <c r="D60">
        <v>2141.2199999999998</v>
      </c>
      <c r="E60">
        <v>2293.0839999999998</v>
      </c>
      <c r="F60">
        <v>2204.2240000000002</v>
      </c>
      <c r="H60" s="2">
        <f t="shared" si="0"/>
        <v>2024.6943999999999</v>
      </c>
      <c r="I60" s="2">
        <f t="shared" si="1"/>
        <v>122.16490811914817</v>
      </c>
      <c r="K60">
        <v>62.5</v>
      </c>
      <c r="L60">
        <v>1644.49</v>
      </c>
      <c r="M60">
        <v>1910.501</v>
      </c>
      <c r="N60">
        <v>1604.732</v>
      </c>
      <c r="O60">
        <v>1885.316</v>
      </c>
      <c r="P60">
        <v>1677.57</v>
      </c>
      <c r="R60" s="3">
        <f t="shared" si="2"/>
        <v>1744.5218</v>
      </c>
      <c r="S60" s="3">
        <f t="shared" si="3"/>
        <v>63.79741150893193</v>
      </c>
    </row>
    <row r="61" spans="1:19" x14ac:dyDescent="0.25">
      <c r="A61">
        <v>63.75</v>
      </c>
      <c r="B61">
        <v>1602.393</v>
      </c>
      <c r="C61">
        <v>1814.5740000000001</v>
      </c>
      <c r="D61">
        <v>2083.6799999999998</v>
      </c>
      <c r="E61">
        <v>2239.114</v>
      </c>
      <c r="F61">
        <v>2146.13</v>
      </c>
      <c r="H61" s="2">
        <f t="shared" si="0"/>
        <v>1977.1781999999998</v>
      </c>
      <c r="I61" s="2">
        <f t="shared" si="1"/>
        <v>117.34602239632983</v>
      </c>
      <c r="K61">
        <v>63.75</v>
      </c>
      <c r="L61">
        <v>1622.2170000000001</v>
      </c>
      <c r="M61">
        <v>1844.93</v>
      </c>
      <c r="N61">
        <v>1564.404</v>
      </c>
      <c r="O61">
        <v>1840.0619999999999</v>
      </c>
      <c r="P61">
        <v>1640.075</v>
      </c>
      <c r="R61" s="3">
        <f t="shared" si="2"/>
        <v>1702.3376000000001</v>
      </c>
      <c r="S61" s="3">
        <f t="shared" si="3"/>
        <v>58.575687279450655</v>
      </c>
    </row>
    <row r="62" spans="1:19" x14ac:dyDescent="0.25">
      <c r="A62">
        <v>65</v>
      </c>
      <c r="B62">
        <v>1584.8510000000001</v>
      </c>
      <c r="C62">
        <v>1776.5930000000001</v>
      </c>
      <c r="D62">
        <v>2011.93</v>
      </c>
      <c r="E62">
        <v>2170.88</v>
      </c>
      <c r="F62">
        <v>2096.143</v>
      </c>
      <c r="H62" s="2">
        <f t="shared" si="0"/>
        <v>1928.0794000000001</v>
      </c>
      <c r="I62" s="2">
        <f t="shared" si="1"/>
        <v>108.39333283860189</v>
      </c>
      <c r="K62">
        <v>65</v>
      </c>
      <c r="L62">
        <v>1608.181</v>
      </c>
      <c r="M62">
        <v>1792.1010000000001</v>
      </c>
      <c r="N62">
        <v>1472.3589999999999</v>
      </c>
      <c r="O62">
        <v>1804.8620000000001</v>
      </c>
      <c r="P62">
        <v>1612.1079999999999</v>
      </c>
      <c r="R62" s="3">
        <f t="shared" si="2"/>
        <v>1657.9221999999997</v>
      </c>
      <c r="S62" s="3">
        <f t="shared" si="3"/>
        <v>62.690543260845999</v>
      </c>
    </row>
    <row r="63" spans="1:19" x14ac:dyDescent="0.25">
      <c r="A63">
        <v>66.25</v>
      </c>
      <c r="B63">
        <v>1561.922</v>
      </c>
      <c r="C63">
        <v>1726.4090000000001</v>
      </c>
      <c r="D63">
        <v>1919.3040000000001</v>
      </c>
      <c r="E63">
        <v>2086.509</v>
      </c>
      <c r="F63">
        <v>2048.2860000000001</v>
      </c>
      <c r="H63" s="2">
        <f t="shared" si="0"/>
        <v>1868.4860000000001</v>
      </c>
      <c r="I63" s="2">
        <f t="shared" si="1"/>
        <v>99.149356447231341</v>
      </c>
      <c r="K63">
        <v>66.25</v>
      </c>
      <c r="L63">
        <v>1572.6949999999999</v>
      </c>
      <c r="M63">
        <v>1731.944</v>
      </c>
      <c r="N63">
        <v>1393.819</v>
      </c>
      <c r="O63">
        <v>1752.3430000000001</v>
      </c>
      <c r="P63">
        <v>1580.9780000000001</v>
      </c>
      <c r="R63" s="3">
        <f t="shared" si="2"/>
        <v>1606.3558</v>
      </c>
      <c r="S63" s="3">
        <f t="shared" si="3"/>
        <v>64.820379544862291</v>
      </c>
    </row>
    <row r="64" spans="1:19" x14ac:dyDescent="0.25">
      <c r="A64">
        <v>67.5</v>
      </c>
      <c r="B64">
        <v>1544.5740000000001</v>
      </c>
      <c r="C64">
        <v>1675.835</v>
      </c>
      <c r="D64">
        <v>1805.2260000000001</v>
      </c>
      <c r="E64">
        <v>1994.9110000000001</v>
      </c>
      <c r="F64">
        <v>1992.088</v>
      </c>
      <c r="H64" s="2">
        <f t="shared" si="0"/>
        <v>1802.5268000000001</v>
      </c>
      <c r="I64" s="2">
        <f t="shared" si="1"/>
        <v>88.188115370156297</v>
      </c>
      <c r="K64">
        <v>67.5</v>
      </c>
      <c r="L64">
        <v>1513.424</v>
      </c>
      <c r="M64">
        <v>1644.492</v>
      </c>
      <c r="N64">
        <v>1401.973</v>
      </c>
      <c r="O64">
        <v>1656.1489999999999</v>
      </c>
      <c r="P64">
        <v>1534.9090000000001</v>
      </c>
      <c r="R64" s="3">
        <f t="shared" si="2"/>
        <v>1550.1894</v>
      </c>
      <c r="S64" s="3">
        <f t="shared" si="3"/>
        <v>46.729917445465269</v>
      </c>
    </row>
    <row r="65" spans="1:19" x14ac:dyDescent="0.25">
      <c r="A65">
        <v>68.75</v>
      </c>
      <c r="B65">
        <v>1527.597</v>
      </c>
      <c r="C65">
        <v>1629.8409999999999</v>
      </c>
      <c r="D65">
        <v>1665.0119999999999</v>
      </c>
      <c r="E65">
        <v>1877.962</v>
      </c>
      <c r="F65">
        <v>1919.9849999999999</v>
      </c>
      <c r="H65" s="2">
        <f t="shared" si="0"/>
        <v>1724.0794000000001</v>
      </c>
      <c r="I65" s="2">
        <f t="shared" si="1"/>
        <v>75.177797913080695</v>
      </c>
      <c r="K65">
        <v>68.75</v>
      </c>
      <c r="L65">
        <v>1447.5519999999999</v>
      </c>
      <c r="M65">
        <v>1560.65</v>
      </c>
      <c r="N65">
        <v>1384.9</v>
      </c>
      <c r="O65">
        <v>1603.8969999999999</v>
      </c>
      <c r="P65">
        <v>1485.9849999999999</v>
      </c>
      <c r="R65" s="3">
        <f t="shared" si="2"/>
        <v>1496.5968</v>
      </c>
      <c r="S65" s="3">
        <f t="shared" si="3"/>
        <v>39.121811810548849</v>
      </c>
    </row>
    <row r="66" spans="1:19" x14ac:dyDescent="0.25">
      <c r="A66">
        <v>70</v>
      </c>
      <c r="B66">
        <v>1504.704</v>
      </c>
      <c r="C66">
        <v>1602.87</v>
      </c>
      <c r="D66">
        <v>1560.2439999999999</v>
      </c>
      <c r="E66">
        <v>1781.732</v>
      </c>
      <c r="F66">
        <v>1883.2070000000001</v>
      </c>
      <c r="H66" s="2">
        <f t="shared" si="0"/>
        <v>1666.5513999999998</v>
      </c>
      <c r="I66" s="2">
        <f t="shared" si="1"/>
        <v>71.329301312714435</v>
      </c>
      <c r="K66">
        <v>70</v>
      </c>
      <c r="L66">
        <v>1401.5840000000001</v>
      </c>
      <c r="M66">
        <v>1520.232</v>
      </c>
      <c r="N66">
        <v>1346.604</v>
      </c>
      <c r="O66">
        <v>1582.127</v>
      </c>
      <c r="P66">
        <v>1463.6389999999999</v>
      </c>
      <c r="R66" s="3">
        <f t="shared" si="2"/>
        <v>1462.8372000000002</v>
      </c>
      <c r="S66" s="3">
        <f t="shared" si="3"/>
        <v>41.705499413626477</v>
      </c>
    </row>
    <row r="67" spans="1:19" x14ac:dyDescent="0.25">
      <c r="A67">
        <v>71.25</v>
      </c>
      <c r="B67">
        <v>1488.943</v>
      </c>
      <c r="C67">
        <v>1585.732</v>
      </c>
      <c r="D67">
        <v>1526.2139999999999</v>
      </c>
      <c r="E67">
        <v>1746.739</v>
      </c>
      <c r="F67">
        <v>1860.174</v>
      </c>
      <c r="H67" s="2">
        <f t="shared" si="0"/>
        <v>1641.5603999999998</v>
      </c>
      <c r="I67" s="2">
        <f t="shared" si="1"/>
        <v>70.202605729844535</v>
      </c>
      <c r="K67">
        <v>71.25</v>
      </c>
      <c r="L67">
        <v>1380.2080000000001</v>
      </c>
      <c r="M67">
        <v>1506.777</v>
      </c>
      <c r="N67">
        <v>1321.56</v>
      </c>
      <c r="O67">
        <v>1591.9880000000001</v>
      </c>
      <c r="P67">
        <v>1454.6220000000001</v>
      </c>
      <c r="R67" s="3">
        <f t="shared" si="2"/>
        <v>1451.0310000000002</v>
      </c>
      <c r="S67" s="3">
        <f t="shared" si="3"/>
        <v>47.311745273240568</v>
      </c>
    </row>
    <row r="68" spans="1:19" x14ac:dyDescent="0.25">
      <c r="A68">
        <v>72.5</v>
      </c>
      <c r="B68">
        <v>1478.0440000000001</v>
      </c>
      <c r="C68">
        <v>1578.65</v>
      </c>
      <c r="D68">
        <v>1525.35</v>
      </c>
      <c r="E68">
        <v>1741.521</v>
      </c>
      <c r="F68">
        <v>1844.2909999999999</v>
      </c>
      <c r="H68" s="2">
        <f t="shared" si="0"/>
        <v>1633.5711999999999</v>
      </c>
      <c r="I68" s="2">
        <f t="shared" si="1"/>
        <v>68.910401867497455</v>
      </c>
      <c r="K68">
        <v>72.5</v>
      </c>
      <c r="L68">
        <v>1363.2539999999999</v>
      </c>
      <c r="M68">
        <v>1506.345</v>
      </c>
      <c r="N68">
        <v>1331.508</v>
      </c>
      <c r="O68">
        <v>1530.211</v>
      </c>
      <c r="P68">
        <v>1446.0250000000001</v>
      </c>
      <c r="R68" s="3">
        <f t="shared" si="2"/>
        <v>1435.4686000000002</v>
      </c>
      <c r="S68" s="3">
        <f t="shared" si="3"/>
        <v>38.816091264577381</v>
      </c>
    </row>
    <row r="69" spans="1:19" x14ac:dyDescent="0.25">
      <c r="A69">
        <v>73.75</v>
      </c>
      <c r="B69">
        <v>1476.704</v>
      </c>
      <c r="C69">
        <v>1590.5550000000001</v>
      </c>
      <c r="D69">
        <v>1532.106</v>
      </c>
      <c r="E69">
        <v>1748.336</v>
      </c>
      <c r="F69">
        <v>1854.193</v>
      </c>
      <c r="H69" s="2">
        <f t="shared" ref="H69:H96" si="4">AVERAGE(B69:F69)</f>
        <v>1640.3788</v>
      </c>
      <c r="I69" s="2">
        <f t="shared" ref="I69:I96" si="5">STDEV(B69:F69)/SQRT(COUNT(B69:F69))</f>
        <v>70.130635094372266</v>
      </c>
      <c r="K69">
        <v>73.75</v>
      </c>
      <c r="L69">
        <v>1349.5630000000001</v>
      </c>
      <c r="M69">
        <v>1519.568</v>
      </c>
      <c r="N69">
        <v>1246.8309999999999</v>
      </c>
      <c r="O69">
        <v>1563.5329999999999</v>
      </c>
      <c r="P69">
        <v>1445.7380000000001</v>
      </c>
      <c r="R69" s="3">
        <f t="shared" ref="R69:R96" si="6">AVERAGE(L69:P69)</f>
        <v>1425.0466000000001</v>
      </c>
      <c r="S69" s="3">
        <f t="shared" ref="S69:S96" si="7">STDEV(L69:P69)/SQRT(COUNT(L69:P69))</f>
        <v>57.44540278786458</v>
      </c>
    </row>
    <row r="70" spans="1:19" x14ac:dyDescent="0.25">
      <c r="A70">
        <v>75</v>
      </c>
      <c r="B70">
        <v>1527.3579999999999</v>
      </c>
      <c r="C70">
        <v>1668.2339999999999</v>
      </c>
      <c r="D70">
        <v>1617.26</v>
      </c>
      <c r="E70">
        <v>1837.6769999999999</v>
      </c>
      <c r="F70">
        <v>1949.414</v>
      </c>
      <c r="H70" s="2">
        <f t="shared" si="4"/>
        <v>1719.9885999999999</v>
      </c>
      <c r="I70" s="2">
        <f t="shared" si="5"/>
        <v>76.428013710680716</v>
      </c>
      <c r="K70">
        <v>75</v>
      </c>
      <c r="L70">
        <v>1442.434</v>
      </c>
      <c r="M70">
        <v>1625.242</v>
      </c>
      <c r="N70">
        <v>1332.5920000000001</v>
      </c>
      <c r="O70">
        <v>1705.8030000000001</v>
      </c>
      <c r="P70">
        <v>1523.625</v>
      </c>
      <c r="R70" s="3">
        <f t="shared" si="6"/>
        <v>1525.9392</v>
      </c>
      <c r="S70" s="3">
        <f t="shared" si="7"/>
        <v>65.792722369119218</v>
      </c>
    </row>
    <row r="71" spans="1:19" x14ac:dyDescent="0.25">
      <c r="A71">
        <v>76.25</v>
      </c>
      <c r="B71">
        <v>1710.566</v>
      </c>
      <c r="C71">
        <v>1844.009</v>
      </c>
      <c r="D71">
        <v>1782.876</v>
      </c>
      <c r="E71">
        <v>2016.635</v>
      </c>
      <c r="F71">
        <v>2146.9740000000002</v>
      </c>
      <c r="H71" s="2">
        <f t="shared" si="4"/>
        <v>1900.2120000000002</v>
      </c>
      <c r="I71" s="2">
        <f t="shared" si="5"/>
        <v>79.792831443056343</v>
      </c>
      <c r="K71">
        <v>76.25</v>
      </c>
      <c r="L71">
        <v>1646.377</v>
      </c>
      <c r="M71">
        <v>1812.5239999999999</v>
      </c>
      <c r="N71">
        <v>1585.4469999999999</v>
      </c>
      <c r="O71">
        <v>1924.884</v>
      </c>
      <c r="P71">
        <v>1717.635</v>
      </c>
      <c r="R71" s="3">
        <f t="shared" si="6"/>
        <v>1737.3733999999999</v>
      </c>
      <c r="S71" s="3">
        <f t="shared" si="7"/>
        <v>60.232639846349102</v>
      </c>
    </row>
    <row r="72" spans="1:19" x14ac:dyDescent="0.25">
      <c r="A72">
        <v>77.5</v>
      </c>
      <c r="B72">
        <v>1824.125</v>
      </c>
      <c r="C72">
        <v>1946.4549999999999</v>
      </c>
      <c r="D72">
        <v>1867.5229999999999</v>
      </c>
      <c r="E72">
        <v>2103.4549999999999</v>
      </c>
      <c r="F72">
        <v>2237.1419999999998</v>
      </c>
      <c r="H72" s="2">
        <f t="shared" si="4"/>
        <v>1995.7400000000002</v>
      </c>
      <c r="I72" s="2">
        <f t="shared" si="5"/>
        <v>76.875797676511922</v>
      </c>
      <c r="K72">
        <v>77.5</v>
      </c>
      <c r="L72">
        <v>1741.3040000000001</v>
      </c>
      <c r="M72">
        <v>1900.7660000000001</v>
      </c>
      <c r="N72">
        <v>1693.96</v>
      </c>
      <c r="O72">
        <v>2020.008</v>
      </c>
      <c r="P72">
        <v>1812.452</v>
      </c>
      <c r="R72" s="3">
        <f t="shared" si="6"/>
        <v>1833.6979999999999</v>
      </c>
      <c r="S72" s="3">
        <f t="shared" si="7"/>
        <v>58.191187099078839</v>
      </c>
    </row>
    <row r="73" spans="1:19" x14ac:dyDescent="0.25">
      <c r="A73">
        <v>78.75</v>
      </c>
      <c r="B73">
        <v>1761.4559999999999</v>
      </c>
      <c r="C73">
        <v>1887.673</v>
      </c>
      <c r="D73">
        <v>1809.4</v>
      </c>
      <c r="E73">
        <v>2046.9639999999999</v>
      </c>
      <c r="F73">
        <v>2166.7689999999998</v>
      </c>
      <c r="H73" s="2">
        <f t="shared" si="4"/>
        <v>1934.4524000000001</v>
      </c>
      <c r="I73" s="2">
        <f t="shared" si="5"/>
        <v>75.625403203288741</v>
      </c>
      <c r="K73">
        <v>78.75</v>
      </c>
      <c r="L73">
        <v>1686.2260000000001</v>
      </c>
      <c r="M73">
        <v>1832.527</v>
      </c>
      <c r="N73">
        <v>1648.3879999999999</v>
      </c>
      <c r="O73">
        <v>1963.327</v>
      </c>
      <c r="P73">
        <v>1748.1279999999999</v>
      </c>
      <c r="R73" s="3">
        <f t="shared" si="6"/>
        <v>1775.7192</v>
      </c>
      <c r="S73" s="3">
        <f t="shared" si="7"/>
        <v>56.306018514364872</v>
      </c>
    </row>
    <row r="74" spans="1:19" x14ac:dyDescent="0.25">
      <c r="A74">
        <v>80</v>
      </c>
      <c r="B74">
        <v>1683.7650000000001</v>
      </c>
      <c r="C74">
        <v>1816.3589999999999</v>
      </c>
      <c r="D74">
        <v>1738.538</v>
      </c>
      <c r="E74">
        <v>1988.184</v>
      </c>
      <c r="F74">
        <v>2084.087</v>
      </c>
      <c r="H74" s="2">
        <f t="shared" si="4"/>
        <v>1862.1866000000002</v>
      </c>
      <c r="I74" s="2">
        <f t="shared" si="5"/>
        <v>75.610364658953984</v>
      </c>
      <c r="K74">
        <v>80</v>
      </c>
      <c r="L74">
        <v>1612.6210000000001</v>
      </c>
      <c r="M74">
        <v>1762.268</v>
      </c>
      <c r="N74">
        <v>1583.777</v>
      </c>
      <c r="O74">
        <v>1909.424</v>
      </c>
      <c r="P74">
        <v>1683.229</v>
      </c>
      <c r="R74" s="3">
        <f t="shared" si="6"/>
        <v>1710.2637999999999</v>
      </c>
      <c r="S74" s="3">
        <f t="shared" si="7"/>
        <v>58.580342035020578</v>
      </c>
    </row>
    <row r="75" spans="1:19" x14ac:dyDescent="0.25">
      <c r="A75">
        <v>81.25</v>
      </c>
      <c r="B75">
        <v>1779.232</v>
      </c>
      <c r="C75">
        <v>1972.068</v>
      </c>
      <c r="D75">
        <v>1829.0530000000001</v>
      </c>
      <c r="E75">
        <v>2120.3380000000002</v>
      </c>
      <c r="F75">
        <v>2185.1840000000002</v>
      </c>
      <c r="H75" s="2">
        <f t="shared" si="4"/>
        <v>1977.175</v>
      </c>
      <c r="I75" s="2">
        <f t="shared" si="5"/>
        <v>79.028801152491269</v>
      </c>
      <c r="K75">
        <v>81.25</v>
      </c>
      <c r="L75">
        <v>1774.991</v>
      </c>
      <c r="M75">
        <v>1984.287</v>
      </c>
      <c r="N75">
        <v>1731.2819999999999</v>
      </c>
      <c r="O75">
        <v>2105.3629999999998</v>
      </c>
      <c r="P75">
        <v>1894.01</v>
      </c>
      <c r="R75" s="3">
        <f t="shared" si="6"/>
        <v>1897.9866000000002</v>
      </c>
      <c r="S75" s="3">
        <f t="shared" si="7"/>
        <v>68.332600179270202</v>
      </c>
    </row>
    <row r="76" spans="1:19" x14ac:dyDescent="0.25">
      <c r="A76">
        <v>82.5</v>
      </c>
      <c r="B76">
        <v>2319.1210000000001</v>
      </c>
      <c r="C76">
        <v>2573.395</v>
      </c>
      <c r="D76">
        <v>2252.7289999999998</v>
      </c>
      <c r="E76">
        <v>2580.018</v>
      </c>
      <c r="F76">
        <v>2620.9690000000001</v>
      </c>
      <c r="H76" s="2">
        <f t="shared" si="4"/>
        <v>2469.2464</v>
      </c>
      <c r="I76" s="2">
        <f t="shared" si="5"/>
        <v>76.011330019675384</v>
      </c>
      <c r="K76">
        <v>82.5</v>
      </c>
      <c r="L76">
        <v>2376.7939999999999</v>
      </c>
      <c r="M76">
        <v>2703.0169999999998</v>
      </c>
      <c r="N76">
        <v>2392.1959999999999</v>
      </c>
      <c r="O76">
        <v>2837.5929999999998</v>
      </c>
      <c r="P76">
        <v>2630.6990000000001</v>
      </c>
      <c r="R76" s="3">
        <f t="shared" si="6"/>
        <v>2588.0598</v>
      </c>
      <c r="S76" s="3">
        <f t="shared" si="7"/>
        <v>89.525399611171792</v>
      </c>
    </row>
    <row r="77" spans="1:19" x14ac:dyDescent="0.25">
      <c r="A77">
        <v>83.75</v>
      </c>
      <c r="B77">
        <v>3230.52</v>
      </c>
      <c r="C77">
        <v>3416.2489999999998</v>
      </c>
      <c r="D77">
        <v>2882.5709999999999</v>
      </c>
      <c r="E77">
        <v>3225.08</v>
      </c>
      <c r="F77">
        <v>3317.998</v>
      </c>
      <c r="H77" s="2">
        <f t="shared" si="4"/>
        <v>3214.4836</v>
      </c>
      <c r="I77" s="2">
        <f t="shared" si="5"/>
        <v>89.988869173137175</v>
      </c>
      <c r="K77">
        <v>83.75</v>
      </c>
      <c r="L77">
        <v>3238.152</v>
      </c>
      <c r="M77">
        <v>3610.5059999999999</v>
      </c>
      <c r="N77">
        <v>3279.9949999999999</v>
      </c>
      <c r="O77">
        <v>3826.2469999999998</v>
      </c>
      <c r="P77">
        <v>3712.1529999999998</v>
      </c>
      <c r="R77" s="3">
        <f t="shared" si="6"/>
        <v>3533.4105999999992</v>
      </c>
      <c r="S77" s="3">
        <f t="shared" si="7"/>
        <v>117.26952089549948</v>
      </c>
    </row>
    <row r="78" spans="1:19" x14ac:dyDescent="0.25">
      <c r="A78">
        <v>85</v>
      </c>
      <c r="B78">
        <v>3968.6370000000002</v>
      </c>
      <c r="C78">
        <v>4055.9810000000002</v>
      </c>
      <c r="D78">
        <v>3323.1469999999999</v>
      </c>
      <c r="E78">
        <v>3624.9870000000001</v>
      </c>
      <c r="F78">
        <v>3806.8589999999999</v>
      </c>
      <c r="H78" s="2">
        <f t="shared" si="4"/>
        <v>3755.9222</v>
      </c>
      <c r="I78" s="2">
        <f t="shared" si="5"/>
        <v>130.82733420902534</v>
      </c>
      <c r="K78">
        <v>85</v>
      </c>
      <c r="L78">
        <v>3829.5839999999998</v>
      </c>
      <c r="M78">
        <v>4194.1360000000004</v>
      </c>
      <c r="N78">
        <v>3918.3110000000001</v>
      </c>
      <c r="O78">
        <v>4470.3159999999998</v>
      </c>
      <c r="P78">
        <v>4494.482</v>
      </c>
      <c r="R78" s="3">
        <f t="shared" si="6"/>
        <v>4181.3658000000005</v>
      </c>
      <c r="S78" s="3">
        <f t="shared" si="7"/>
        <v>136.86586744049808</v>
      </c>
    </row>
    <row r="79" spans="1:19" x14ac:dyDescent="0.25">
      <c r="A79">
        <v>86.25</v>
      </c>
      <c r="B79">
        <v>4057.5320000000002</v>
      </c>
      <c r="C79">
        <v>4064.0920000000001</v>
      </c>
      <c r="D79">
        <v>3300.509</v>
      </c>
      <c r="E79">
        <v>3561.0430000000001</v>
      </c>
      <c r="F79">
        <v>3826.6770000000001</v>
      </c>
      <c r="H79" s="2">
        <f t="shared" si="4"/>
        <v>3761.9705999999996</v>
      </c>
      <c r="I79" s="2">
        <f t="shared" si="5"/>
        <v>147.67185047008792</v>
      </c>
      <c r="K79">
        <v>86.25</v>
      </c>
      <c r="L79">
        <v>3806.8470000000002</v>
      </c>
      <c r="M79">
        <v>4082.8690000000001</v>
      </c>
      <c r="N79">
        <v>3933.864</v>
      </c>
      <c r="O79">
        <v>4432.0029999999997</v>
      </c>
      <c r="P79">
        <v>4555.3159999999998</v>
      </c>
      <c r="R79" s="3">
        <f t="shared" si="6"/>
        <v>4162.1797999999999</v>
      </c>
      <c r="S79" s="3">
        <f t="shared" si="7"/>
        <v>143.53402685265948</v>
      </c>
    </row>
    <row r="80" spans="1:19" x14ac:dyDescent="0.25">
      <c r="A80">
        <v>87.5</v>
      </c>
      <c r="B80">
        <v>3506.2530000000002</v>
      </c>
      <c r="C80">
        <v>3531.3609999999999</v>
      </c>
      <c r="D80">
        <v>2917.89</v>
      </c>
      <c r="E80">
        <v>3171.58</v>
      </c>
      <c r="F80">
        <v>3454.9090000000001</v>
      </c>
      <c r="H80" s="2">
        <f t="shared" si="4"/>
        <v>3316.3985999999995</v>
      </c>
      <c r="I80" s="2">
        <f t="shared" si="5"/>
        <v>118.57912731615123</v>
      </c>
      <c r="K80">
        <v>87.5</v>
      </c>
      <c r="L80">
        <v>3245.9290000000001</v>
      </c>
      <c r="M80">
        <v>3509.3009999999999</v>
      </c>
      <c r="N80">
        <v>3367.5129999999999</v>
      </c>
      <c r="O80">
        <v>3813.1109999999999</v>
      </c>
      <c r="P80">
        <v>3882.61</v>
      </c>
      <c r="R80" s="3">
        <f t="shared" si="6"/>
        <v>3563.6927999999998</v>
      </c>
      <c r="S80" s="3">
        <f t="shared" si="7"/>
        <v>123.76114765401944</v>
      </c>
    </row>
    <row r="81" spans="1:19" x14ac:dyDescent="0.25">
      <c r="A81">
        <v>88.75</v>
      </c>
      <c r="B81">
        <v>2876.4259999999999</v>
      </c>
      <c r="C81">
        <v>2942.4580000000001</v>
      </c>
      <c r="D81">
        <v>2477.0749999999998</v>
      </c>
      <c r="E81">
        <v>2743.328</v>
      </c>
      <c r="F81">
        <v>2948.0010000000002</v>
      </c>
      <c r="H81" s="2">
        <f t="shared" si="4"/>
        <v>2797.4575999999997</v>
      </c>
      <c r="I81" s="2">
        <f t="shared" si="5"/>
        <v>88.175808320990228</v>
      </c>
      <c r="K81">
        <v>88.75</v>
      </c>
      <c r="L81">
        <v>2693.8780000000002</v>
      </c>
      <c r="M81">
        <v>2923.4459999999999</v>
      </c>
      <c r="N81">
        <v>2729.9110000000001</v>
      </c>
      <c r="O81">
        <v>3160.0419999999999</v>
      </c>
      <c r="P81">
        <v>3116.8850000000002</v>
      </c>
      <c r="R81" s="3">
        <f t="shared" si="6"/>
        <v>2924.8324000000002</v>
      </c>
      <c r="S81" s="3">
        <f t="shared" si="7"/>
        <v>95.797694716835423</v>
      </c>
    </row>
    <row r="82" spans="1:19" x14ac:dyDescent="0.25">
      <c r="A82">
        <v>90</v>
      </c>
      <c r="B82">
        <v>2755.43</v>
      </c>
      <c r="C82">
        <v>2829.5740000000001</v>
      </c>
      <c r="D82">
        <v>2265.0729999999999</v>
      </c>
      <c r="E82">
        <v>2537.1149999999998</v>
      </c>
      <c r="F82">
        <v>2642.5540000000001</v>
      </c>
      <c r="H82" s="2">
        <f t="shared" si="4"/>
        <v>2605.9492</v>
      </c>
      <c r="I82" s="2">
        <f t="shared" si="5"/>
        <v>98.647656571963267</v>
      </c>
      <c r="K82">
        <v>90</v>
      </c>
      <c r="L82">
        <v>2642.953</v>
      </c>
      <c r="M82">
        <v>2860.1880000000001</v>
      </c>
      <c r="N82">
        <v>2631.4749999999999</v>
      </c>
      <c r="O82">
        <v>3053.4029999999998</v>
      </c>
      <c r="P82">
        <v>3051.7979999999998</v>
      </c>
      <c r="R82" s="3">
        <f t="shared" si="6"/>
        <v>2847.9633999999996</v>
      </c>
      <c r="S82" s="3">
        <f t="shared" si="7"/>
        <v>92.951574944483838</v>
      </c>
    </row>
    <row r="83" spans="1:19" x14ac:dyDescent="0.25">
      <c r="A83">
        <v>91.25</v>
      </c>
      <c r="B83">
        <v>2978.5990000000002</v>
      </c>
      <c r="C83">
        <v>2980.9929999999999</v>
      </c>
      <c r="D83">
        <v>2293.335</v>
      </c>
      <c r="E83">
        <v>2563.5439999999999</v>
      </c>
      <c r="F83">
        <v>2624.97</v>
      </c>
      <c r="H83" s="2">
        <f t="shared" si="4"/>
        <v>2688.2882</v>
      </c>
      <c r="I83" s="2">
        <f t="shared" si="5"/>
        <v>131.43720946041117</v>
      </c>
      <c r="K83">
        <v>91.25</v>
      </c>
      <c r="L83">
        <v>2867.1680000000001</v>
      </c>
      <c r="M83">
        <v>3057.8009999999999</v>
      </c>
      <c r="N83">
        <v>2875.6489999999999</v>
      </c>
      <c r="O83">
        <v>3228.2159999999999</v>
      </c>
      <c r="P83">
        <v>3450.1689999999999</v>
      </c>
      <c r="R83" s="3">
        <f t="shared" si="6"/>
        <v>3095.8006</v>
      </c>
      <c r="S83" s="3">
        <f t="shared" si="7"/>
        <v>110.74618807010918</v>
      </c>
    </row>
    <row r="84" spans="1:19" x14ac:dyDescent="0.25">
      <c r="A84">
        <v>92.5</v>
      </c>
      <c r="B84">
        <v>3165.2</v>
      </c>
      <c r="C84">
        <v>3074.03</v>
      </c>
      <c r="D84">
        <v>2428.2530000000002</v>
      </c>
      <c r="E84">
        <v>2744.5940000000001</v>
      </c>
      <c r="F84">
        <v>2794.7020000000002</v>
      </c>
      <c r="H84" s="2">
        <f t="shared" si="4"/>
        <v>2841.3558000000003</v>
      </c>
      <c r="I84" s="2">
        <f t="shared" si="5"/>
        <v>130.61502508915268</v>
      </c>
      <c r="K84">
        <v>92.5</v>
      </c>
      <c r="L84">
        <v>3016.16</v>
      </c>
      <c r="M84">
        <v>3137.0929999999998</v>
      </c>
      <c r="N84">
        <v>3053.5430000000001</v>
      </c>
      <c r="O84">
        <v>3323.4589999999998</v>
      </c>
      <c r="P84">
        <v>3750.2190000000001</v>
      </c>
      <c r="R84" s="3">
        <f t="shared" si="6"/>
        <v>3256.0948000000003</v>
      </c>
      <c r="S84" s="3">
        <f t="shared" si="7"/>
        <v>134.43474788997079</v>
      </c>
    </row>
    <row r="85" spans="1:19" x14ac:dyDescent="0.25">
      <c r="A85">
        <v>93.75</v>
      </c>
      <c r="B85">
        <v>3175.3319999999999</v>
      </c>
      <c r="C85">
        <v>3178.6370000000002</v>
      </c>
      <c r="D85">
        <v>2771.47</v>
      </c>
      <c r="E85">
        <v>3161.1819999999998</v>
      </c>
      <c r="F85">
        <v>3215.7809999999999</v>
      </c>
      <c r="H85" s="2">
        <f t="shared" si="4"/>
        <v>3100.4803999999995</v>
      </c>
      <c r="I85" s="2">
        <f t="shared" si="5"/>
        <v>82.745988439682108</v>
      </c>
      <c r="K85">
        <v>93.75</v>
      </c>
      <c r="L85">
        <v>3019.9290000000001</v>
      </c>
      <c r="M85">
        <v>3201.9720000000002</v>
      </c>
      <c r="N85">
        <v>2999.0169999999998</v>
      </c>
      <c r="O85">
        <v>3330.7179999999998</v>
      </c>
      <c r="P85">
        <v>3699.8989999999999</v>
      </c>
      <c r="R85" s="3">
        <f t="shared" si="6"/>
        <v>3250.3069999999998</v>
      </c>
      <c r="S85" s="3">
        <f t="shared" si="7"/>
        <v>127.89758687989385</v>
      </c>
    </row>
    <row r="86" spans="1:19" x14ac:dyDescent="0.25">
      <c r="A86">
        <v>95</v>
      </c>
      <c r="B86">
        <v>3274.9229999999998</v>
      </c>
      <c r="C86">
        <v>3449.105</v>
      </c>
      <c r="D86">
        <v>3258.4259999999999</v>
      </c>
      <c r="E86">
        <v>3667.9879999999998</v>
      </c>
      <c r="F86">
        <v>3800.9250000000002</v>
      </c>
      <c r="H86" s="2">
        <f t="shared" si="4"/>
        <v>3490.2733999999996</v>
      </c>
      <c r="I86" s="2">
        <f t="shared" si="5"/>
        <v>107.21724312376254</v>
      </c>
      <c r="K86">
        <v>95</v>
      </c>
      <c r="L86">
        <v>3057.913</v>
      </c>
      <c r="M86">
        <v>3419.6930000000002</v>
      </c>
      <c r="N86">
        <v>2958.2640000000001</v>
      </c>
      <c r="O86">
        <v>3553.806</v>
      </c>
      <c r="P86">
        <v>3535.9940000000001</v>
      </c>
      <c r="R86" s="3">
        <f t="shared" si="6"/>
        <v>3305.1339999999996</v>
      </c>
      <c r="S86" s="3">
        <f t="shared" si="7"/>
        <v>124.43771281368042</v>
      </c>
    </row>
    <row r="87" spans="1:19" x14ac:dyDescent="0.25">
      <c r="A87">
        <v>96.25</v>
      </c>
      <c r="B87">
        <v>3533.4639999999999</v>
      </c>
      <c r="C87">
        <v>3780.5729999999999</v>
      </c>
      <c r="D87">
        <v>3683.134</v>
      </c>
      <c r="E87">
        <v>4111.2110000000002</v>
      </c>
      <c r="F87">
        <v>4292.4070000000002</v>
      </c>
      <c r="H87" s="2">
        <f t="shared" si="4"/>
        <v>3880.1578</v>
      </c>
      <c r="I87" s="2">
        <f t="shared" si="5"/>
        <v>140.04768567291646</v>
      </c>
      <c r="K87">
        <v>96.25</v>
      </c>
      <c r="L87">
        <v>3247.4180000000001</v>
      </c>
      <c r="M87">
        <v>3684.0610000000001</v>
      </c>
      <c r="N87">
        <v>3152.2069999999999</v>
      </c>
      <c r="O87">
        <v>3945.6640000000002</v>
      </c>
      <c r="P87">
        <v>3559.07</v>
      </c>
      <c r="R87" s="3">
        <f t="shared" si="6"/>
        <v>3517.6840000000002</v>
      </c>
      <c r="S87" s="3">
        <f t="shared" si="7"/>
        <v>144.77191298901874</v>
      </c>
    </row>
    <row r="88" spans="1:19" x14ac:dyDescent="0.25">
      <c r="A88">
        <v>97.5</v>
      </c>
      <c r="B88">
        <v>3757.19</v>
      </c>
      <c r="C88">
        <v>4072.7959999999998</v>
      </c>
      <c r="D88">
        <v>3989.4769999999999</v>
      </c>
      <c r="E88">
        <v>4479.7920000000004</v>
      </c>
      <c r="F88">
        <v>4612.6210000000001</v>
      </c>
      <c r="H88" s="2">
        <f t="shared" si="4"/>
        <v>4182.3752000000004</v>
      </c>
      <c r="I88" s="2">
        <f t="shared" si="5"/>
        <v>158.67702610567167</v>
      </c>
      <c r="K88">
        <v>97.5</v>
      </c>
      <c r="L88">
        <v>3492.087</v>
      </c>
      <c r="M88">
        <v>3958.9920000000002</v>
      </c>
      <c r="N88">
        <v>3409.3960000000002</v>
      </c>
      <c r="O88">
        <v>4224.1440000000002</v>
      </c>
      <c r="P88">
        <v>3740.7510000000002</v>
      </c>
      <c r="R88" s="3">
        <f t="shared" si="6"/>
        <v>3765.0740000000005</v>
      </c>
      <c r="S88" s="3">
        <f t="shared" si="7"/>
        <v>149.99496754991486</v>
      </c>
    </row>
    <row r="89" spans="1:19" x14ac:dyDescent="0.25">
      <c r="A89">
        <v>98.75</v>
      </c>
      <c r="B89">
        <v>3943.4229999999998</v>
      </c>
      <c r="C89">
        <v>4281.4799999999996</v>
      </c>
      <c r="D89">
        <v>4181.7529999999997</v>
      </c>
      <c r="E89">
        <v>4696.8209999999999</v>
      </c>
      <c r="F89">
        <v>4826.7520000000004</v>
      </c>
      <c r="H89" s="2">
        <f t="shared" si="4"/>
        <v>4386.0457999999999</v>
      </c>
      <c r="I89" s="2">
        <f t="shared" si="5"/>
        <v>164.22357890918113</v>
      </c>
      <c r="K89">
        <v>98.75</v>
      </c>
      <c r="L89">
        <v>3715.5250000000001</v>
      </c>
      <c r="M89">
        <v>4190.0590000000002</v>
      </c>
      <c r="N89">
        <v>3647.6370000000002</v>
      </c>
      <c r="O89">
        <v>4415.4769999999999</v>
      </c>
      <c r="P89">
        <v>3926.0920000000001</v>
      </c>
      <c r="R89" s="3">
        <f t="shared" si="6"/>
        <v>3978.9580000000001</v>
      </c>
      <c r="S89" s="3">
        <f t="shared" si="7"/>
        <v>144.40876601647142</v>
      </c>
    </row>
    <row r="90" spans="1:19" x14ac:dyDescent="0.25">
      <c r="A90">
        <v>100</v>
      </c>
      <c r="B90">
        <v>4026.8020000000001</v>
      </c>
      <c r="C90">
        <v>4324.3209999999999</v>
      </c>
      <c r="D90">
        <v>4206.3469999999998</v>
      </c>
      <c r="E90">
        <v>4693.0219999999999</v>
      </c>
      <c r="F90">
        <v>4826.9359999999997</v>
      </c>
      <c r="H90" s="2">
        <f t="shared" si="4"/>
        <v>4415.4856</v>
      </c>
      <c r="I90" s="2">
        <f t="shared" si="5"/>
        <v>149.90709859729787</v>
      </c>
      <c r="K90">
        <v>100</v>
      </c>
      <c r="L90">
        <v>3800.8780000000002</v>
      </c>
      <c r="M90">
        <v>4241.43</v>
      </c>
      <c r="N90">
        <v>3736.0990000000002</v>
      </c>
      <c r="O90">
        <v>4482.777</v>
      </c>
      <c r="P90">
        <v>4017.509</v>
      </c>
      <c r="R90" s="3">
        <f t="shared" si="6"/>
        <v>4055.7385999999997</v>
      </c>
      <c r="S90" s="3">
        <f t="shared" si="7"/>
        <v>138.82146677391069</v>
      </c>
    </row>
    <row r="91" spans="1:19" x14ac:dyDescent="0.25">
      <c r="A91">
        <v>101.25</v>
      </c>
      <c r="B91">
        <v>3925.4740000000002</v>
      </c>
      <c r="C91">
        <v>4213.63</v>
      </c>
      <c r="D91">
        <v>4090.2179999999998</v>
      </c>
      <c r="E91">
        <v>4554.5469999999996</v>
      </c>
      <c r="F91">
        <v>4647.0529999999999</v>
      </c>
      <c r="H91" s="2">
        <f t="shared" si="4"/>
        <v>4286.1844000000001</v>
      </c>
      <c r="I91" s="2">
        <f t="shared" si="5"/>
        <v>137.11739406457511</v>
      </c>
      <c r="K91">
        <v>101.25</v>
      </c>
      <c r="L91">
        <v>3676.2440000000001</v>
      </c>
      <c r="M91">
        <v>4115.683</v>
      </c>
      <c r="N91">
        <v>3658.0650000000001</v>
      </c>
      <c r="O91">
        <v>4361.0569999999998</v>
      </c>
      <c r="P91">
        <v>3929.5520000000001</v>
      </c>
      <c r="R91" s="3">
        <f t="shared" si="6"/>
        <v>3948.1201999999998</v>
      </c>
      <c r="S91" s="3">
        <f t="shared" si="7"/>
        <v>133.60156398089052</v>
      </c>
    </row>
    <row r="92" spans="1:19" x14ac:dyDescent="0.25">
      <c r="A92">
        <v>102.5</v>
      </c>
      <c r="B92">
        <v>3697.5479999999998</v>
      </c>
      <c r="C92">
        <v>3958.288</v>
      </c>
      <c r="D92">
        <v>3835.2959999999998</v>
      </c>
      <c r="E92">
        <v>4250.5</v>
      </c>
      <c r="F92">
        <v>4280.9250000000002</v>
      </c>
      <c r="H92" s="2">
        <f t="shared" si="4"/>
        <v>4004.5114000000003</v>
      </c>
      <c r="I92" s="2">
        <f t="shared" si="5"/>
        <v>114.43597616990914</v>
      </c>
      <c r="K92">
        <v>102.5</v>
      </c>
      <c r="L92">
        <v>3448.623</v>
      </c>
      <c r="M92">
        <v>3890.2570000000001</v>
      </c>
      <c r="N92">
        <v>3477.2539999999999</v>
      </c>
      <c r="O92">
        <v>4086.4090000000001</v>
      </c>
      <c r="P92">
        <v>3716.616</v>
      </c>
      <c r="R92" s="3">
        <f t="shared" si="6"/>
        <v>3723.8317999999999</v>
      </c>
      <c r="S92" s="3">
        <f t="shared" si="7"/>
        <v>121.60430419495852</v>
      </c>
    </row>
    <row r="93" spans="1:19" x14ac:dyDescent="0.25">
      <c r="A93">
        <v>103.75</v>
      </c>
      <c r="B93">
        <v>3313.4929999999999</v>
      </c>
      <c r="C93">
        <v>3559.6030000000001</v>
      </c>
      <c r="D93">
        <v>3448.8649999999998</v>
      </c>
      <c r="E93">
        <v>3808.0120000000002</v>
      </c>
      <c r="F93">
        <v>3752.241</v>
      </c>
      <c r="H93" s="2">
        <f t="shared" si="4"/>
        <v>3576.4427999999998</v>
      </c>
      <c r="I93" s="2">
        <f t="shared" si="5"/>
        <v>92.258217181127051</v>
      </c>
      <c r="K93">
        <v>103.75</v>
      </c>
      <c r="L93">
        <v>3117.0940000000001</v>
      </c>
      <c r="M93">
        <v>3531.6019999999999</v>
      </c>
      <c r="N93">
        <v>3129.3249999999998</v>
      </c>
      <c r="O93">
        <v>3624.8040000000001</v>
      </c>
      <c r="P93">
        <v>3335.6889999999999</v>
      </c>
      <c r="R93" s="3">
        <f t="shared" si="6"/>
        <v>3347.7028</v>
      </c>
      <c r="S93" s="3">
        <f t="shared" si="7"/>
        <v>102.86340563164337</v>
      </c>
    </row>
    <row r="94" spans="1:19" x14ac:dyDescent="0.25">
      <c r="A94">
        <v>105</v>
      </c>
      <c r="B94">
        <v>2872.056</v>
      </c>
      <c r="C94">
        <v>3171.01</v>
      </c>
      <c r="D94">
        <v>3069.451</v>
      </c>
      <c r="E94">
        <v>3411.056</v>
      </c>
      <c r="F94">
        <v>3309.3139999999999</v>
      </c>
      <c r="H94" s="2">
        <f t="shared" si="4"/>
        <v>3166.5774000000001</v>
      </c>
      <c r="I94" s="2">
        <f t="shared" si="5"/>
        <v>93.898765544388283</v>
      </c>
      <c r="K94">
        <v>105</v>
      </c>
      <c r="L94">
        <v>2728.1309999999999</v>
      </c>
      <c r="M94">
        <v>3142.6089999999999</v>
      </c>
      <c r="N94">
        <v>2707.0770000000002</v>
      </c>
      <c r="O94">
        <v>3146.107</v>
      </c>
      <c r="P94">
        <v>2888.761</v>
      </c>
      <c r="R94" s="3">
        <f t="shared" si="6"/>
        <v>2922.5369999999998</v>
      </c>
      <c r="S94" s="3">
        <f t="shared" si="7"/>
        <v>95.857381743922019</v>
      </c>
    </row>
    <row r="95" spans="1:19" x14ac:dyDescent="0.25">
      <c r="A95">
        <v>106.25</v>
      </c>
      <c r="B95">
        <v>2585.9270000000001</v>
      </c>
      <c r="C95">
        <v>2891.047</v>
      </c>
      <c r="D95">
        <v>2815.7469999999998</v>
      </c>
      <c r="E95">
        <v>3123.3809999999999</v>
      </c>
      <c r="F95">
        <v>3038.8069999999998</v>
      </c>
      <c r="H95" s="2">
        <f t="shared" si="4"/>
        <v>2890.9818</v>
      </c>
      <c r="I95" s="2">
        <f t="shared" si="5"/>
        <v>93.429221419425247</v>
      </c>
      <c r="K95">
        <v>106.25</v>
      </c>
      <c r="L95">
        <v>2444.8989999999999</v>
      </c>
      <c r="M95">
        <v>2854.6610000000001</v>
      </c>
      <c r="N95">
        <v>2416.366</v>
      </c>
      <c r="O95">
        <v>2843.8049999999998</v>
      </c>
      <c r="P95">
        <v>2604.0169999999998</v>
      </c>
      <c r="R95" s="3">
        <f t="shared" si="6"/>
        <v>2632.7496000000001</v>
      </c>
      <c r="S95" s="3">
        <f t="shared" si="7"/>
        <v>94.001149964029693</v>
      </c>
    </row>
    <row r="96" spans="1:19" x14ac:dyDescent="0.25">
      <c r="A96">
        <v>107.5</v>
      </c>
      <c r="B96">
        <v>2383.6950000000002</v>
      </c>
      <c r="C96">
        <v>2674.4749999999999</v>
      </c>
      <c r="D96">
        <v>2612.8229999999999</v>
      </c>
      <c r="E96">
        <v>2883.2620000000002</v>
      </c>
      <c r="F96">
        <v>2790.2040000000002</v>
      </c>
      <c r="H96" s="2">
        <f t="shared" si="4"/>
        <v>2668.8918000000003</v>
      </c>
      <c r="I96" s="2">
        <f t="shared" si="5"/>
        <v>85.200742280452005</v>
      </c>
      <c r="K96">
        <v>107.5</v>
      </c>
      <c r="L96">
        <v>2229.1729999999998</v>
      </c>
      <c r="M96">
        <v>2624.3220000000001</v>
      </c>
      <c r="N96">
        <v>2230.2979999999998</v>
      </c>
      <c r="O96">
        <v>2608.0120000000002</v>
      </c>
      <c r="P96">
        <v>2417.8719999999998</v>
      </c>
      <c r="R96" s="3">
        <f t="shared" si="6"/>
        <v>2421.9353999999998</v>
      </c>
      <c r="S96" s="3">
        <f t="shared" si="7"/>
        <v>86.453335412579733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BRIGHT!OCT_RAW___\AD04\_dark_profiles_AD04_DARK</vt:lpstr>
      <vt:lpstr>BRIGHT!OCT_RAW___\AD04\_light_profiles_AD04_LIGHT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2019-11-17T01:37:31Z</dcterms:modified>
</cp:coreProperties>
</file>