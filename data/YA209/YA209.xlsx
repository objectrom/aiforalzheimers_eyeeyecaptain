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E:\[Documents]\[[[OCT RAW FOR DRYAD]]]\YA209\"/>
    </mc:Choice>
  </mc:AlternateContent>
  <xr:revisionPtr revIDLastSave="0" documentId="13_ncr:1_{AE0F571F-5123-4A38-8735-8086B9EB1545}" xr6:coauthVersionLast="45" xr6:coauthVersionMax="45" xr10:uidLastSave="{00000000-0000-0000-0000-000000000000}"/>
  <bookViews>
    <workbookView xWindow="990" yWindow="1065" windowWidth="24810" windowHeight="15810" xr2:uid="{00000000-000D-0000-FFFF-FFFF00000000}"/>
  </bookViews>
  <sheets>
    <sheet name="DIM" sheetId="1" r:id="rId1"/>
    <sheet name="BRIGHT" sheetId="2" r:id="rId2"/>
  </sheets>
  <definedNames>
    <definedName name="OCT_RAW___\YA04\_dark_profiles_YA04_DARK" localSheetId="1">BRIGHT!$A$2:$P$96</definedName>
    <definedName name="OCT_RAW___\YA04\_dark_profiles_YA04_DARK_dim" localSheetId="0">DIM!$A$2:$F$96</definedName>
    <definedName name="OCT_RAW___\YA04\_fovea_dark_profiles_YA04_DARK" localSheetId="1">BRIGHT!#REF!</definedName>
    <definedName name="OCT_RAW___\YA04\_fovea_dark_profiles_YA04_DARK_dim" localSheetId="0">DIM!#REF!</definedName>
    <definedName name="OCT_RAW___\YA04\_fovea_light_profiles_YA04_LIGHT" localSheetId="1">BRIGHT!#REF!</definedName>
    <definedName name="OCT_RAW___\YA04\_fovea_light_profiles_YA04_LIGHT_dim" localSheetId="0">DIM!#REF!</definedName>
    <definedName name="OCT_RAW___\YA04\_light_profiles_YA04_LIGHT" localSheetId="1">BRIGHT!$U$2:$AJ$96</definedName>
    <definedName name="OCT_RAW___\YA04\_light_profiles_YA04_LIGHT_dim" localSheetId="0">DIM!$K$2:$P$96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M96" i="2" l="1"/>
  <c r="AL96" i="2"/>
  <c r="S96" i="2"/>
  <c r="R96" i="2"/>
  <c r="AM95" i="2"/>
  <c r="AL95" i="2"/>
  <c r="S95" i="2"/>
  <c r="R95" i="2"/>
  <c r="AM94" i="2"/>
  <c r="AL94" i="2"/>
  <c r="S94" i="2"/>
  <c r="R94" i="2"/>
  <c r="AM93" i="2"/>
  <c r="AL93" i="2"/>
  <c r="S93" i="2"/>
  <c r="R93" i="2"/>
  <c r="AM92" i="2"/>
  <c r="AL92" i="2"/>
  <c r="S92" i="2"/>
  <c r="R92" i="2"/>
  <c r="AM91" i="2"/>
  <c r="AL91" i="2"/>
  <c r="S91" i="2"/>
  <c r="R91" i="2"/>
  <c r="AM90" i="2"/>
  <c r="AL90" i="2"/>
  <c r="S90" i="2"/>
  <c r="R90" i="2"/>
  <c r="AM89" i="2"/>
  <c r="AL89" i="2"/>
  <c r="S89" i="2"/>
  <c r="R89" i="2"/>
  <c r="AM88" i="2"/>
  <c r="AL88" i="2"/>
  <c r="S88" i="2"/>
  <c r="R88" i="2"/>
  <c r="AM87" i="2"/>
  <c r="AL87" i="2"/>
  <c r="S87" i="2"/>
  <c r="R87" i="2"/>
  <c r="AM86" i="2"/>
  <c r="AL86" i="2"/>
  <c r="S86" i="2"/>
  <c r="R86" i="2"/>
  <c r="AM85" i="2"/>
  <c r="AL85" i="2"/>
  <c r="S85" i="2"/>
  <c r="R85" i="2"/>
  <c r="AM84" i="2"/>
  <c r="AL84" i="2"/>
  <c r="S84" i="2"/>
  <c r="R84" i="2"/>
  <c r="AM83" i="2"/>
  <c r="AL83" i="2"/>
  <c r="S83" i="2"/>
  <c r="R83" i="2"/>
  <c r="AM82" i="2"/>
  <c r="AL82" i="2"/>
  <c r="S82" i="2"/>
  <c r="R82" i="2"/>
  <c r="AM81" i="2"/>
  <c r="AL81" i="2"/>
  <c r="S81" i="2"/>
  <c r="R81" i="2"/>
  <c r="AM80" i="2"/>
  <c r="AL80" i="2"/>
  <c r="S80" i="2"/>
  <c r="R80" i="2"/>
  <c r="AM79" i="2"/>
  <c r="AL79" i="2"/>
  <c r="S79" i="2"/>
  <c r="R79" i="2"/>
  <c r="AM78" i="2"/>
  <c r="AL78" i="2"/>
  <c r="S78" i="2"/>
  <c r="R78" i="2"/>
  <c r="AM77" i="2"/>
  <c r="AL77" i="2"/>
  <c r="S77" i="2"/>
  <c r="R77" i="2"/>
  <c r="AM76" i="2"/>
  <c r="AL76" i="2"/>
  <c r="S76" i="2"/>
  <c r="R76" i="2"/>
  <c r="AM75" i="2"/>
  <c r="AL75" i="2"/>
  <c r="S75" i="2"/>
  <c r="R75" i="2"/>
  <c r="AM74" i="2"/>
  <c r="AL74" i="2"/>
  <c r="S74" i="2"/>
  <c r="R74" i="2"/>
  <c r="AM73" i="2"/>
  <c r="AL73" i="2"/>
  <c r="S73" i="2"/>
  <c r="R73" i="2"/>
  <c r="AM72" i="2"/>
  <c r="AL72" i="2"/>
  <c r="S72" i="2"/>
  <c r="R72" i="2"/>
  <c r="AM71" i="2"/>
  <c r="AL71" i="2"/>
  <c r="S71" i="2"/>
  <c r="R71" i="2"/>
  <c r="AM70" i="2"/>
  <c r="AL70" i="2"/>
  <c r="S70" i="2"/>
  <c r="R70" i="2"/>
  <c r="AM69" i="2"/>
  <c r="AL69" i="2"/>
  <c r="S69" i="2"/>
  <c r="R69" i="2"/>
  <c r="AM68" i="2"/>
  <c r="AL68" i="2"/>
  <c r="S68" i="2"/>
  <c r="R68" i="2"/>
  <c r="AM67" i="2"/>
  <c r="AL67" i="2"/>
  <c r="S67" i="2"/>
  <c r="R67" i="2"/>
  <c r="AM66" i="2"/>
  <c r="AL66" i="2"/>
  <c r="S66" i="2"/>
  <c r="R66" i="2"/>
  <c r="AM65" i="2"/>
  <c r="AL65" i="2"/>
  <c r="S65" i="2"/>
  <c r="R65" i="2"/>
  <c r="AM64" i="2"/>
  <c r="AL64" i="2"/>
  <c r="S64" i="2"/>
  <c r="R64" i="2"/>
  <c r="AM63" i="2"/>
  <c r="AL63" i="2"/>
  <c r="S63" i="2"/>
  <c r="R63" i="2"/>
  <c r="AM62" i="2"/>
  <c r="AL62" i="2"/>
  <c r="S62" i="2"/>
  <c r="R62" i="2"/>
  <c r="AM61" i="2"/>
  <c r="AL61" i="2"/>
  <c r="S61" i="2"/>
  <c r="R61" i="2"/>
  <c r="AM60" i="2"/>
  <c r="AL60" i="2"/>
  <c r="S60" i="2"/>
  <c r="R60" i="2"/>
  <c r="AM59" i="2"/>
  <c r="AL59" i="2"/>
  <c r="S59" i="2"/>
  <c r="R59" i="2"/>
  <c r="AM58" i="2"/>
  <c r="AL58" i="2"/>
  <c r="S58" i="2"/>
  <c r="R58" i="2"/>
  <c r="AM57" i="2"/>
  <c r="AL57" i="2"/>
  <c r="S57" i="2"/>
  <c r="R57" i="2"/>
  <c r="AM56" i="2"/>
  <c r="AL56" i="2"/>
  <c r="S56" i="2"/>
  <c r="R56" i="2"/>
  <c r="AM55" i="2"/>
  <c r="AL55" i="2"/>
  <c r="S55" i="2"/>
  <c r="R55" i="2"/>
  <c r="AM54" i="2"/>
  <c r="AL54" i="2"/>
  <c r="S54" i="2"/>
  <c r="R54" i="2"/>
  <c r="AM53" i="2"/>
  <c r="AL53" i="2"/>
  <c r="S53" i="2"/>
  <c r="R53" i="2"/>
  <c r="AM52" i="2"/>
  <c r="AL52" i="2"/>
  <c r="S52" i="2"/>
  <c r="R52" i="2"/>
  <c r="AM51" i="2"/>
  <c r="AL51" i="2"/>
  <c r="S51" i="2"/>
  <c r="R51" i="2"/>
  <c r="AM50" i="2"/>
  <c r="AL50" i="2"/>
  <c r="S50" i="2"/>
  <c r="R50" i="2"/>
  <c r="AM49" i="2"/>
  <c r="AL49" i="2"/>
  <c r="S49" i="2"/>
  <c r="R49" i="2"/>
  <c r="AM48" i="2"/>
  <c r="AL48" i="2"/>
  <c r="S48" i="2"/>
  <c r="R48" i="2"/>
  <c r="AM47" i="2"/>
  <c r="AL47" i="2"/>
  <c r="S47" i="2"/>
  <c r="R47" i="2"/>
  <c r="AM46" i="2"/>
  <c r="AL46" i="2"/>
  <c r="S46" i="2"/>
  <c r="R46" i="2"/>
  <c r="AM45" i="2"/>
  <c r="AL45" i="2"/>
  <c r="S45" i="2"/>
  <c r="R45" i="2"/>
  <c r="AM44" i="2"/>
  <c r="AL44" i="2"/>
  <c r="S44" i="2"/>
  <c r="R44" i="2"/>
  <c r="AM43" i="2"/>
  <c r="AL43" i="2"/>
  <c r="S43" i="2"/>
  <c r="R43" i="2"/>
  <c r="AM42" i="2"/>
  <c r="AL42" i="2"/>
  <c r="S42" i="2"/>
  <c r="R42" i="2"/>
  <c r="AM41" i="2"/>
  <c r="AL41" i="2"/>
  <c r="S41" i="2"/>
  <c r="R41" i="2"/>
  <c r="AM40" i="2"/>
  <c r="AL40" i="2"/>
  <c r="S40" i="2"/>
  <c r="R40" i="2"/>
  <c r="AM39" i="2"/>
  <c r="AL39" i="2"/>
  <c r="S39" i="2"/>
  <c r="R39" i="2"/>
  <c r="AM38" i="2"/>
  <c r="AL38" i="2"/>
  <c r="S38" i="2"/>
  <c r="R38" i="2"/>
  <c r="AM37" i="2"/>
  <c r="AL37" i="2"/>
  <c r="S37" i="2"/>
  <c r="R37" i="2"/>
  <c r="AM36" i="2"/>
  <c r="AL36" i="2"/>
  <c r="S36" i="2"/>
  <c r="R36" i="2"/>
  <c r="AM35" i="2"/>
  <c r="AL35" i="2"/>
  <c r="S35" i="2"/>
  <c r="R35" i="2"/>
  <c r="AM34" i="2"/>
  <c r="AL34" i="2"/>
  <c r="S34" i="2"/>
  <c r="R34" i="2"/>
  <c r="AM33" i="2"/>
  <c r="AL33" i="2"/>
  <c r="S33" i="2"/>
  <c r="R33" i="2"/>
  <c r="AM32" i="2"/>
  <c r="AL32" i="2"/>
  <c r="S32" i="2"/>
  <c r="R32" i="2"/>
  <c r="AM31" i="2"/>
  <c r="AL31" i="2"/>
  <c r="S31" i="2"/>
  <c r="R31" i="2"/>
  <c r="AM30" i="2"/>
  <c r="AL30" i="2"/>
  <c r="S30" i="2"/>
  <c r="R30" i="2"/>
  <c r="AM29" i="2"/>
  <c r="AL29" i="2"/>
  <c r="S29" i="2"/>
  <c r="R29" i="2"/>
  <c r="AM28" i="2"/>
  <c r="AL28" i="2"/>
  <c r="S28" i="2"/>
  <c r="R28" i="2"/>
  <c r="AM27" i="2"/>
  <c r="AL27" i="2"/>
  <c r="S27" i="2"/>
  <c r="R27" i="2"/>
  <c r="AM26" i="2"/>
  <c r="AL26" i="2"/>
  <c r="S26" i="2"/>
  <c r="R26" i="2"/>
  <c r="AM25" i="2"/>
  <c r="AL25" i="2"/>
  <c r="S25" i="2"/>
  <c r="R25" i="2"/>
  <c r="AM24" i="2"/>
  <c r="AL24" i="2"/>
  <c r="S24" i="2"/>
  <c r="R24" i="2"/>
  <c r="AM23" i="2"/>
  <c r="AL23" i="2"/>
  <c r="S23" i="2"/>
  <c r="R23" i="2"/>
  <c r="AM22" i="2"/>
  <c r="AL22" i="2"/>
  <c r="S22" i="2"/>
  <c r="R22" i="2"/>
  <c r="AM21" i="2"/>
  <c r="AL21" i="2"/>
  <c r="S21" i="2"/>
  <c r="R21" i="2"/>
  <c r="AM20" i="2"/>
  <c r="AL20" i="2"/>
  <c r="S20" i="2"/>
  <c r="R20" i="2"/>
  <c r="AM19" i="2"/>
  <c r="AL19" i="2"/>
  <c r="S19" i="2"/>
  <c r="R19" i="2"/>
  <c r="AM18" i="2"/>
  <c r="AL18" i="2"/>
  <c r="S18" i="2"/>
  <c r="R18" i="2"/>
  <c r="AM17" i="2"/>
  <c r="AL17" i="2"/>
  <c r="S17" i="2"/>
  <c r="R17" i="2"/>
  <c r="AM16" i="2"/>
  <c r="AL16" i="2"/>
  <c r="S16" i="2"/>
  <c r="R16" i="2"/>
  <c r="AM15" i="2"/>
  <c r="AL15" i="2"/>
  <c r="S15" i="2"/>
  <c r="R15" i="2"/>
  <c r="AM14" i="2"/>
  <c r="AL14" i="2"/>
  <c r="S14" i="2"/>
  <c r="R14" i="2"/>
  <c r="AM13" i="2"/>
  <c r="AL13" i="2"/>
  <c r="S13" i="2"/>
  <c r="R13" i="2"/>
  <c r="AM12" i="2"/>
  <c r="AL12" i="2"/>
  <c r="S12" i="2"/>
  <c r="R12" i="2"/>
  <c r="AM11" i="2"/>
  <c r="AL11" i="2"/>
  <c r="S11" i="2"/>
  <c r="R11" i="2"/>
  <c r="AM10" i="2"/>
  <c r="AL10" i="2"/>
  <c r="S10" i="2"/>
  <c r="R10" i="2"/>
  <c r="AM9" i="2"/>
  <c r="AL9" i="2"/>
  <c r="S9" i="2"/>
  <c r="R9" i="2"/>
  <c r="AM8" i="2"/>
  <c r="AL8" i="2"/>
  <c r="S8" i="2"/>
  <c r="R8" i="2"/>
  <c r="AM7" i="2"/>
  <c r="AL7" i="2"/>
  <c r="S7" i="2"/>
  <c r="R7" i="2"/>
  <c r="AM6" i="2"/>
  <c r="AL6" i="2"/>
  <c r="S6" i="2"/>
  <c r="R6" i="2"/>
  <c r="AM5" i="2"/>
  <c r="AL5" i="2"/>
  <c r="S5" i="2"/>
  <c r="R5" i="2"/>
  <c r="AM4" i="2"/>
  <c r="AL4" i="2"/>
  <c r="S4" i="2"/>
  <c r="R4" i="2"/>
  <c r="S96" i="1" l="1"/>
  <c r="R96" i="1"/>
  <c r="S95" i="1"/>
  <c r="R95" i="1"/>
  <c r="S94" i="1"/>
  <c r="R94" i="1"/>
  <c r="S93" i="1"/>
  <c r="R93" i="1"/>
  <c r="S92" i="1"/>
  <c r="R92" i="1"/>
  <c r="S91" i="1"/>
  <c r="R91" i="1"/>
  <c r="S90" i="1"/>
  <c r="R90" i="1"/>
  <c r="S89" i="1"/>
  <c r="R89" i="1"/>
  <c r="S88" i="1"/>
  <c r="R88" i="1"/>
  <c r="S87" i="1"/>
  <c r="R87" i="1"/>
  <c r="S86" i="1"/>
  <c r="R86" i="1"/>
  <c r="S85" i="1"/>
  <c r="R85" i="1"/>
  <c r="S84" i="1"/>
  <c r="R84" i="1"/>
  <c r="S83" i="1"/>
  <c r="R83" i="1"/>
  <c r="S82" i="1"/>
  <c r="R82" i="1"/>
  <c r="S81" i="1"/>
  <c r="R81" i="1"/>
  <c r="S80" i="1"/>
  <c r="R80" i="1"/>
  <c r="S79" i="1"/>
  <c r="R79" i="1"/>
  <c r="S78" i="1"/>
  <c r="R78" i="1"/>
  <c r="S77" i="1"/>
  <c r="R77" i="1"/>
  <c r="S76" i="1"/>
  <c r="R76" i="1"/>
  <c r="S75" i="1"/>
  <c r="R75" i="1"/>
  <c r="S74" i="1"/>
  <c r="R74" i="1"/>
  <c r="S73" i="1"/>
  <c r="R73" i="1"/>
  <c r="S72" i="1"/>
  <c r="R72" i="1"/>
  <c r="S71" i="1"/>
  <c r="R71" i="1"/>
  <c r="S70" i="1"/>
  <c r="R70" i="1"/>
  <c r="S69" i="1"/>
  <c r="R69" i="1"/>
  <c r="S68" i="1"/>
  <c r="R68" i="1"/>
  <c r="S67" i="1"/>
  <c r="R67" i="1"/>
  <c r="S66" i="1"/>
  <c r="R66" i="1"/>
  <c r="S65" i="1"/>
  <c r="R65" i="1"/>
  <c r="S64" i="1"/>
  <c r="R64" i="1"/>
  <c r="S63" i="1"/>
  <c r="R63" i="1"/>
  <c r="S62" i="1"/>
  <c r="R62" i="1"/>
  <c r="S61" i="1"/>
  <c r="R61" i="1"/>
  <c r="S60" i="1"/>
  <c r="R60" i="1"/>
  <c r="S59" i="1"/>
  <c r="R59" i="1"/>
  <c r="S58" i="1"/>
  <c r="R58" i="1"/>
  <c r="S57" i="1"/>
  <c r="R57" i="1"/>
  <c r="S56" i="1"/>
  <c r="R56" i="1"/>
  <c r="S55" i="1"/>
  <c r="R55" i="1"/>
  <c r="S54" i="1"/>
  <c r="R54" i="1"/>
  <c r="S53" i="1"/>
  <c r="R53" i="1"/>
  <c r="S52" i="1"/>
  <c r="R52" i="1"/>
  <c r="S51" i="1"/>
  <c r="R51" i="1"/>
  <c r="S50" i="1"/>
  <c r="R50" i="1"/>
  <c r="S49" i="1"/>
  <c r="R49" i="1"/>
  <c r="S48" i="1"/>
  <c r="R48" i="1"/>
  <c r="S47" i="1"/>
  <c r="R47" i="1"/>
  <c r="S46" i="1"/>
  <c r="R46" i="1"/>
  <c r="S45" i="1"/>
  <c r="R45" i="1"/>
  <c r="S44" i="1"/>
  <c r="R44" i="1"/>
  <c r="S43" i="1"/>
  <c r="R43" i="1"/>
  <c r="S42" i="1"/>
  <c r="R42" i="1"/>
  <c r="S41" i="1"/>
  <c r="R41" i="1"/>
  <c r="S40" i="1"/>
  <c r="R40" i="1"/>
  <c r="S39" i="1"/>
  <c r="R39" i="1"/>
  <c r="S38" i="1"/>
  <c r="R38" i="1"/>
  <c r="S37" i="1"/>
  <c r="R37" i="1"/>
  <c r="S36" i="1"/>
  <c r="R36" i="1"/>
  <c r="S35" i="1"/>
  <c r="R35" i="1"/>
  <c r="S34" i="1"/>
  <c r="R34" i="1"/>
  <c r="S33" i="1"/>
  <c r="R33" i="1"/>
  <c r="S32" i="1"/>
  <c r="R32" i="1"/>
  <c r="S31" i="1"/>
  <c r="R31" i="1"/>
  <c r="S30" i="1"/>
  <c r="R30" i="1"/>
  <c r="S29" i="1"/>
  <c r="R29" i="1"/>
  <c r="S28" i="1"/>
  <c r="R28" i="1"/>
  <c r="S27" i="1"/>
  <c r="R27" i="1"/>
  <c r="S26" i="1"/>
  <c r="R26" i="1"/>
  <c r="S25" i="1"/>
  <c r="R25" i="1"/>
  <c r="S24" i="1"/>
  <c r="R24" i="1"/>
  <c r="S23" i="1"/>
  <c r="R23" i="1"/>
  <c r="S22" i="1"/>
  <c r="R22" i="1"/>
  <c r="S21" i="1"/>
  <c r="R21" i="1"/>
  <c r="S20" i="1"/>
  <c r="R20" i="1"/>
  <c r="S19" i="1"/>
  <c r="R19" i="1"/>
  <c r="S18" i="1"/>
  <c r="R18" i="1"/>
  <c r="S17" i="1"/>
  <c r="R17" i="1"/>
  <c r="S16" i="1"/>
  <c r="R16" i="1"/>
  <c r="S15" i="1"/>
  <c r="R15" i="1"/>
  <c r="S14" i="1"/>
  <c r="R14" i="1"/>
  <c r="S13" i="1"/>
  <c r="R13" i="1"/>
  <c r="S12" i="1"/>
  <c r="R12" i="1"/>
  <c r="S11" i="1"/>
  <c r="R11" i="1"/>
  <c r="S10" i="1"/>
  <c r="R10" i="1"/>
  <c r="S9" i="1"/>
  <c r="R9" i="1"/>
  <c r="S8" i="1"/>
  <c r="R8" i="1"/>
  <c r="S7" i="1"/>
  <c r="R7" i="1"/>
  <c r="S6" i="1"/>
  <c r="R6" i="1"/>
  <c r="S5" i="1"/>
  <c r="R5" i="1"/>
  <c r="S4" i="1"/>
  <c r="R4" i="1"/>
  <c r="I96" i="1"/>
  <c r="H96" i="1"/>
  <c r="I95" i="1"/>
  <c r="H95" i="1"/>
  <c r="I94" i="1"/>
  <c r="H94" i="1"/>
  <c r="I93" i="1"/>
  <c r="H93" i="1"/>
  <c r="I92" i="1"/>
  <c r="H92" i="1"/>
  <c r="I91" i="1"/>
  <c r="H91" i="1"/>
  <c r="I90" i="1"/>
  <c r="H90" i="1"/>
  <c r="I89" i="1"/>
  <c r="H89" i="1"/>
  <c r="I88" i="1"/>
  <c r="H88" i="1"/>
  <c r="I87" i="1"/>
  <c r="H87" i="1"/>
  <c r="I86" i="1"/>
  <c r="H86" i="1"/>
  <c r="I85" i="1"/>
  <c r="H85" i="1"/>
  <c r="I84" i="1"/>
  <c r="H84" i="1"/>
  <c r="I83" i="1"/>
  <c r="H83" i="1"/>
  <c r="I82" i="1"/>
  <c r="H82" i="1"/>
  <c r="I81" i="1"/>
  <c r="H81" i="1"/>
  <c r="I80" i="1"/>
  <c r="H80" i="1"/>
  <c r="I79" i="1"/>
  <c r="H79" i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I70" i="1"/>
  <c r="H70" i="1"/>
  <c r="I69" i="1"/>
  <c r="H69" i="1"/>
  <c r="I68" i="1"/>
  <c r="H68" i="1"/>
  <c r="I67" i="1"/>
  <c r="H67" i="1"/>
  <c r="I66" i="1"/>
  <c r="H66" i="1"/>
  <c r="I65" i="1"/>
  <c r="H65" i="1"/>
  <c r="I64" i="1"/>
  <c r="H64" i="1"/>
  <c r="I63" i="1"/>
  <c r="H63" i="1"/>
  <c r="I62" i="1"/>
  <c r="H62" i="1"/>
  <c r="I61" i="1"/>
  <c r="H61" i="1"/>
  <c r="I60" i="1"/>
  <c r="H60" i="1"/>
  <c r="I59" i="1"/>
  <c r="H59" i="1"/>
  <c r="I58" i="1"/>
  <c r="H58" i="1"/>
  <c r="I57" i="1"/>
  <c r="H57" i="1"/>
  <c r="I56" i="1"/>
  <c r="H56" i="1"/>
  <c r="I55" i="1"/>
  <c r="H55" i="1"/>
  <c r="I54" i="1"/>
  <c r="H54" i="1"/>
  <c r="I53" i="1"/>
  <c r="H53" i="1"/>
  <c r="I52" i="1"/>
  <c r="H52" i="1"/>
  <c r="I51" i="1"/>
  <c r="H51" i="1"/>
  <c r="I50" i="1"/>
  <c r="H50" i="1"/>
  <c r="I49" i="1"/>
  <c r="H49" i="1"/>
  <c r="I48" i="1"/>
  <c r="H48" i="1"/>
  <c r="I47" i="1"/>
  <c r="H47" i="1"/>
  <c r="I46" i="1"/>
  <c r="H46" i="1"/>
  <c r="I45" i="1"/>
  <c r="H45" i="1"/>
  <c r="I44" i="1"/>
  <c r="H44" i="1"/>
  <c r="I43" i="1"/>
  <c r="H43" i="1"/>
  <c r="I42" i="1"/>
  <c r="H42" i="1"/>
  <c r="I41" i="1"/>
  <c r="H41" i="1"/>
  <c r="I40" i="1"/>
  <c r="H40" i="1"/>
  <c r="I39" i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378AB5-A196-4950-BC26-DAF36EC1A3C6}" name="[[[OCT RAW]]]\YA04\_dark_profiles_YA04_DARK" type="6" refreshedVersion="6" background="1" saveData="1">
    <textPr codePage="437" sourceFile="E:\[Documents]\[[[OCT RAW]]]\YA04\_dark_profiles_YA04_DARK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55AC58D4-EE53-4A1C-B08E-3BF44C4AF5E2}" name="[[[OCT RAW]]]\YA04\_dark_profiles_YA04_DARK-dim" type="6" refreshedVersion="6" background="1" saveData="1">
    <textPr codePage="437" sourceFile="E:\[Documents]\[[[OCT RAW]]]\YA04\_dark_profiles_YA04_DARK-dim.txt" space="1" consecutive="1">
      <textFields count="6">
        <textField/>
        <textField/>
        <textField/>
        <textField/>
        <textField/>
        <textField/>
      </textFields>
    </textPr>
  </connection>
  <connection id="3" xr16:uid="{EA80A677-2D34-42A8-98F4-9B1AD10FFC93}" name="[[[OCT RAW]]]\YA04\_light_profiles_YA04_LIGHT" type="6" refreshedVersion="6" background="1" saveData="1">
    <textPr codePage="437" sourceFile="E:\[Documents]\[[[OCT RAW]]]\YA04\_light_profiles_YA04_LIGHT.txt" space="1" consecutive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xr16:uid="{F4CC2659-E88C-4B24-9608-E6F191EE25B9}" name="[[[OCT RAW]]]\YA04\_light_profiles_YA04_LIGHT-dim" type="6" refreshedVersion="6" background="1" saveData="1">
    <textPr codePage="437" sourceFile="E:\[Documents]\[[[OCT RAW]]]\YA04\_light_profiles_YA04_LIGHT-dim.txt" space="1" consecutive="1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<sst xmlns="http://schemas.openxmlformats.org/spreadsheetml/2006/main" count="24" uniqueCount="10">
  <si>
    <t>angle</t>
  </si>
  <si>
    <t>whole</t>
  </si>
  <si>
    <t>RPEtoOLM</t>
  </si>
  <si>
    <t>RNFL</t>
  </si>
  <si>
    <t>DARK 500 microns to 2750 microns</t>
  </si>
  <si>
    <t>LIGHT 500 microns to 2750 microns</t>
  </si>
  <si>
    <t>YA209_DARK</t>
  </si>
  <si>
    <t>YA209_LIGHT</t>
  </si>
  <si>
    <t>YA209_DARK-dim</t>
  </si>
  <si>
    <t>YA209_LIGHT-dim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</si>
</sst>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0" borderId="0" xfId="0" applyFont="1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DIM!$H$7:$H$96</c:f>
              <c:numCache>
                <c:formatCode>General</c:formatCode>
                <c:ptCount val="90"/>
                <c:pt idx="0">
                  <c:v>836.62779999999998</c:v>
                </c:pt>
                <c:pt idx="1">
                  <c:v>1017.3002</c:v>
                </c:pt>
                <c:pt idx="2">
                  <c:v>1557.2415999999998</c:v>
                </c:pt>
                <c:pt idx="3">
                  <c:v>2270.5776000000001</c:v>
                </c:pt>
                <c:pt idx="4">
                  <c:v>2967.0001999999995</c:v>
                </c:pt>
                <c:pt idx="5">
                  <c:v>3379.4063999999998</c:v>
                </c:pt>
                <c:pt idx="6">
                  <c:v>3542.4110000000001</c:v>
                </c:pt>
                <c:pt idx="7">
                  <c:v>3591.7645999999995</c:v>
                </c:pt>
                <c:pt idx="8">
                  <c:v>3563.4564</c:v>
                </c:pt>
                <c:pt idx="9">
                  <c:v>3459.0156000000002</c:v>
                </c:pt>
                <c:pt idx="10">
                  <c:v>3232.8177999999998</c:v>
                </c:pt>
                <c:pt idx="11">
                  <c:v>2851.1984000000002</c:v>
                </c:pt>
                <c:pt idx="12">
                  <c:v>2540.6722</c:v>
                </c:pt>
                <c:pt idx="13">
                  <c:v>2364.0852000000004</c:v>
                </c:pt>
                <c:pt idx="14">
                  <c:v>2297.5442000000003</c:v>
                </c:pt>
                <c:pt idx="15">
                  <c:v>2300.4670000000001</c:v>
                </c:pt>
                <c:pt idx="16">
                  <c:v>2318.0298000000003</c:v>
                </c:pt>
                <c:pt idx="17">
                  <c:v>2318.7876000000001</c:v>
                </c:pt>
                <c:pt idx="18">
                  <c:v>2298.1873999999998</c:v>
                </c:pt>
                <c:pt idx="19">
                  <c:v>2258.8717999999999</c:v>
                </c:pt>
                <c:pt idx="20">
                  <c:v>2225.8917999999999</c:v>
                </c:pt>
                <c:pt idx="21">
                  <c:v>2221.0868</c:v>
                </c:pt>
                <c:pt idx="22">
                  <c:v>2244.0739999999996</c:v>
                </c:pt>
                <c:pt idx="23">
                  <c:v>2285.8508000000002</c:v>
                </c:pt>
                <c:pt idx="24">
                  <c:v>2322.2885999999999</c:v>
                </c:pt>
                <c:pt idx="25">
                  <c:v>2337.529</c:v>
                </c:pt>
                <c:pt idx="26">
                  <c:v>2344.0925999999999</c:v>
                </c:pt>
                <c:pt idx="27">
                  <c:v>2356.1068</c:v>
                </c:pt>
                <c:pt idx="28">
                  <c:v>2362.7775999999999</c:v>
                </c:pt>
                <c:pt idx="29">
                  <c:v>2362.2498000000001</c:v>
                </c:pt>
                <c:pt idx="30">
                  <c:v>2355.6181999999999</c:v>
                </c:pt>
                <c:pt idx="31">
                  <c:v>2316.6813999999999</c:v>
                </c:pt>
                <c:pt idx="32">
                  <c:v>2210.9014000000002</c:v>
                </c:pt>
                <c:pt idx="33">
                  <c:v>2064.3861999999999</c:v>
                </c:pt>
                <c:pt idx="34">
                  <c:v>1932.8934000000002</c:v>
                </c:pt>
                <c:pt idx="35">
                  <c:v>1848.2392</c:v>
                </c:pt>
                <c:pt idx="36">
                  <c:v>1806.5178000000001</c:v>
                </c:pt>
                <c:pt idx="37">
                  <c:v>1792.8617999999999</c:v>
                </c:pt>
                <c:pt idx="38">
                  <c:v>1793.4392</c:v>
                </c:pt>
                <c:pt idx="39">
                  <c:v>1808.0519999999997</c:v>
                </c:pt>
                <c:pt idx="40">
                  <c:v>1847.2483999999999</c:v>
                </c:pt>
                <c:pt idx="41">
                  <c:v>1918.9029999999998</c:v>
                </c:pt>
                <c:pt idx="42">
                  <c:v>2014.9099999999999</c:v>
                </c:pt>
                <c:pt idx="43">
                  <c:v>2105.2282</c:v>
                </c:pt>
                <c:pt idx="44">
                  <c:v>2159.6855999999998</c:v>
                </c:pt>
                <c:pt idx="45">
                  <c:v>2169.7704000000003</c:v>
                </c:pt>
                <c:pt idx="46">
                  <c:v>2145.1194</c:v>
                </c:pt>
                <c:pt idx="47">
                  <c:v>2081.8016000000002</c:v>
                </c:pt>
                <c:pt idx="48">
                  <c:v>1973.4428</c:v>
                </c:pt>
                <c:pt idx="49">
                  <c:v>1841.8119999999999</c:v>
                </c:pt>
                <c:pt idx="50">
                  <c:v>1708.2630000000001</c:v>
                </c:pt>
                <c:pt idx="51">
                  <c:v>1626.0669999999998</c:v>
                </c:pt>
                <c:pt idx="52">
                  <c:v>1579.6479999999999</c:v>
                </c:pt>
                <c:pt idx="53">
                  <c:v>1543.739</c:v>
                </c:pt>
                <c:pt idx="54">
                  <c:v>1517.8890000000001</c:v>
                </c:pt>
                <c:pt idx="55">
                  <c:v>1501.4641999999999</c:v>
                </c:pt>
                <c:pt idx="56">
                  <c:v>1492.7567999999999</c:v>
                </c:pt>
                <c:pt idx="57">
                  <c:v>1478.9887999999999</c:v>
                </c:pt>
                <c:pt idx="58">
                  <c:v>1458.2125999999998</c:v>
                </c:pt>
                <c:pt idx="59">
                  <c:v>1433.7117999999998</c:v>
                </c:pt>
                <c:pt idx="60">
                  <c:v>1413.0254</c:v>
                </c:pt>
                <c:pt idx="61">
                  <c:v>1388.8726000000001</c:v>
                </c:pt>
                <c:pt idx="62">
                  <c:v>1375.3902</c:v>
                </c:pt>
                <c:pt idx="63">
                  <c:v>1416.8103999999998</c:v>
                </c:pt>
                <c:pt idx="64">
                  <c:v>1535.8978</c:v>
                </c:pt>
                <c:pt idx="65">
                  <c:v>1591.0572</c:v>
                </c:pt>
                <c:pt idx="66">
                  <c:v>1553.212</c:v>
                </c:pt>
                <c:pt idx="67">
                  <c:v>1527.5495999999998</c:v>
                </c:pt>
                <c:pt idx="68">
                  <c:v>1695.8598000000002</c:v>
                </c:pt>
                <c:pt idx="69">
                  <c:v>2233.5140000000001</c:v>
                </c:pt>
                <c:pt idx="70">
                  <c:v>2948.5605999999998</c:v>
                </c:pt>
                <c:pt idx="71">
                  <c:v>3475.4508000000001</c:v>
                </c:pt>
                <c:pt idx="72">
                  <c:v>3584.4156000000003</c:v>
                </c:pt>
                <c:pt idx="73">
                  <c:v>3276.9850000000006</c:v>
                </c:pt>
                <c:pt idx="74">
                  <c:v>2830.6148000000003</c:v>
                </c:pt>
                <c:pt idx="75">
                  <c:v>2646.1051999999995</c:v>
                </c:pt>
                <c:pt idx="76">
                  <c:v>2767.5684000000001</c:v>
                </c:pt>
                <c:pt idx="77">
                  <c:v>2984.1278000000002</c:v>
                </c:pt>
                <c:pt idx="78">
                  <c:v>3177.4992000000002</c:v>
                </c:pt>
                <c:pt idx="79">
                  <c:v>3340.2921999999999</c:v>
                </c:pt>
                <c:pt idx="80">
                  <c:v>3520.5600000000004</c:v>
                </c:pt>
                <c:pt idx="81">
                  <c:v>3695.6791999999996</c:v>
                </c:pt>
                <c:pt idx="82">
                  <c:v>3820.6565999999998</c:v>
                </c:pt>
                <c:pt idx="83">
                  <c:v>3857.9222</c:v>
                </c:pt>
                <c:pt idx="84">
                  <c:v>3788.7108000000007</c:v>
                </c:pt>
                <c:pt idx="85">
                  <c:v>3592.3843999999999</c:v>
                </c:pt>
                <c:pt idx="86">
                  <c:v>3308.4528</c:v>
                </c:pt>
                <c:pt idx="87">
                  <c:v>3067.9279999999999</c:v>
                </c:pt>
                <c:pt idx="88">
                  <c:v>2965.5862000000002</c:v>
                </c:pt>
                <c:pt idx="89">
                  <c:v>2944.6158000000005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89-4A11-B2E6-49DFA13FA929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DIM!$A$7:$A$96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DIM!$R$7:$R$96</c:f>
              <c:numCache>
                <c:formatCode>General</c:formatCode>
                <c:ptCount val="90"/>
                <c:pt idx="0">
                  <c:v>803.39179999999999</c:v>
                </c:pt>
                <c:pt idx="1">
                  <c:v>977.10939999999994</c:v>
                </c:pt>
                <c:pt idx="2">
                  <c:v>1470.1849999999999</c:v>
                </c:pt>
                <c:pt idx="3">
                  <c:v>2132.6</c:v>
                </c:pt>
                <c:pt idx="4">
                  <c:v>2843.5144</c:v>
                </c:pt>
                <c:pt idx="5">
                  <c:v>3245.3076000000001</c:v>
                </c:pt>
                <c:pt idx="6">
                  <c:v>3399.7964000000006</c:v>
                </c:pt>
                <c:pt idx="7">
                  <c:v>3427.5309999999999</c:v>
                </c:pt>
                <c:pt idx="8">
                  <c:v>3392.9458</c:v>
                </c:pt>
                <c:pt idx="9">
                  <c:v>3292.6886</c:v>
                </c:pt>
                <c:pt idx="10">
                  <c:v>3079.2718</c:v>
                </c:pt>
                <c:pt idx="11">
                  <c:v>2722.0045999999998</c:v>
                </c:pt>
                <c:pt idx="12">
                  <c:v>2413.7208000000001</c:v>
                </c:pt>
                <c:pt idx="13">
                  <c:v>2236.3072000000002</c:v>
                </c:pt>
                <c:pt idx="14">
                  <c:v>2174.9276</c:v>
                </c:pt>
                <c:pt idx="15">
                  <c:v>2175.0774000000001</c:v>
                </c:pt>
                <c:pt idx="16">
                  <c:v>2189.6428000000001</c:v>
                </c:pt>
                <c:pt idx="17">
                  <c:v>2196.0472</c:v>
                </c:pt>
                <c:pt idx="18">
                  <c:v>2178.0173999999997</c:v>
                </c:pt>
                <c:pt idx="19">
                  <c:v>2141.5646000000002</c:v>
                </c:pt>
                <c:pt idx="20">
                  <c:v>2111.6666</c:v>
                </c:pt>
                <c:pt idx="21">
                  <c:v>2104.1548000000003</c:v>
                </c:pt>
                <c:pt idx="22">
                  <c:v>2124.4502000000002</c:v>
                </c:pt>
                <c:pt idx="23">
                  <c:v>2162.0096000000003</c:v>
                </c:pt>
                <c:pt idx="24">
                  <c:v>2194.3355999999999</c:v>
                </c:pt>
                <c:pt idx="25">
                  <c:v>2208.6336000000001</c:v>
                </c:pt>
                <c:pt idx="26">
                  <c:v>2214.1710000000003</c:v>
                </c:pt>
                <c:pt idx="27">
                  <c:v>2226.9736000000003</c:v>
                </c:pt>
                <c:pt idx="28">
                  <c:v>2238.0745999999999</c:v>
                </c:pt>
                <c:pt idx="29">
                  <c:v>2239.5587999999998</c:v>
                </c:pt>
                <c:pt idx="30">
                  <c:v>2234.8126000000002</c:v>
                </c:pt>
                <c:pt idx="31">
                  <c:v>2197.672</c:v>
                </c:pt>
                <c:pt idx="32">
                  <c:v>2096.0140000000001</c:v>
                </c:pt>
                <c:pt idx="33">
                  <c:v>1955.5936000000002</c:v>
                </c:pt>
                <c:pt idx="34">
                  <c:v>1823.9252000000001</c:v>
                </c:pt>
                <c:pt idx="35">
                  <c:v>1739.4469999999997</c:v>
                </c:pt>
                <c:pt idx="36">
                  <c:v>1699.3313999999998</c:v>
                </c:pt>
                <c:pt idx="37">
                  <c:v>1684.4512000000002</c:v>
                </c:pt>
                <c:pt idx="38">
                  <c:v>1679.6953999999998</c:v>
                </c:pt>
                <c:pt idx="39">
                  <c:v>1689.2357999999999</c:v>
                </c:pt>
                <c:pt idx="40">
                  <c:v>1723.0182</c:v>
                </c:pt>
                <c:pt idx="41">
                  <c:v>1788.1874</c:v>
                </c:pt>
                <c:pt idx="42">
                  <c:v>1875.7728</c:v>
                </c:pt>
                <c:pt idx="43">
                  <c:v>1954.8322000000001</c:v>
                </c:pt>
                <c:pt idx="44">
                  <c:v>2007.4919999999997</c:v>
                </c:pt>
                <c:pt idx="45">
                  <c:v>2023.4541999999997</c:v>
                </c:pt>
                <c:pt idx="46">
                  <c:v>2000.9968000000001</c:v>
                </c:pt>
                <c:pt idx="47">
                  <c:v>1936.7372</c:v>
                </c:pt>
                <c:pt idx="48">
                  <c:v>1827.1727999999998</c:v>
                </c:pt>
                <c:pt idx="49">
                  <c:v>1700.827</c:v>
                </c:pt>
                <c:pt idx="50">
                  <c:v>1570.5742</c:v>
                </c:pt>
                <c:pt idx="51">
                  <c:v>1486.3980000000001</c:v>
                </c:pt>
                <c:pt idx="52">
                  <c:v>1438.5963999999999</c:v>
                </c:pt>
                <c:pt idx="53">
                  <c:v>1406.5709999999999</c:v>
                </c:pt>
                <c:pt idx="54">
                  <c:v>1384.6202000000001</c:v>
                </c:pt>
                <c:pt idx="55">
                  <c:v>1367.4940000000001</c:v>
                </c:pt>
                <c:pt idx="56">
                  <c:v>1357.95</c:v>
                </c:pt>
                <c:pt idx="57">
                  <c:v>1355.2729999999999</c:v>
                </c:pt>
                <c:pt idx="58">
                  <c:v>1347.0954000000002</c:v>
                </c:pt>
                <c:pt idx="59">
                  <c:v>1329.4394</c:v>
                </c:pt>
                <c:pt idx="60">
                  <c:v>1309.1955999999998</c:v>
                </c:pt>
                <c:pt idx="61">
                  <c:v>1289.2203999999999</c:v>
                </c:pt>
                <c:pt idx="62">
                  <c:v>1274.9186</c:v>
                </c:pt>
                <c:pt idx="63">
                  <c:v>1307.7692</c:v>
                </c:pt>
                <c:pt idx="64">
                  <c:v>1425.93</c:v>
                </c:pt>
                <c:pt idx="65">
                  <c:v>1485.0412000000001</c:v>
                </c:pt>
                <c:pt idx="66">
                  <c:v>1448.6363999999999</c:v>
                </c:pt>
                <c:pt idx="67">
                  <c:v>1413.7813999999998</c:v>
                </c:pt>
                <c:pt idx="68">
                  <c:v>1578.8809999999999</c:v>
                </c:pt>
                <c:pt idx="69">
                  <c:v>2154.636</c:v>
                </c:pt>
                <c:pt idx="70">
                  <c:v>2926.6851999999999</c:v>
                </c:pt>
                <c:pt idx="71">
                  <c:v>3503.2271999999998</c:v>
                </c:pt>
                <c:pt idx="72">
                  <c:v>3665.2491999999997</c:v>
                </c:pt>
                <c:pt idx="73">
                  <c:v>3370.9234000000006</c:v>
                </c:pt>
                <c:pt idx="74">
                  <c:v>2889.45</c:v>
                </c:pt>
                <c:pt idx="75">
                  <c:v>2689.1616000000004</c:v>
                </c:pt>
                <c:pt idx="76">
                  <c:v>2882.8735999999999</c:v>
                </c:pt>
                <c:pt idx="77">
                  <c:v>3164.6202000000003</c:v>
                </c:pt>
                <c:pt idx="78">
                  <c:v>3327.9778000000006</c:v>
                </c:pt>
                <c:pt idx="79">
                  <c:v>3344.5631999999996</c:v>
                </c:pt>
                <c:pt idx="80">
                  <c:v>3367.7265999999995</c:v>
                </c:pt>
                <c:pt idx="81">
                  <c:v>3448.7335999999996</c:v>
                </c:pt>
                <c:pt idx="82">
                  <c:v>3531.9749999999999</c:v>
                </c:pt>
                <c:pt idx="83">
                  <c:v>3564.9682000000003</c:v>
                </c:pt>
                <c:pt idx="84">
                  <c:v>3518.1230000000005</c:v>
                </c:pt>
                <c:pt idx="85">
                  <c:v>3369.2936</c:v>
                </c:pt>
                <c:pt idx="86">
                  <c:v>3111.6233999999999</c:v>
                </c:pt>
                <c:pt idx="87">
                  <c:v>2857.5650000000001</c:v>
                </c:pt>
                <c:pt idx="88">
                  <c:v>2735.1623999999997</c:v>
                </c:pt>
                <c:pt idx="89">
                  <c:v>2711.9408000000003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89-4A11-B2E6-49DFA13FA9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BRIGHT!$R$7:$R$96</c:f>
              <c:numCache>
                <c:formatCode>General</c:formatCode>
                <c:ptCount val="90"/>
                <c:pt idx="0">
                  <c:v>919.17793333333316</c:v>
                </c:pt>
                <c:pt idx="1">
                  <c:v>1110.9494000000002</c:v>
                </c:pt>
                <c:pt idx="2">
                  <c:v>1564.7768666666668</c:v>
                </c:pt>
                <c:pt idx="3">
                  <c:v>2155.1783999999998</c:v>
                </c:pt>
                <c:pt idx="4">
                  <c:v>2700.0125333333335</c:v>
                </c:pt>
                <c:pt idx="5">
                  <c:v>3040.8602000000001</c:v>
                </c:pt>
                <c:pt idx="6">
                  <c:v>3193.5469333333335</c:v>
                </c:pt>
                <c:pt idx="7">
                  <c:v>3240.1772666666666</c:v>
                </c:pt>
                <c:pt idx="8">
                  <c:v>3228.8885333333333</c:v>
                </c:pt>
                <c:pt idx="9">
                  <c:v>3146.462</c:v>
                </c:pt>
                <c:pt idx="10">
                  <c:v>2938.7147333333332</c:v>
                </c:pt>
                <c:pt idx="11">
                  <c:v>2604.4250666666671</c:v>
                </c:pt>
                <c:pt idx="12">
                  <c:v>2337.0342000000001</c:v>
                </c:pt>
                <c:pt idx="13">
                  <c:v>2195.8327333333336</c:v>
                </c:pt>
                <c:pt idx="14">
                  <c:v>2158.7059333333327</c:v>
                </c:pt>
                <c:pt idx="15">
                  <c:v>2165.3173333333334</c:v>
                </c:pt>
                <c:pt idx="16">
                  <c:v>2180.8108666666662</c:v>
                </c:pt>
                <c:pt idx="17">
                  <c:v>2186.9207333333334</c:v>
                </c:pt>
                <c:pt idx="18">
                  <c:v>2171.3309333333332</c:v>
                </c:pt>
                <c:pt idx="19">
                  <c:v>2142.2992666666664</c:v>
                </c:pt>
                <c:pt idx="20">
                  <c:v>2119.1120666666666</c:v>
                </c:pt>
                <c:pt idx="21">
                  <c:v>2114.6600000000003</c:v>
                </c:pt>
                <c:pt idx="22">
                  <c:v>2136.4404666666665</c:v>
                </c:pt>
                <c:pt idx="23">
                  <c:v>2176.0016000000001</c:v>
                </c:pt>
                <c:pt idx="24">
                  <c:v>2207.2102666666669</c:v>
                </c:pt>
                <c:pt idx="25">
                  <c:v>2218.6972000000001</c:v>
                </c:pt>
                <c:pt idx="26">
                  <c:v>2226.2424000000001</c:v>
                </c:pt>
                <c:pt idx="27">
                  <c:v>2241.0566000000003</c:v>
                </c:pt>
                <c:pt idx="28">
                  <c:v>2249.261</c:v>
                </c:pt>
                <c:pt idx="29">
                  <c:v>2250.8195333333333</c:v>
                </c:pt>
                <c:pt idx="30">
                  <c:v>2248.8817333333332</c:v>
                </c:pt>
                <c:pt idx="31">
                  <c:v>2212.4126666666666</c:v>
                </c:pt>
                <c:pt idx="32">
                  <c:v>2114.376866666667</c:v>
                </c:pt>
                <c:pt idx="33">
                  <c:v>1973.0842</c:v>
                </c:pt>
                <c:pt idx="34">
                  <c:v>1846.3750000000002</c:v>
                </c:pt>
                <c:pt idx="35">
                  <c:v>1763.6656666666668</c:v>
                </c:pt>
                <c:pt idx="36">
                  <c:v>1724.2026000000003</c:v>
                </c:pt>
                <c:pt idx="37">
                  <c:v>1710.6914666666667</c:v>
                </c:pt>
                <c:pt idx="38">
                  <c:v>1707.3966</c:v>
                </c:pt>
                <c:pt idx="39">
                  <c:v>1713.1784</c:v>
                </c:pt>
                <c:pt idx="40">
                  <c:v>1736.5793999999996</c:v>
                </c:pt>
                <c:pt idx="41">
                  <c:v>1788.7146666666667</c:v>
                </c:pt>
                <c:pt idx="42">
                  <c:v>1872.0814</c:v>
                </c:pt>
                <c:pt idx="43">
                  <c:v>1963.5213333333334</c:v>
                </c:pt>
                <c:pt idx="44">
                  <c:v>2033.9177999999999</c:v>
                </c:pt>
                <c:pt idx="45">
                  <c:v>2063.6460666666671</c:v>
                </c:pt>
                <c:pt idx="46">
                  <c:v>2042.5213333333336</c:v>
                </c:pt>
                <c:pt idx="47">
                  <c:v>1971.8092000000001</c:v>
                </c:pt>
                <c:pt idx="48">
                  <c:v>1852.7515333333331</c:v>
                </c:pt>
                <c:pt idx="49">
                  <c:v>1708.2489333333333</c:v>
                </c:pt>
                <c:pt idx="50">
                  <c:v>1545.8013333333336</c:v>
                </c:pt>
                <c:pt idx="51">
                  <c:v>1454.0943333333335</c:v>
                </c:pt>
                <c:pt idx="52">
                  <c:v>1406.5941999999998</c:v>
                </c:pt>
                <c:pt idx="53">
                  <c:v>1380.2945333333337</c:v>
                </c:pt>
                <c:pt idx="54">
                  <c:v>1363.6162666666669</c:v>
                </c:pt>
                <c:pt idx="55">
                  <c:v>1355.3051333333335</c:v>
                </c:pt>
                <c:pt idx="56">
                  <c:v>1352.751733333333</c:v>
                </c:pt>
                <c:pt idx="57">
                  <c:v>1353.7505333333334</c:v>
                </c:pt>
                <c:pt idx="58">
                  <c:v>1359.0834666666665</c:v>
                </c:pt>
                <c:pt idx="59">
                  <c:v>1359.5509999999999</c:v>
                </c:pt>
                <c:pt idx="60">
                  <c:v>1349.2861333333337</c:v>
                </c:pt>
                <c:pt idx="61">
                  <c:v>1331.6654000000003</c:v>
                </c:pt>
                <c:pt idx="62">
                  <c:v>1320.6675333333333</c:v>
                </c:pt>
                <c:pt idx="63">
                  <c:v>1351.9494666666667</c:v>
                </c:pt>
                <c:pt idx="64">
                  <c:v>1459.1569333333332</c:v>
                </c:pt>
                <c:pt idx="65">
                  <c:v>1517.8232666666668</c:v>
                </c:pt>
                <c:pt idx="66">
                  <c:v>1489.1128666666666</c:v>
                </c:pt>
                <c:pt idx="67">
                  <c:v>1474.1230666666668</c:v>
                </c:pt>
                <c:pt idx="68">
                  <c:v>1634.6063999999999</c:v>
                </c:pt>
                <c:pt idx="69">
                  <c:v>2135.849933333333</c:v>
                </c:pt>
                <c:pt idx="70">
                  <c:v>2797.2552666666666</c:v>
                </c:pt>
                <c:pt idx="71">
                  <c:v>3282.2384000000002</c:v>
                </c:pt>
                <c:pt idx="72">
                  <c:v>3374.2047333333339</c:v>
                </c:pt>
                <c:pt idx="73">
                  <c:v>3072.4361333333336</c:v>
                </c:pt>
                <c:pt idx="74">
                  <c:v>2646.9640666666669</c:v>
                </c:pt>
                <c:pt idx="75">
                  <c:v>2473.7358666666669</c:v>
                </c:pt>
                <c:pt idx="76">
                  <c:v>2604.6251333333335</c:v>
                </c:pt>
                <c:pt idx="77">
                  <c:v>2807.8064666666664</c:v>
                </c:pt>
                <c:pt idx="78">
                  <c:v>2972.7508666666663</c:v>
                </c:pt>
                <c:pt idx="79">
                  <c:v>3116.1799333333329</c:v>
                </c:pt>
                <c:pt idx="80">
                  <c:v>3302.5254666666669</c:v>
                </c:pt>
                <c:pt idx="81">
                  <c:v>3492.1681999999996</c:v>
                </c:pt>
                <c:pt idx="82">
                  <c:v>3627.6491999999989</c:v>
                </c:pt>
                <c:pt idx="83">
                  <c:v>3671.2515333333336</c:v>
                </c:pt>
                <c:pt idx="84">
                  <c:v>3603.1297333333332</c:v>
                </c:pt>
                <c:pt idx="85">
                  <c:v>3422.6327333333334</c:v>
                </c:pt>
                <c:pt idx="86">
                  <c:v>3158.1858666666667</c:v>
                </c:pt>
                <c:pt idx="87">
                  <c:v>2939.6934666666662</c:v>
                </c:pt>
                <c:pt idx="88">
                  <c:v>2854.5744666666665</c:v>
                </c:pt>
                <c:pt idx="89">
                  <c:v>2845.3341999999998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863-4861-9B5D-17AAE54D677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BRIGHT!$A$7:$A$96</c:f>
              <c:numCache>
                <c:formatCode>General</c:formatCode>
                <c:ptCount val="90"/>
                <c:pt idx="0">
                  <c:v>-3.75</c:v>
                </c:pt>
                <c:pt idx="1">
                  <c:v>-2.5</c:v>
                </c:pt>
                <c:pt idx="2">
                  <c:v>-1.25</c:v>
                </c:pt>
                <c:pt idx="3">
                  <c:v>0</c:v>
                </c:pt>
                <c:pt idx="4">
                  <c:v>1.25</c:v>
                </c:pt>
                <c:pt idx="5">
                  <c:v>2.5</c:v>
                </c:pt>
                <c:pt idx="6">
                  <c:v>3.75</c:v>
                </c:pt>
                <c:pt idx="7">
                  <c:v>5</c:v>
                </c:pt>
                <c:pt idx="8">
                  <c:v>6.25</c:v>
                </c:pt>
                <c:pt idx="9">
                  <c:v>7.5</c:v>
                </c:pt>
                <c:pt idx="10">
                  <c:v>8.75</c:v>
                </c:pt>
                <c:pt idx="11">
                  <c:v>10</c:v>
                </c:pt>
                <c:pt idx="12">
                  <c:v>11.25</c:v>
                </c:pt>
                <c:pt idx="13">
                  <c:v>12.5</c:v>
                </c:pt>
                <c:pt idx="14">
                  <c:v>13.75</c:v>
                </c:pt>
                <c:pt idx="15">
                  <c:v>15</c:v>
                </c:pt>
                <c:pt idx="16">
                  <c:v>16.25</c:v>
                </c:pt>
                <c:pt idx="17">
                  <c:v>17.5</c:v>
                </c:pt>
                <c:pt idx="18">
                  <c:v>18.75</c:v>
                </c:pt>
                <c:pt idx="19">
                  <c:v>20</c:v>
                </c:pt>
                <c:pt idx="20">
                  <c:v>21.25</c:v>
                </c:pt>
                <c:pt idx="21">
                  <c:v>22.5</c:v>
                </c:pt>
                <c:pt idx="22">
                  <c:v>23.75</c:v>
                </c:pt>
                <c:pt idx="23">
                  <c:v>25</c:v>
                </c:pt>
                <c:pt idx="24">
                  <c:v>26.25</c:v>
                </c:pt>
                <c:pt idx="25">
                  <c:v>27.5</c:v>
                </c:pt>
                <c:pt idx="26">
                  <c:v>28.75</c:v>
                </c:pt>
                <c:pt idx="27">
                  <c:v>30</c:v>
                </c:pt>
                <c:pt idx="28">
                  <c:v>31.25</c:v>
                </c:pt>
                <c:pt idx="29">
                  <c:v>32.5</c:v>
                </c:pt>
                <c:pt idx="30">
                  <c:v>33.75</c:v>
                </c:pt>
                <c:pt idx="31">
                  <c:v>35</c:v>
                </c:pt>
                <c:pt idx="32">
                  <c:v>36.25</c:v>
                </c:pt>
                <c:pt idx="33">
                  <c:v>37.5</c:v>
                </c:pt>
                <c:pt idx="34">
                  <c:v>38.75</c:v>
                </c:pt>
                <c:pt idx="35">
                  <c:v>40</c:v>
                </c:pt>
                <c:pt idx="36">
                  <c:v>41.25</c:v>
                </c:pt>
                <c:pt idx="37">
                  <c:v>42.5</c:v>
                </c:pt>
                <c:pt idx="38">
                  <c:v>43.75</c:v>
                </c:pt>
                <c:pt idx="39">
                  <c:v>45</c:v>
                </c:pt>
                <c:pt idx="40">
                  <c:v>46.25</c:v>
                </c:pt>
                <c:pt idx="41">
                  <c:v>47.5</c:v>
                </c:pt>
                <c:pt idx="42">
                  <c:v>48.75</c:v>
                </c:pt>
                <c:pt idx="43">
                  <c:v>50</c:v>
                </c:pt>
                <c:pt idx="44">
                  <c:v>51.25</c:v>
                </c:pt>
                <c:pt idx="45">
                  <c:v>52.5</c:v>
                </c:pt>
                <c:pt idx="46">
                  <c:v>53.75</c:v>
                </c:pt>
                <c:pt idx="47">
                  <c:v>55</c:v>
                </c:pt>
                <c:pt idx="48">
                  <c:v>56.25</c:v>
                </c:pt>
                <c:pt idx="49">
                  <c:v>57.5</c:v>
                </c:pt>
                <c:pt idx="50">
                  <c:v>58.75</c:v>
                </c:pt>
                <c:pt idx="51">
                  <c:v>60</c:v>
                </c:pt>
                <c:pt idx="52">
                  <c:v>61.25</c:v>
                </c:pt>
                <c:pt idx="53">
                  <c:v>62.5</c:v>
                </c:pt>
                <c:pt idx="54">
                  <c:v>63.75</c:v>
                </c:pt>
                <c:pt idx="55">
                  <c:v>65</c:v>
                </c:pt>
                <c:pt idx="56">
                  <c:v>66.25</c:v>
                </c:pt>
                <c:pt idx="57">
                  <c:v>67.5</c:v>
                </c:pt>
                <c:pt idx="58">
                  <c:v>68.75</c:v>
                </c:pt>
                <c:pt idx="59">
                  <c:v>70</c:v>
                </c:pt>
                <c:pt idx="60">
                  <c:v>71.25</c:v>
                </c:pt>
                <c:pt idx="61">
                  <c:v>72.5</c:v>
                </c:pt>
                <c:pt idx="62">
                  <c:v>73.75</c:v>
                </c:pt>
                <c:pt idx="63">
                  <c:v>75</c:v>
                </c:pt>
                <c:pt idx="64">
                  <c:v>76.25</c:v>
                </c:pt>
                <c:pt idx="65">
                  <c:v>77.5</c:v>
                </c:pt>
                <c:pt idx="66">
                  <c:v>78.75</c:v>
                </c:pt>
                <c:pt idx="67">
                  <c:v>80</c:v>
                </c:pt>
                <c:pt idx="68">
                  <c:v>81.25</c:v>
                </c:pt>
                <c:pt idx="69">
                  <c:v>82.5</c:v>
                </c:pt>
                <c:pt idx="70">
                  <c:v>83.75</c:v>
                </c:pt>
                <c:pt idx="71">
                  <c:v>85</c:v>
                </c:pt>
                <c:pt idx="72">
                  <c:v>86.25</c:v>
                </c:pt>
                <c:pt idx="73">
                  <c:v>87.5</c:v>
                </c:pt>
                <c:pt idx="74">
                  <c:v>88.75</c:v>
                </c:pt>
                <c:pt idx="75">
                  <c:v>90</c:v>
                </c:pt>
                <c:pt idx="76">
                  <c:v>91.25</c:v>
                </c:pt>
                <c:pt idx="77">
                  <c:v>92.5</c:v>
                </c:pt>
                <c:pt idx="78">
                  <c:v>93.75</c:v>
                </c:pt>
                <c:pt idx="79">
                  <c:v>95</c:v>
                </c:pt>
                <c:pt idx="80">
                  <c:v>96.25</c:v>
                </c:pt>
                <c:pt idx="81">
                  <c:v>97.5</c:v>
                </c:pt>
                <c:pt idx="82">
                  <c:v>98.75</c:v>
                </c:pt>
                <c:pt idx="83">
                  <c:v>100</c:v>
                </c:pt>
                <c:pt idx="84">
                  <c:v>101.25</c:v>
                </c:pt>
                <c:pt idx="85">
                  <c:v>102.5</c:v>
                </c:pt>
                <c:pt idx="86">
                  <c:v>103.75</c:v>
                </c:pt>
                <c:pt idx="87">
                  <c:v>105</c:v>
                </c:pt>
                <c:pt idx="88">
                  <c:v>106.25</c:v>
                </c:pt>
                <c:pt idx="89">
                  <c:v>107.5</c:v>
                </c:pt>
              </c:numCache>
            </c:numRef>
          </c:xVal>
          <c:yVal>
            <c:numRef>
              <c:f>BRIGHT!$AL$7:$AL$96</c:f>
              <c:numCache>
                <c:formatCode>General</c:formatCode>
                <c:ptCount val="90"/>
                <c:pt idx="0">
                  <c:v>832.55812500000002</c:v>
                </c:pt>
                <c:pt idx="1">
                  <c:v>1062.2753749999999</c:v>
                </c:pt>
                <c:pt idx="2">
                  <c:v>1575.7082500000001</c:v>
                </c:pt>
                <c:pt idx="3">
                  <c:v>2211.5696250000001</c:v>
                </c:pt>
                <c:pt idx="4">
                  <c:v>2810.3776250000005</c:v>
                </c:pt>
                <c:pt idx="5">
                  <c:v>3193.7423749999998</c:v>
                </c:pt>
                <c:pt idx="6">
                  <c:v>3361.2609999999995</c:v>
                </c:pt>
                <c:pt idx="7">
                  <c:v>3410.6913750000003</c:v>
                </c:pt>
                <c:pt idx="8">
                  <c:v>3392.5050000000001</c:v>
                </c:pt>
                <c:pt idx="9">
                  <c:v>3307.4484999999995</c:v>
                </c:pt>
                <c:pt idx="10">
                  <c:v>3092.9216249999995</c:v>
                </c:pt>
                <c:pt idx="11">
                  <c:v>2735.6953750000002</c:v>
                </c:pt>
                <c:pt idx="12">
                  <c:v>2455.2629999999999</c:v>
                </c:pt>
                <c:pt idx="13">
                  <c:v>2304.9335000000001</c:v>
                </c:pt>
                <c:pt idx="14">
                  <c:v>2256.5897500000001</c:v>
                </c:pt>
                <c:pt idx="15">
                  <c:v>2265.3160000000003</c:v>
                </c:pt>
                <c:pt idx="16">
                  <c:v>2282.922</c:v>
                </c:pt>
                <c:pt idx="17">
                  <c:v>2287.3671249999998</c:v>
                </c:pt>
                <c:pt idx="18">
                  <c:v>2269.8895000000002</c:v>
                </c:pt>
                <c:pt idx="19">
                  <c:v>2237.5194999999999</c:v>
                </c:pt>
                <c:pt idx="20">
                  <c:v>2210.9207500000002</c:v>
                </c:pt>
                <c:pt idx="21">
                  <c:v>2208.6793750000002</c:v>
                </c:pt>
                <c:pt idx="22">
                  <c:v>2233.4809999999998</c:v>
                </c:pt>
                <c:pt idx="23">
                  <c:v>2271.5857499999997</c:v>
                </c:pt>
                <c:pt idx="24">
                  <c:v>2306.0774999999999</c:v>
                </c:pt>
                <c:pt idx="25">
                  <c:v>2320.7862499999997</c:v>
                </c:pt>
                <c:pt idx="26">
                  <c:v>2331.7101249999996</c:v>
                </c:pt>
                <c:pt idx="27">
                  <c:v>2351.4968750000003</c:v>
                </c:pt>
                <c:pt idx="28">
                  <c:v>2365.4428750000002</c:v>
                </c:pt>
                <c:pt idx="29">
                  <c:v>2373.5903750000002</c:v>
                </c:pt>
                <c:pt idx="30">
                  <c:v>2375.0675000000001</c:v>
                </c:pt>
                <c:pt idx="31">
                  <c:v>2339.0650000000001</c:v>
                </c:pt>
                <c:pt idx="32">
                  <c:v>2231.2797500000001</c:v>
                </c:pt>
                <c:pt idx="33">
                  <c:v>2079.1930000000002</c:v>
                </c:pt>
                <c:pt idx="34">
                  <c:v>1942.7307499999999</c:v>
                </c:pt>
                <c:pt idx="35">
                  <c:v>1854.45775</c:v>
                </c:pt>
                <c:pt idx="36">
                  <c:v>1810.2214999999997</c:v>
                </c:pt>
                <c:pt idx="37">
                  <c:v>1793.2598749999997</c:v>
                </c:pt>
                <c:pt idx="38">
                  <c:v>1791.8341250000001</c:v>
                </c:pt>
                <c:pt idx="39">
                  <c:v>1797.5938750000003</c:v>
                </c:pt>
                <c:pt idx="40">
                  <c:v>1821.0208749999999</c:v>
                </c:pt>
                <c:pt idx="41">
                  <c:v>1875.06575</c:v>
                </c:pt>
                <c:pt idx="42">
                  <c:v>1962.423</c:v>
                </c:pt>
                <c:pt idx="43">
                  <c:v>2056.4270000000001</c:v>
                </c:pt>
                <c:pt idx="44">
                  <c:v>2125.1907500000002</c:v>
                </c:pt>
                <c:pt idx="45">
                  <c:v>2151.6978749999998</c:v>
                </c:pt>
                <c:pt idx="46">
                  <c:v>2131.955375</c:v>
                </c:pt>
                <c:pt idx="47">
                  <c:v>2059.76775</c:v>
                </c:pt>
                <c:pt idx="48">
                  <c:v>1934.0227500000001</c:v>
                </c:pt>
                <c:pt idx="49">
                  <c:v>1781.7023749999998</c:v>
                </c:pt>
                <c:pt idx="50">
                  <c:v>1620.1216249999998</c:v>
                </c:pt>
                <c:pt idx="51">
                  <c:v>1522.3686249999998</c:v>
                </c:pt>
                <c:pt idx="52">
                  <c:v>1471.5636250000002</c:v>
                </c:pt>
                <c:pt idx="53">
                  <c:v>1441.6037500000002</c:v>
                </c:pt>
                <c:pt idx="54">
                  <c:v>1424.8987500000001</c:v>
                </c:pt>
                <c:pt idx="55">
                  <c:v>1417.8415</c:v>
                </c:pt>
                <c:pt idx="56">
                  <c:v>1417.00875</c:v>
                </c:pt>
                <c:pt idx="57">
                  <c:v>1422.7158749999999</c:v>
                </c:pt>
                <c:pt idx="58">
                  <c:v>1431.9773749999999</c:v>
                </c:pt>
                <c:pt idx="59">
                  <c:v>1431.98975</c:v>
                </c:pt>
                <c:pt idx="60">
                  <c:v>1421.933125</c:v>
                </c:pt>
                <c:pt idx="61">
                  <c:v>1404.3232499999999</c:v>
                </c:pt>
                <c:pt idx="62">
                  <c:v>1388.7985000000001</c:v>
                </c:pt>
                <c:pt idx="63">
                  <c:v>1419.946625</c:v>
                </c:pt>
                <c:pt idx="64">
                  <c:v>1545.6612500000001</c:v>
                </c:pt>
                <c:pt idx="65">
                  <c:v>1621.999875</c:v>
                </c:pt>
                <c:pt idx="66">
                  <c:v>1585.9849999999999</c:v>
                </c:pt>
                <c:pt idx="67">
                  <c:v>1550.7261250000001</c:v>
                </c:pt>
                <c:pt idx="68">
                  <c:v>1750.0996249999998</c:v>
                </c:pt>
                <c:pt idx="69">
                  <c:v>2405.3575000000001</c:v>
                </c:pt>
                <c:pt idx="70">
                  <c:v>3226.3121250000004</c:v>
                </c:pt>
                <c:pt idx="71">
                  <c:v>3837.1826249999999</c:v>
                </c:pt>
                <c:pt idx="72">
                  <c:v>3986.4424999999997</c:v>
                </c:pt>
                <c:pt idx="73">
                  <c:v>3652.7547500000001</c:v>
                </c:pt>
                <c:pt idx="74">
                  <c:v>3122.723375</c:v>
                </c:pt>
                <c:pt idx="75">
                  <c:v>2890.5238749999999</c:v>
                </c:pt>
                <c:pt idx="76">
                  <c:v>3078.5658749999998</c:v>
                </c:pt>
                <c:pt idx="77">
                  <c:v>3377.04025</c:v>
                </c:pt>
                <c:pt idx="78">
                  <c:v>3562.6949999999997</c:v>
                </c:pt>
                <c:pt idx="79">
                  <c:v>3601.7601249999998</c:v>
                </c:pt>
                <c:pt idx="80">
                  <c:v>3645.5048750000001</c:v>
                </c:pt>
                <c:pt idx="81">
                  <c:v>3760.0047500000005</c:v>
                </c:pt>
                <c:pt idx="82">
                  <c:v>3873.0186249999997</c:v>
                </c:pt>
                <c:pt idx="83">
                  <c:v>3920.5016249999994</c:v>
                </c:pt>
                <c:pt idx="84">
                  <c:v>3873.2470000000003</c:v>
                </c:pt>
                <c:pt idx="85">
                  <c:v>3702.8601250000002</c:v>
                </c:pt>
                <c:pt idx="86">
                  <c:v>3417.4861250000004</c:v>
                </c:pt>
                <c:pt idx="87">
                  <c:v>3155.1566249999996</c:v>
                </c:pt>
                <c:pt idx="88">
                  <c:v>3038.1301250000001</c:v>
                </c:pt>
                <c:pt idx="89">
                  <c:v>3015.462125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863-4861-9B5D-17AAE54D67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0040936"/>
        <c:axId val="457125736"/>
      </c:scatterChart>
      <c:valAx>
        <c:axId val="560040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7125736"/>
        <c:crosses val="autoZero"/>
        <c:crossBetween val="midCat"/>
      </c:valAx>
      <c:valAx>
        <c:axId val="457125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0040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519112</xdr:colOff>
      <xdr:row>7</xdr:row>
      <xdr:rowOff>4762</xdr:rowOff>
    </xdr:from>
    <xdr:to>
      <xdr:col>13</xdr:col>
      <xdr:colOff>342900</xdr:colOff>
      <xdr:row>32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F95396-3466-4F51-B312-22BD193941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271462</xdr:colOff>
      <xdr:row>2</xdr:row>
      <xdr:rowOff>66675</xdr:rowOff>
    </xdr:from>
    <xdr:to>
      <xdr:col>19</xdr:col>
      <xdr:colOff>38100</xdr:colOff>
      <xdr:row>30</xdr:row>
      <xdr:rowOff>57149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C5CF1A-5DF7-4F7E-A4E6-2945CE7669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4\_dark_profiles_YA04_DARK-dim" connectionId="2" xr16:uid="{5E536A76-F9E4-468C-B30A-976D11D42AD6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4\_light_profiles_YA04_LIGHT-dim" connectionId="4" xr16:uid="{2871D47F-544C-4BC7-9BCD-986737AB46C7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4\_light_profiles_YA04_LIGHT" connectionId="3" xr16:uid="{C9FCEE31-1C3E-4FE8-BE77-9D291DC80709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[[[OCT RAW]]]\YA04\_dark_profiles_YA04_DARK" connectionId="1" xr16:uid="{89CE7055-8E25-45E4-82F1-4A2CFC7F7B9A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queryTable" Target="../queryTables/queryTable2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6"/>
  <sheetViews>
    <sheetView tabSelected="1" workbookViewId="0">
      <selection activeCell="D2" sqref="D2"/>
    </sheetView>
  </sheetViews>
  <sheetFormatPr defaultRowHeight="15" x14ac:dyDescent="0.25"/>
  <cols>
    <col min="1" max="1" width="15.42578125" bestFit="1" customWidth="1"/>
    <col min="2" max="6" width="9" bestFit="1" customWidth="1"/>
    <col min="7" max="7" width="2.140625" style="1" customWidth="1"/>
    <col min="8" max="9" width="9.140625" style="2"/>
    <col min="10" max="10" width="2.85546875" style="1" customWidth="1"/>
    <col min="11" max="11" width="15.5703125" bestFit="1" customWidth="1"/>
    <col min="12" max="16" width="9" bestFit="1" customWidth="1"/>
    <col min="17" max="17" width="2.140625" style="1" customWidth="1"/>
    <col min="18" max="19" width="9.140625" style="3"/>
    <col min="20" max="20" width="2.85546875" style="1" customWidth="1"/>
  </cols>
  <sheetData>
    <row r="1" spans="1:19" x14ac:dyDescent="0.25">
      <c r="A1" s="8" t="s">
        <v>4</v>
      </c>
      <c r="B1" s="8"/>
      <c r="C1" s="8"/>
      <c r="D1" s="8"/>
      <c r="E1" s="8"/>
      <c r="F1" s="8"/>
      <c r="K1" s="9" t="s">
        <v>5</v>
      </c>
      <c r="L1" s="9"/>
      <c r="M1" s="9"/>
      <c r="N1" s="9"/>
      <c r="O1" s="9"/>
      <c r="P1" s="9"/>
    </row>
    <row r="2" spans="1:19" x14ac:dyDescent="0.25">
      <c r="A2" t="s">
        <v>8</v>
      </c>
      <c r="B2">
        <v>1</v>
      </c>
      <c r="C2">
        <v>2</v>
      </c>
      <c r="D2">
        <v>3</v>
      </c>
      <c r="E2">
        <v>4</v>
      </c>
      <c r="F2">
        <v>5</v>
      </c>
      <c r="K2" t="s">
        <v>9</v>
      </c>
      <c r="L2">
        <v>1</v>
      </c>
      <c r="M2">
        <v>2</v>
      </c>
      <c r="N2">
        <v>3</v>
      </c>
      <c r="O2">
        <v>4</v>
      </c>
      <c r="P2">
        <v>5</v>
      </c>
    </row>
    <row r="3" spans="1:19" x14ac:dyDescent="0.25">
      <c r="A3" t="s">
        <v>0</v>
      </c>
      <c r="B3">
        <v>-8.0000000000000002E-3</v>
      </c>
      <c r="C3">
        <v>-0.06</v>
      </c>
      <c r="D3">
        <v>0.498</v>
      </c>
      <c r="E3">
        <v>0.97699999999999998</v>
      </c>
      <c r="F3">
        <v>-0.114</v>
      </c>
      <c r="K3" t="s">
        <v>0</v>
      </c>
      <c r="L3">
        <v>-1.2969999999999999</v>
      </c>
      <c r="M3">
        <v>-0.60799999999999998</v>
      </c>
      <c r="N3">
        <v>2.246</v>
      </c>
      <c r="O3">
        <v>1.5669999999999999</v>
      </c>
      <c r="P3">
        <v>1.7649999999999999</v>
      </c>
    </row>
    <row r="4" spans="1:19" x14ac:dyDescent="0.25">
      <c r="A4" t="s">
        <v>1</v>
      </c>
      <c r="B4">
        <v>315.83100000000002</v>
      </c>
      <c r="C4">
        <v>316.988</v>
      </c>
      <c r="D4">
        <v>317.983</v>
      </c>
      <c r="E4">
        <v>316.78300000000002</v>
      </c>
      <c r="F4">
        <v>318.96800000000002</v>
      </c>
      <c r="H4" s="2">
        <f>AVERAGE(B4:F4)</f>
        <v>317.31060000000002</v>
      </c>
      <c r="I4" s="2">
        <f>STDEV(B4:F4)/SQRT(COUNT(B4:F4))</f>
        <v>0.53715664382003114</v>
      </c>
      <c r="K4" t="s">
        <v>1</v>
      </c>
      <c r="L4">
        <v>316.42700000000002</v>
      </c>
      <c r="M4">
        <v>317.19600000000003</v>
      </c>
      <c r="N4">
        <v>317.642</v>
      </c>
      <c r="O4">
        <v>317.48500000000001</v>
      </c>
      <c r="P4">
        <v>314.613</v>
      </c>
      <c r="R4" s="3">
        <f>AVERAGE(L4:P4)</f>
        <v>316.67259999999999</v>
      </c>
      <c r="S4" s="3">
        <f>STDEV(L4:P4)/SQRT(COUNT(L4:P4))</f>
        <v>0.55569547415828535</v>
      </c>
    </row>
    <row r="5" spans="1:19" x14ac:dyDescent="0.25">
      <c r="A5" t="s">
        <v>2</v>
      </c>
      <c r="B5">
        <v>68.375</v>
      </c>
      <c r="C5">
        <v>67.391000000000005</v>
      </c>
      <c r="D5">
        <v>67.570999999999998</v>
      </c>
      <c r="E5">
        <v>67.548000000000002</v>
      </c>
      <c r="F5">
        <v>67.218000000000004</v>
      </c>
      <c r="H5" s="2">
        <f t="shared" ref="H5:H68" si="0">AVERAGE(B5:F5)</f>
        <v>67.620599999999996</v>
      </c>
      <c r="I5" s="2">
        <f t="shared" ref="I5:I68" si="1">STDEV(B5:F5)/SQRT(COUNT(B5:F5))</f>
        <v>0.19895391426156894</v>
      </c>
      <c r="K5" t="s">
        <v>2</v>
      </c>
      <c r="L5">
        <v>67.450999999999993</v>
      </c>
      <c r="M5">
        <v>67.59</v>
      </c>
      <c r="N5">
        <v>67.027000000000001</v>
      </c>
      <c r="O5">
        <v>67.290999999999997</v>
      </c>
      <c r="P5">
        <v>67.156999999999996</v>
      </c>
      <c r="R5" s="3">
        <f t="shared" ref="R5:R68" si="2">AVERAGE(L5:P5)</f>
        <v>67.30319999999999</v>
      </c>
      <c r="S5" s="3">
        <f t="shared" ref="S5:S68" si="3">STDEV(L5:P5)/SQRT(COUNT(L5:P5))</f>
        <v>0.10047606680200029</v>
      </c>
    </row>
    <row r="6" spans="1:19" x14ac:dyDescent="0.25">
      <c r="A6" t="s">
        <v>3</v>
      </c>
      <c r="B6">
        <v>31.722000000000001</v>
      </c>
      <c r="C6">
        <v>33.049999999999997</v>
      </c>
      <c r="D6">
        <v>34.610999999999997</v>
      </c>
      <c r="E6">
        <v>32.786000000000001</v>
      </c>
      <c r="F6">
        <v>35.643000000000001</v>
      </c>
      <c r="H6" s="2">
        <f t="shared" si="0"/>
        <v>33.562399999999997</v>
      </c>
      <c r="I6" s="2">
        <f t="shared" si="1"/>
        <v>0.69573275041498484</v>
      </c>
      <c r="K6" t="s">
        <v>3</v>
      </c>
      <c r="L6">
        <v>32.701999999999998</v>
      </c>
      <c r="M6">
        <v>33.905999999999999</v>
      </c>
      <c r="N6">
        <v>34.406999999999996</v>
      </c>
      <c r="O6">
        <v>34.284999999999997</v>
      </c>
      <c r="P6">
        <v>32.924999999999997</v>
      </c>
      <c r="R6" s="3">
        <f t="shared" si="2"/>
        <v>33.645000000000003</v>
      </c>
      <c r="S6" s="3">
        <f t="shared" si="3"/>
        <v>0.35114199407077451</v>
      </c>
    </row>
    <row r="7" spans="1:19" x14ac:dyDescent="0.25">
      <c r="A7">
        <v>-3.75</v>
      </c>
      <c r="B7">
        <v>963.69899999999996</v>
      </c>
      <c r="C7">
        <v>788.13900000000001</v>
      </c>
      <c r="D7">
        <v>863.66800000000001</v>
      </c>
      <c r="E7">
        <v>821.62300000000005</v>
      </c>
      <c r="F7">
        <v>746.01</v>
      </c>
      <c r="H7" s="2">
        <f t="shared" si="0"/>
        <v>836.62779999999998</v>
      </c>
      <c r="I7" s="2">
        <f t="shared" si="1"/>
        <v>37.192845891918502</v>
      </c>
      <c r="K7">
        <v>-3.75</v>
      </c>
      <c r="L7">
        <v>840.49400000000003</v>
      </c>
      <c r="M7">
        <v>716.38199999999995</v>
      </c>
      <c r="N7">
        <v>783.06</v>
      </c>
      <c r="O7">
        <v>859.60199999999998</v>
      </c>
      <c r="P7">
        <v>817.42100000000005</v>
      </c>
      <c r="R7" s="3">
        <f t="shared" si="2"/>
        <v>803.39179999999999</v>
      </c>
      <c r="S7" s="3">
        <f t="shared" si="3"/>
        <v>25.216131413045908</v>
      </c>
    </row>
    <row r="8" spans="1:19" x14ac:dyDescent="0.25">
      <c r="A8">
        <v>-2.5</v>
      </c>
      <c r="B8">
        <v>1148.4690000000001</v>
      </c>
      <c r="C8">
        <v>961.05200000000002</v>
      </c>
      <c r="D8">
        <v>1020.409</v>
      </c>
      <c r="E8">
        <v>1004.937</v>
      </c>
      <c r="F8">
        <v>951.63400000000001</v>
      </c>
      <c r="H8" s="2">
        <f t="shared" si="0"/>
        <v>1017.3002</v>
      </c>
      <c r="I8" s="2">
        <f t="shared" si="1"/>
        <v>35.24462886086333</v>
      </c>
      <c r="K8">
        <v>-2.5</v>
      </c>
      <c r="L8">
        <v>1019.542</v>
      </c>
      <c r="M8">
        <v>849.51499999999999</v>
      </c>
      <c r="N8">
        <v>967.52700000000004</v>
      </c>
      <c r="O8">
        <v>1026.6510000000001</v>
      </c>
      <c r="P8">
        <v>1022.312</v>
      </c>
      <c r="R8" s="3">
        <f t="shared" si="2"/>
        <v>977.10939999999994</v>
      </c>
      <c r="S8" s="3">
        <f t="shared" si="3"/>
        <v>33.667732342110604</v>
      </c>
    </row>
    <row r="9" spans="1:19" x14ac:dyDescent="0.25">
      <c r="A9">
        <v>-1.25</v>
      </c>
      <c r="B9">
        <v>1696.367</v>
      </c>
      <c r="C9">
        <v>1549.681</v>
      </c>
      <c r="D9">
        <v>1487.18</v>
      </c>
      <c r="E9">
        <v>1471.191</v>
      </c>
      <c r="F9">
        <v>1581.789</v>
      </c>
      <c r="H9" s="2">
        <f t="shared" si="0"/>
        <v>1557.2415999999998</v>
      </c>
      <c r="I9" s="2">
        <f t="shared" si="1"/>
        <v>40.205066844366748</v>
      </c>
      <c r="K9">
        <v>-1.25</v>
      </c>
      <c r="L9">
        <v>1549.5419999999999</v>
      </c>
      <c r="M9">
        <v>1319.4069999999999</v>
      </c>
      <c r="N9">
        <v>1522.5440000000001</v>
      </c>
      <c r="O9">
        <v>1522.67</v>
      </c>
      <c r="P9">
        <v>1436.7619999999999</v>
      </c>
      <c r="R9" s="3">
        <f t="shared" si="2"/>
        <v>1470.1849999999999</v>
      </c>
      <c r="S9" s="3">
        <f t="shared" si="3"/>
        <v>42.216570069109132</v>
      </c>
    </row>
    <row r="10" spans="1:19" x14ac:dyDescent="0.25">
      <c r="A10">
        <v>0</v>
      </c>
      <c r="B10">
        <v>2392.2640000000001</v>
      </c>
      <c r="C10">
        <v>2316.2809999999999</v>
      </c>
      <c r="D10">
        <v>2176.0830000000001</v>
      </c>
      <c r="E10">
        <v>2056.3409999999999</v>
      </c>
      <c r="F10">
        <v>2411.9189999999999</v>
      </c>
      <c r="H10" s="2">
        <f t="shared" si="0"/>
        <v>2270.5776000000001</v>
      </c>
      <c r="I10" s="2">
        <f t="shared" si="1"/>
        <v>67.712747056665791</v>
      </c>
      <c r="K10">
        <v>0</v>
      </c>
      <c r="L10">
        <v>2236.346</v>
      </c>
      <c r="M10">
        <v>1971.2139999999999</v>
      </c>
      <c r="N10">
        <v>2262.8560000000002</v>
      </c>
      <c r="O10">
        <v>2217.3939999999998</v>
      </c>
      <c r="P10">
        <v>1975.19</v>
      </c>
      <c r="R10" s="3">
        <f t="shared" si="2"/>
        <v>2132.6</v>
      </c>
      <c r="S10" s="3">
        <f t="shared" si="3"/>
        <v>65.476419260677361</v>
      </c>
    </row>
    <row r="11" spans="1:19" x14ac:dyDescent="0.25">
      <c r="A11">
        <v>1.25</v>
      </c>
      <c r="B11">
        <v>3089.3040000000001</v>
      </c>
      <c r="C11">
        <v>3016.3539999999998</v>
      </c>
      <c r="D11">
        <v>2814.2979999999998</v>
      </c>
      <c r="E11">
        <v>2584.4430000000002</v>
      </c>
      <c r="F11">
        <v>3330.6019999999999</v>
      </c>
      <c r="H11" s="2">
        <f t="shared" si="0"/>
        <v>2967.0001999999995</v>
      </c>
      <c r="I11" s="2">
        <f t="shared" si="1"/>
        <v>126.34640065882364</v>
      </c>
      <c r="K11">
        <v>1.25</v>
      </c>
      <c r="L11">
        <v>2919.873</v>
      </c>
      <c r="M11">
        <v>2654.395</v>
      </c>
      <c r="N11">
        <v>3181.4090000000001</v>
      </c>
      <c r="O11">
        <v>2904.569</v>
      </c>
      <c r="P11">
        <v>2557.326</v>
      </c>
      <c r="R11" s="3">
        <f t="shared" si="2"/>
        <v>2843.5144</v>
      </c>
      <c r="S11" s="3">
        <f t="shared" si="3"/>
        <v>109.86378121000571</v>
      </c>
    </row>
    <row r="12" spans="1:19" x14ac:dyDescent="0.25">
      <c r="A12">
        <v>2.5</v>
      </c>
      <c r="B12">
        <v>3559.2440000000001</v>
      </c>
      <c r="C12">
        <v>3486.5160000000001</v>
      </c>
      <c r="D12">
        <v>3171.0749999999998</v>
      </c>
      <c r="E12">
        <v>2969.3090000000002</v>
      </c>
      <c r="F12">
        <v>3710.8879999999999</v>
      </c>
      <c r="H12" s="2">
        <f t="shared" si="0"/>
        <v>3379.4063999999998</v>
      </c>
      <c r="I12" s="2">
        <f t="shared" si="1"/>
        <v>135.14361428443445</v>
      </c>
      <c r="K12">
        <v>2.5</v>
      </c>
      <c r="L12">
        <v>3390.2910000000002</v>
      </c>
      <c r="M12">
        <v>3012.1790000000001</v>
      </c>
      <c r="N12">
        <v>3605.9850000000001</v>
      </c>
      <c r="O12">
        <v>3297.6990000000001</v>
      </c>
      <c r="P12">
        <v>2920.384</v>
      </c>
      <c r="R12" s="3">
        <f t="shared" si="2"/>
        <v>3245.3076000000001</v>
      </c>
      <c r="S12" s="3">
        <f t="shared" si="3"/>
        <v>125.25524378547992</v>
      </c>
    </row>
    <row r="13" spans="1:19" x14ac:dyDescent="0.25">
      <c r="A13">
        <v>3.75</v>
      </c>
      <c r="B13">
        <v>3778.72</v>
      </c>
      <c r="C13">
        <v>3715.194</v>
      </c>
      <c r="D13">
        <v>3328.8670000000002</v>
      </c>
      <c r="E13">
        <v>3151.1370000000002</v>
      </c>
      <c r="F13">
        <v>3738.1370000000002</v>
      </c>
      <c r="H13" s="2">
        <f t="shared" si="0"/>
        <v>3542.4110000000001</v>
      </c>
      <c r="I13" s="2">
        <f t="shared" si="1"/>
        <v>127.02380852777161</v>
      </c>
      <c r="K13">
        <v>3.75</v>
      </c>
      <c r="L13">
        <v>3624.933</v>
      </c>
      <c r="M13">
        <v>3120.01</v>
      </c>
      <c r="N13">
        <v>3671.712</v>
      </c>
      <c r="O13">
        <v>3471.1930000000002</v>
      </c>
      <c r="P13">
        <v>3111.134</v>
      </c>
      <c r="R13" s="3">
        <f t="shared" si="2"/>
        <v>3399.7964000000006</v>
      </c>
      <c r="S13" s="3">
        <f t="shared" si="3"/>
        <v>120.69143869247723</v>
      </c>
    </row>
    <row r="14" spans="1:19" x14ac:dyDescent="0.25">
      <c r="A14">
        <v>5</v>
      </c>
      <c r="B14">
        <v>3867.4070000000002</v>
      </c>
      <c r="C14">
        <v>3836.683</v>
      </c>
      <c r="D14">
        <v>3367.8719999999998</v>
      </c>
      <c r="E14">
        <v>3218.62</v>
      </c>
      <c r="F14">
        <v>3668.241</v>
      </c>
      <c r="H14" s="2">
        <f t="shared" si="0"/>
        <v>3591.7645999999995</v>
      </c>
      <c r="I14" s="2">
        <f t="shared" si="1"/>
        <v>128.6812309424339</v>
      </c>
      <c r="K14">
        <v>5</v>
      </c>
      <c r="L14">
        <v>3737.578</v>
      </c>
      <c r="M14">
        <v>3145.2849999999999</v>
      </c>
      <c r="N14">
        <v>3551.7510000000002</v>
      </c>
      <c r="O14">
        <v>3512.2890000000002</v>
      </c>
      <c r="P14">
        <v>3190.752</v>
      </c>
      <c r="R14" s="3">
        <f t="shared" si="2"/>
        <v>3427.5309999999999</v>
      </c>
      <c r="S14" s="3">
        <f t="shared" si="3"/>
        <v>112.79866323011105</v>
      </c>
    </row>
    <row r="15" spans="1:19" x14ac:dyDescent="0.25">
      <c r="A15">
        <v>6.25</v>
      </c>
      <c r="B15">
        <v>3870.0569999999998</v>
      </c>
      <c r="C15">
        <v>3830.4789999999998</v>
      </c>
      <c r="D15">
        <v>3308.971</v>
      </c>
      <c r="E15">
        <v>3227.6379999999999</v>
      </c>
      <c r="F15">
        <v>3580.1370000000002</v>
      </c>
      <c r="H15" s="2">
        <f t="shared" si="0"/>
        <v>3563.4564</v>
      </c>
      <c r="I15" s="2">
        <f t="shared" si="1"/>
        <v>130.9809252981517</v>
      </c>
      <c r="K15">
        <v>6.25</v>
      </c>
      <c r="L15">
        <v>3735.6550000000002</v>
      </c>
      <c r="M15">
        <v>3085.7069999999999</v>
      </c>
      <c r="N15">
        <v>3456.4029999999998</v>
      </c>
      <c r="O15">
        <v>3478.5590000000002</v>
      </c>
      <c r="P15">
        <v>3208.4050000000002</v>
      </c>
      <c r="R15" s="3">
        <f t="shared" si="2"/>
        <v>3392.9458</v>
      </c>
      <c r="S15" s="3">
        <f t="shared" si="3"/>
        <v>113.41450945553662</v>
      </c>
    </row>
    <row r="16" spans="1:19" x14ac:dyDescent="0.25">
      <c r="A16">
        <v>7.5</v>
      </c>
      <c r="B16">
        <v>3747.8150000000001</v>
      </c>
      <c r="C16">
        <v>3735.7530000000002</v>
      </c>
      <c r="D16">
        <v>3190.7460000000001</v>
      </c>
      <c r="E16">
        <v>3139.1880000000001</v>
      </c>
      <c r="F16">
        <v>3481.576</v>
      </c>
      <c r="H16" s="2">
        <f t="shared" si="0"/>
        <v>3459.0156000000002</v>
      </c>
      <c r="I16" s="2">
        <f t="shared" si="1"/>
        <v>129.37463539140893</v>
      </c>
      <c r="K16">
        <v>7.5</v>
      </c>
      <c r="L16">
        <v>3627.614</v>
      </c>
      <c r="M16">
        <v>2970.4250000000002</v>
      </c>
      <c r="N16">
        <v>3358.62</v>
      </c>
      <c r="O16">
        <v>3380.7559999999999</v>
      </c>
      <c r="P16">
        <v>3126.0279999999998</v>
      </c>
      <c r="R16" s="3">
        <f t="shared" si="2"/>
        <v>3292.6886</v>
      </c>
      <c r="S16" s="3">
        <f t="shared" si="3"/>
        <v>113.11662642847865</v>
      </c>
    </row>
    <row r="17" spans="1:19" x14ac:dyDescent="0.25">
      <c r="A17">
        <v>8.75</v>
      </c>
      <c r="B17">
        <v>3500.5729999999999</v>
      </c>
      <c r="C17">
        <v>3471.6660000000002</v>
      </c>
      <c r="D17">
        <v>2971.5830000000001</v>
      </c>
      <c r="E17">
        <v>2935.3629999999998</v>
      </c>
      <c r="F17">
        <v>3284.904</v>
      </c>
      <c r="H17" s="2">
        <f t="shared" si="0"/>
        <v>3232.8177999999998</v>
      </c>
      <c r="I17" s="2">
        <f t="shared" si="1"/>
        <v>120.03692364743442</v>
      </c>
      <c r="K17">
        <v>8.75</v>
      </c>
      <c r="L17">
        <v>3362.4490000000001</v>
      </c>
      <c r="M17">
        <v>2770.7449999999999</v>
      </c>
      <c r="N17">
        <v>3190.9609999999998</v>
      </c>
      <c r="O17">
        <v>3152.69</v>
      </c>
      <c r="P17">
        <v>2919.5140000000001</v>
      </c>
      <c r="R17" s="3">
        <f t="shared" si="2"/>
        <v>3079.2718</v>
      </c>
      <c r="S17" s="3">
        <f t="shared" si="3"/>
        <v>104.58617907419699</v>
      </c>
    </row>
    <row r="18" spans="1:19" x14ac:dyDescent="0.25">
      <c r="A18">
        <v>10</v>
      </c>
      <c r="B18">
        <v>3142.6930000000002</v>
      </c>
      <c r="C18">
        <v>3029.5709999999999</v>
      </c>
      <c r="D18">
        <v>2605.6460000000002</v>
      </c>
      <c r="E18">
        <v>2556.2139999999999</v>
      </c>
      <c r="F18">
        <v>2921.8679999999999</v>
      </c>
      <c r="H18" s="2">
        <f t="shared" si="0"/>
        <v>2851.1984000000002</v>
      </c>
      <c r="I18" s="2">
        <f t="shared" si="1"/>
        <v>115.99393432701555</v>
      </c>
      <c r="K18">
        <v>10</v>
      </c>
      <c r="L18">
        <v>2963.9209999999998</v>
      </c>
      <c r="M18">
        <v>2448.8449999999998</v>
      </c>
      <c r="N18">
        <v>2849.4940000000001</v>
      </c>
      <c r="O18">
        <v>2786.6770000000001</v>
      </c>
      <c r="P18">
        <v>2561.0859999999998</v>
      </c>
      <c r="R18" s="3">
        <f t="shared" si="2"/>
        <v>2722.0045999999998</v>
      </c>
      <c r="S18" s="3">
        <f t="shared" si="3"/>
        <v>94.728711044012442</v>
      </c>
    </row>
    <row r="19" spans="1:19" x14ac:dyDescent="0.25">
      <c r="A19">
        <v>11.25</v>
      </c>
      <c r="B19">
        <v>2810.59</v>
      </c>
      <c r="C19">
        <v>2721.33</v>
      </c>
      <c r="D19">
        <v>2292.989</v>
      </c>
      <c r="E19">
        <v>2279.462</v>
      </c>
      <c r="F19">
        <v>2598.9899999999998</v>
      </c>
      <c r="H19" s="2">
        <f t="shared" si="0"/>
        <v>2540.6722</v>
      </c>
      <c r="I19" s="2">
        <f t="shared" si="1"/>
        <v>109.19513757507703</v>
      </c>
      <c r="K19">
        <v>11.25</v>
      </c>
      <c r="L19">
        <v>2636.3789999999999</v>
      </c>
      <c r="M19">
        <v>2154.6709999999998</v>
      </c>
      <c r="N19">
        <v>2556.5329999999999</v>
      </c>
      <c r="O19">
        <v>2451.502</v>
      </c>
      <c r="P19">
        <v>2269.5189999999998</v>
      </c>
      <c r="R19" s="3">
        <f t="shared" si="2"/>
        <v>2413.7208000000001</v>
      </c>
      <c r="S19" s="3">
        <f t="shared" si="3"/>
        <v>89.246953889978798</v>
      </c>
    </row>
    <row r="20" spans="1:19" x14ac:dyDescent="0.25">
      <c r="A20">
        <v>12.5</v>
      </c>
      <c r="B20">
        <v>2636.5439999999999</v>
      </c>
      <c r="C20">
        <v>2565.076</v>
      </c>
      <c r="D20">
        <v>2133.2829999999999</v>
      </c>
      <c r="E20">
        <v>2126.8240000000001</v>
      </c>
      <c r="F20">
        <v>2358.6990000000001</v>
      </c>
      <c r="H20" s="2">
        <f t="shared" si="0"/>
        <v>2364.0852000000004</v>
      </c>
      <c r="I20" s="2">
        <f t="shared" si="1"/>
        <v>105.88263386476555</v>
      </c>
      <c r="K20">
        <v>12.5</v>
      </c>
      <c r="L20">
        <v>2455.1</v>
      </c>
      <c r="M20">
        <v>1997.4690000000001</v>
      </c>
      <c r="N20">
        <v>2333.7170000000001</v>
      </c>
      <c r="O20">
        <v>2267.1979999999999</v>
      </c>
      <c r="P20">
        <v>2128.0520000000001</v>
      </c>
      <c r="R20" s="3">
        <f t="shared" si="2"/>
        <v>2236.3072000000002</v>
      </c>
      <c r="S20" s="3">
        <f t="shared" si="3"/>
        <v>79.710750247002423</v>
      </c>
    </row>
    <row r="21" spans="1:19" x14ac:dyDescent="0.25">
      <c r="A21">
        <v>13.75</v>
      </c>
      <c r="B21">
        <v>2581.2220000000002</v>
      </c>
      <c r="C21">
        <v>2504.7190000000001</v>
      </c>
      <c r="D21">
        <v>2074.4270000000001</v>
      </c>
      <c r="E21">
        <v>2078.5990000000002</v>
      </c>
      <c r="F21">
        <v>2248.7539999999999</v>
      </c>
      <c r="H21" s="2">
        <f t="shared" si="0"/>
        <v>2297.5442000000003</v>
      </c>
      <c r="I21" s="2">
        <f t="shared" si="1"/>
        <v>105.71027885754535</v>
      </c>
      <c r="K21">
        <v>13.75</v>
      </c>
      <c r="L21">
        <v>2396.902</v>
      </c>
      <c r="M21">
        <v>1933.5930000000001</v>
      </c>
      <c r="N21">
        <v>2230.9569999999999</v>
      </c>
      <c r="O21">
        <v>2220.4299999999998</v>
      </c>
      <c r="P21">
        <v>2092.7559999999999</v>
      </c>
      <c r="R21" s="3">
        <f t="shared" si="2"/>
        <v>2174.9276</v>
      </c>
      <c r="S21" s="3">
        <f t="shared" si="3"/>
        <v>77.290671277069379</v>
      </c>
    </row>
    <row r="22" spans="1:19" x14ac:dyDescent="0.25">
      <c r="A22">
        <v>15</v>
      </c>
      <c r="B22">
        <v>2584.9409999999998</v>
      </c>
      <c r="C22">
        <v>2508.6579999999999</v>
      </c>
      <c r="D22">
        <v>2075.7620000000002</v>
      </c>
      <c r="E22">
        <v>2093.1889999999999</v>
      </c>
      <c r="F22">
        <v>2239.7849999999999</v>
      </c>
      <c r="H22" s="2">
        <f t="shared" si="0"/>
        <v>2300.4670000000001</v>
      </c>
      <c r="I22" s="2">
        <f t="shared" si="1"/>
        <v>105.21591148443277</v>
      </c>
      <c r="K22">
        <v>15</v>
      </c>
      <c r="L22">
        <v>2397.9070000000002</v>
      </c>
      <c r="M22">
        <v>1921.2950000000001</v>
      </c>
      <c r="N22">
        <v>2217.6010000000001</v>
      </c>
      <c r="O22">
        <v>2227.4650000000001</v>
      </c>
      <c r="P22">
        <v>2111.1190000000001</v>
      </c>
      <c r="R22" s="3">
        <f t="shared" si="2"/>
        <v>2175.0774000000001</v>
      </c>
      <c r="S22" s="3">
        <f t="shared" si="3"/>
        <v>78.326857241689467</v>
      </c>
    </row>
    <row r="23" spans="1:19" x14ac:dyDescent="0.25">
      <c r="A23">
        <v>16.25</v>
      </c>
      <c r="B23">
        <v>2602.6390000000001</v>
      </c>
      <c r="C23">
        <v>2524.6149999999998</v>
      </c>
      <c r="D23">
        <v>2095.998</v>
      </c>
      <c r="E23">
        <v>2115.7060000000001</v>
      </c>
      <c r="F23">
        <v>2251.1909999999998</v>
      </c>
      <c r="H23" s="2">
        <f t="shared" si="0"/>
        <v>2318.0298000000003</v>
      </c>
      <c r="I23" s="2">
        <f t="shared" si="1"/>
        <v>104.49409242316044</v>
      </c>
      <c r="K23">
        <v>16.25</v>
      </c>
      <c r="L23">
        <v>2414.7959999999998</v>
      </c>
      <c r="M23">
        <v>1934.1420000000001</v>
      </c>
      <c r="N23">
        <v>2232.482</v>
      </c>
      <c r="O23">
        <v>2242.41</v>
      </c>
      <c r="P23">
        <v>2124.384</v>
      </c>
      <c r="R23" s="3">
        <f t="shared" si="2"/>
        <v>2189.6428000000001</v>
      </c>
      <c r="S23" s="3">
        <f t="shared" si="3"/>
        <v>79.01041314307875</v>
      </c>
    </row>
    <row r="24" spans="1:19" x14ac:dyDescent="0.25">
      <c r="A24">
        <v>17.5</v>
      </c>
      <c r="B24">
        <v>2613.2649999999999</v>
      </c>
      <c r="C24">
        <v>2519.1149999999998</v>
      </c>
      <c r="D24">
        <v>2093.5940000000001</v>
      </c>
      <c r="E24">
        <v>2111.8270000000002</v>
      </c>
      <c r="F24">
        <v>2256.1370000000002</v>
      </c>
      <c r="H24" s="2">
        <f t="shared" si="0"/>
        <v>2318.7876000000001</v>
      </c>
      <c r="I24" s="2">
        <f t="shared" si="1"/>
        <v>105.90513477051046</v>
      </c>
      <c r="K24">
        <v>17.5</v>
      </c>
      <c r="L24">
        <v>2422.819</v>
      </c>
      <c r="M24">
        <v>1946.336</v>
      </c>
      <c r="N24">
        <v>2233.6219999999998</v>
      </c>
      <c r="O24">
        <v>2250.5920000000001</v>
      </c>
      <c r="P24">
        <v>2126.8670000000002</v>
      </c>
      <c r="R24" s="3">
        <f t="shared" si="2"/>
        <v>2196.0472</v>
      </c>
      <c r="S24" s="3">
        <f t="shared" si="3"/>
        <v>78.407280769964188</v>
      </c>
    </row>
    <row r="25" spans="1:19" x14ac:dyDescent="0.25">
      <c r="A25">
        <v>18.75</v>
      </c>
      <c r="B25">
        <v>2589.7649999999999</v>
      </c>
      <c r="C25">
        <v>2505.2840000000001</v>
      </c>
      <c r="D25">
        <v>2072.1370000000002</v>
      </c>
      <c r="E25">
        <v>2085.8809999999999</v>
      </c>
      <c r="F25">
        <v>2237.87</v>
      </c>
      <c r="H25" s="2">
        <f t="shared" si="0"/>
        <v>2298.1873999999998</v>
      </c>
      <c r="I25" s="2">
        <f t="shared" si="1"/>
        <v>106.70461051829015</v>
      </c>
      <c r="K25">
        <v>18.75</v>
      </c>
      <c r="L25">
        <v>2408.3240000000001</v>
      </c>
      <c r="M25">
        <v>1937.54</v>
      </c>
      <c r="N25">
        <v>2206.31</v>
      </c>
      <c r="O25">
        <v>2235.739</v>
      </c>
      <c r="P25">
        <v>2102.174</v>
      </c>
      <c r="R25" s="3">
        <f t="shared" si="2"/>
        <v>2178.0173999999997</v>
      </c>
      <c r="S25" s="3">
        <f t="shared" si="3"/>
        <v>77.702955400422212</v>
      </c>
    </row>
    <row r="26" spans="1:19" x14ac:dyDescent="0.25">
      <c r="A26">
        <v>20</v>
      </c>
      <c r="B26">
        <v>2541.2539999999999</v>
      </c>
      <c r="C26">
        <v>2477.172</v>
      </c>
      <c r="D26">
        <v>2036.9159999999999</v>
      </c>
      <c r="E26">
        <v>2047.4380000000001</v>
      </c>
      <c r="F26">
        <v>2191.5790000000002</v>
      </c>
      <c r="H26" s="2">
        <f t="shared" si="0"/>
        <v>2258.8717999999999</v>
      </c>
      <c r="I26" s="2">
        <f t="shared" si="1"/>
        <v>106.27596954740048</v>
      </c>
      <c r="K26">
        <v>20</v>
      </c>
      <c r="L26">
        <v>2370.1579999999999</v>
      </c>
      <c r="M26">
        <v>1905.9570000000001</v>
      </c>
      <c r="N26">
        <v>2175.0279999999998</v>
      </c>
      <c r="O26">
        <v>2197.0140000000001</v>
      </c>
      <c r="P26">
        <v>2059.6660000000002</v>
      </c>
      <c r="R26" s="3">
        <f t="shared" si="2"/>
        <v>2141.5646000000002</v>
      </c>
      <c r="S26" s="3">
        <f t="shared" si="3"/>
        <v>77.028468595448487</v>
      </c>
    </row>
    <row r="27" spans="1:19" x14ac:dyDescent="0.25">
      <c r="A27">
        <v>21.25</v>
      </c>
      <c r="B27">
        <v>2511.7379999999998</v>
      </c>
      <c r="C27">
        <v>2454.663</v>
      </c>
      <c r="D27">
        <v>2001.518</v>
      </c>
      <c r="E27">
        <v>2012.58</v>
      </c>
      <c r="F27">
        <v>2148.96</v>
      </c>
      <c r="H27" s="2">
        <f t="shared" si="0"/>
        <v>2225.8917999999999</v>
      </c>
      <c r="I27" s="2">
        <f t="shared" si="1"/>
        <v>108.58368662022852</v>
      </c>
      <c r="K27">
        <v>21.25</v>
      </c>
      <c r="L27">
        <v>2337.297</v>
      </c>
      <c r="M27">
        <v>1883.4780000000001</v>
      </c>
      <c r="N27">
        <v>2150.7220000000002</v>
      </c>
      <c r="O27">
        <v>2154.681</v>
      </c>
      <c r="P27">
        <v>2032.155</v>
      </c>
      <c r="R27" s="3">
        <f t="shared" si="2"/>
        <v>2111.6666</v>
      </c>
      <c r="S27" s="3">
        <f t="shared" si="3"/>
        <v>75.058900866319647</v>
      </c>
    </row>
    <row r="28" spans="1:19" x14ac:dyDescent="0.25">
      <c r="A28">
        <v>22.5</v>
      </c>
      <c r="B28">
        <v>2495.6469999999999</v>
      </c>
      <c r="C28">
        <v>2469.1260000000002</v>
      </c>
      <c r="D28">
        <v>2000.4369999999999</v>
      </c>
      <c r="E28">
        <v>2006.731</v>
      </c>
      <c r="F28">
        <v>2133.4929999999999</v>
      </c>
      <c r="H28" s="2">
        <f t="shared" si="0"/>
        <v>2221.0868</v>
      </c>
      <c r="I28" s="2">
        <f t="shared" si="1"/>
        <v>109.36502301759921</v>
      </c>
      <c r="K28">
        <v>22.5</v>
      </c>
      <c r="L28">
        <v>2323.9720000000002</v>
      </c>
      <c r="M28">
        <v>1868.809</v>
      </c>
      <c r="N28">
        <v>2139.1390000000001</v>
      </c>
      <c r="O28">
        <v>2142.922</v>
      </c>
      <c r="P28">
        <v>2045.932</v>
      </c>
      <c r="R28" s="3">
        <f t="shared" si="2"/>
        <v>2104.1548000000003</v>
      </c>
      <c r="S28" s="3">
        <f t="shared" si="3"/>
        <v>74.102608415223855</v>
      </c>
    </row>
    <row r="29" spans="1:19" x14ac:dyDescent="0.25">
      <c r="A29">
        <v>23.75</v>
      </c>
      <c r="B29">
        <v>2520.1680000000001</v>
      </c>
      <c r="C29">
        <v>2488.4470000000001</v>
      </c>
      <c r="D29">
        <v>2025.8679999999999</v>
      </c>
      <c r="E29">
        <v>2031.6579999999999</v>
      </c>
      <c r="F29">
        <v>2154.2289999999998</v>
      </c>
      <c r="H29" s="2">
        <f t="shared" si="0"/>
        <v>2244.0739999999996</v>
      </c>
      <c r="I29" s="2">
        <f t="shared" si="1"/>
        <v>108.80087303923628</v>
      </c>
      <c r="K29">
        <v>23.75</v>
      </c>
      <c r="L29">
        <v>2342.721</v>
      </c>
      <c r="M29">
        <v>1875.816</v>
      </c>
      <c r="N29">
        <v>2163.1840000000002</v>
      </c>
      <c r="O29">
        <v>2164.6680000000001</v>
      </c>
      <c r="P29">
        <v>2075.8620000000001</v>
      </c>
      <c r="R29" s="3">
        <f t="shared" si="2"/>
        <v>2124.4502000000002</v>
      </c>
      <c r="S29" s="3">
        <f t="shared" si="3"/>
        <v>75.80887132150167</v>
      </c>
    </row>
    <row r="30" spans="1:19" x14ac:dyDescent="0.25">
      <c r="A30">
        <v>25</v>
      </c>
      <c r="B30">
        <v>2561.8919999999998</v>
      </c>
      <c r="C30">
        <v>2527.904</v>
      </c>
      <c r="D30">
        <v>2066.3829999999998</v>
      </c>
      <c r="E30">
        <v>2072.04</v>
      </c>
      <c r="F30">
        <v>2201.0349999999999</v>
      </c>
      <c r="H30" s="2">
        <f t="shared" si="0"/>
        <v>2285.8508000000002</v>
      </c>
      <c r="I30" s="2">
        <f t="shared" si="1"/>
        <v>108.59636022694316</v>
      </c>
      <c r="K30">
        <v>25</v>
      </c>
      <c r="L30">
        <v>2383.5790000000002</v>
      </c>
      <c r="M30">
        <v>1901.1010000000001</v>
      </c>
      <c r="N30">
        <v>2199.9929999999999</v>
      </c>
      <c r="O30">
        <v>2210.0509999999999</v>
      </c>
      <c r="P30">
        <v>2115.3240000000001</v>
      </c>
      <c r="R30" s="3">
        <f t="shared" si="2"/>
        <v>2162.0096000000003</v>
      </c>
      <c r="S30" s="3">
        <f t="shared" si="3"/>
        <v>78.45271079038632</v>
      </c>
    </row>
    <row r="31" spans="1:19" x14ac:dyDescent="0.25">
      <c r="A31">
        <v>26.25</v>
      </c>
      <c r="B31">
        <v>2603.3119999999999</v>
      </c>
      <c r="C31">
        <v>2563.9960000000001</v>
      </c>
      <c r="D31">
        <v>2097.0230000000001</v>
      </c>
      <c r="E31">
        <v>2105.569</v>
      </c>
      <c r="F31">
        <v>2241.5430000000001</v>
      </c>
      <c r="H31" s="2">
        <f t="shared" si="0"/>
        <v>2322.2885999999999</v>
      </c>
      <c r="I31" s="2">
        <f t="shared" si="1"/>
        <v>109.91552348262731</v>
      </c>
      <c r="K31">
        <v>26.25</v>
      </c>
      <c r="L31">
        <v>2415.1469999999999</v>
      </c>
      <c r="M31">
        <v>1925.6030000000001</v>
      </c>
      <c r="N31">
        <v>2232.4319999999998</v>
      </c>
      <c r="O31">
        <v>2246.2359999999999</v>
      </c>
      <c r="P31">
        <v>2152.2600000000002</v>
      </c>
      <c r="R31" s="3">
        <f t="shared" si="2"/>
        <v>2194.3355999999999</v>
      </c>
      <c r="S31" s="3">
        <f t="shared" si="3"/>
        <v>79.652441268676711</v>
      </c>
    </row>
    <row r="32" spans="1:19" x14ac:dyDescent="0.25">
      <c r="A32">
        <v>27.5</v>
      </c>
      <c r="B32">
        <v>2619.694</v>
      </c>
      <c r="C32">
        <v>2585.1930000000002</v>
      </c>
      <c r="D32">
        <v>2105.7339999999999</v>
      </c>
      <c r="E32">
        <v>2115.7420000000002</v>
      </c>
      <c r="F32">
        <v>2261.2820000000002</v>
      </c>
      <c r="H32" s="2">
        <f t="shared" si="0"/>
        <v>2337.529</v>
      </c>
      <c r="I32" s="2">
        <f t="shared" si="1"/>
        <v>111.73328611564236</v>
      </c>
      <c r="K32">
        <v>27.5</v>
      </c>
      <c r="L32">
        <v>2433.2910000000002</v>
      </c>
      <c r="M32">
        <v>1938.1079999999999</v>
      </c>
      <c r="N32">
        <v>2253.3290000000002</v>
      </c>
      <c r="O32">
        <v>2248.7220000000002</v>
      </c>
      <c r="P32">
        <v>2169.7179999999998</v>
      </c>
      <c r="R32" s="3">
        <f t="shared" si="2"/>
        <v>2208.6336000000001</v>
      </c>
      <c r="S32" s="3">
        <f t="shared" si="3"/>
        <v>80.241582159501363</v>
      </c>
    </row>
    <row r="33" spans="1:19" x14ac:dyDescent="0.25">
      <c r="A33">
        <v>28.75</v>
      </c>
      <c r="B33">
        <v>2631.2849999999999</v>
      </c>
      <c r="C33">
        <v>2601.8820000000001</v>
      </c>
      <c r="D33">
        <v>2108.1210000000001</v>
      </c>
      <c r="E33">
        <v>2116.4459999999999</v>
      </c>
      <c r="F33">
        <v>2262.7289999999998</v>
      </c>
      <c r="H33" s="2">
        <f t="shared" si="0"/>
        <v>2344.0925999999999</v>
      </c>
      <c r="I33" s="2">
        <f t="shared" si="1"/>
        <v>114.68662853035657</v>
      </c>
      <c r="K33">
        <v>28.75</v>
      </c>
      <c r="L33">
        <v>2442.0610000000001</v>
      </c>
      <c r="M33">
        <v>1945.383</v>
      </c>
      <c r="N33">
        <v>2257.5410000000002</v>
      </c>
      <c r="O33">
        <v>2252.9859999999999</v>
      </c>
      <c r="P33">
        <v>2172.884</v>
      </c>
      <c r="R33" s="3">
        <f t="shared" si="2"/>
        <v>2214.1710000000003</v>
      </c>
      <c r="S33" s="3">
        <f t="shared" si="3"/>
        <v>80.396834060179273</v>
      </c>
    </row>
    <row r="34" spans="1:19" x14ac:dyDescent="0.25">
      <c r="A34">
        <v>30</v>
      </c>
      <c r="B34">
        <v>2651.9760000000001</v>
      </c>
      <c r="C34">
        <v>2611.4960000000001</v>
      </c>
      <c r="D34">
        <v>2109.9859999999999</v>
      </c>
      <c r="E34">
        <v>2133.2640000000001</v>
      </c>
      <c r="F34">
        <v>2273.8119999999999</v>
      </c>
      <c r="H34" s="2">
        <f t="shared" si="0"/>
        <v>2356.1068</v>
      </c>
      <c r="I34" s="2">
        <f t="shared" si="1"/>
        <v>116.1397913716053</v>
      </c>
      <c r="K34">
        <v>30</v>
      </c>
      <c r="L34">
        <v>2456.7359999999999</v>
      </c>
      <c r="M34">
        <v>1958.165</v>
      </c>
      <c r="N34">
        <v>2264.395</v>
      </c>
      <c r="O34">
        <v>2269.9540000000002</v>
      </c>
      <c r="P34">
        <v>2185.6179999999999</v>
      </c>
      <c r="R34" s="3">
        <f t="shared" si="2"/>
        <v>2226.9736000000003</v>
      </c>
      <c r="S34" s="3">
        <f t="shared" si="3"/>
        <v>80.624681550130774</v>
      </c>
    </row>
    <row r="35" spans="1:19" x14ac:dyDescent="0.25">
      <c r="A35">
        <v>31.25</v>
      </c>
      <c r="B35">
        <v>2669.0940000000001</v>
      </c>
      <c r="C35">
        <v>2610.15</v>
      </c>
      <c r="D35">
        <v>2110.8829999999998</v>
      </c>
      <c r="E35">
        <v>2145.5129999999999</v>
      </c>
      <c r="F35">
        <v>2278.248</v>
      </c>
      <c r="H35" s="2">
        <f t="shared" si="0"/>
        <v>2362.7775999999999</v>
      </c>
      <c r="I35" s="2">
        <f t="shared" si="1"/>
        <v>116.79531034874648</v>
      </c>
      <c r="K35">
        <v>31.25</v>
      </c>
      <c r="L35">
        <v>2459.8240000000001</v>
      </c>
      <c r="M35">
        <v>1972.924</v>
      </c>
      <c r="N35">
        <v>2278.56</v>
      </c>
      <c r="O35">
        <v>2283.7170000000001</v>
      </c>
      <c r="P35">
        <v>2195.348</v>
      </c>
      <c r="R35" s="3">
        <f t="shared" si="2"/>
        <v>2238.0745999999999</v>
      </c>
      <c r="S35" s="3">
        <f t="shared" si="3"/>
        <v>79.065003547460876</v>
      </c>
    </row>
    <row r="36" spans="1:19" x14ac:dyDescent="0.25">
      <c r="A36">
        <v>32.5</v>
      </c>
      <c r="B36">
        <v>2672.511</v>
      </c>
      <c r="C36">
        <v>2604.4349999999999</v>
      </c>
      <c r="D36">
        <v>2107.1909999999998</v>
      </c>
      <c r="E36">
        <v>2148.433</v>
      </c>
      <c r="F36">
        <v>2278.6790000000001</v>
      </c>
      <c r="H36" s="2">
        <f t="shared" si="0"/>
        <v>2362.2498000000001</v>
      </c>
      <c r="I36" s="2">
        <f t="shared" si="1"/>
        <v>116.76308863609252</v>
      </c>
      <c r="K36">
        <v>32.5</v>
      </c>
      <c r="L36">
        <v>2458.2220000000002</v>
      </c>
      <c r="M36">
        <v>1973.7249999999999</v>
      </c>
      <c r="N36">
        <v>2281.4279999999999</v>
      </c>
      <c r="O36">
        <v>2285.4789999999998</v>
      </c>
      <c r="P36">
        <v>2198.94</v>
      </c>
      <c r="R36" s="3">
        <f t="shared" si="2"/>
        <v>2239.5587999999998</v>
      </c>
      <c r="S36" s="3">
        <f t="shared" si="3"/>
        <v>78.737788210871173</v>
      </c>
    </row>
    <row r="37" spans="1:19" x14ac:dyDescent="0.25">
      <c r="A37">
        <v>33.75</v>
      </c>
      <c r="B37">
        <v>2652.9520000000002</v>
      </c>
      <c r="C37">
        <v>2599.404</v>
      </c>
      <c r="D37">
        <v>2105.6469999999999</v>
      </c>
      <c r="E37">
        <v>2148.8690000000001</v>
      </c>
      <c r="F37">
        <v>2271.2190000000001</v>
      </c>
      <c r="H37" s="2">
        <f t="shared" si="0"/>
        <v>2355.6181999999999</v>
      </c>
      <c r="I37" s="2">
        <f t="shared" si="1"/>
        <v>114.05984446657818</v>
      </c>
      <c r="K37">
        <v>33.75</v>
      </c>
      <c r="L37">
        <v>2457.8820000000001</v>
      </c>
      <c r="M37">
        <v>1968.171</v>
      </c>
      <c r="N37">
        <v>2270.3110000000001</v>
      </c>
      <c r="O37">
        <v>2280.2950000000001</v>
      </c>
      <c r="P37">
        <v>2197.404</v>
      </c>
      <c r="R37" s="3">
        <f t="shared" si="2"/>
        <v>2234.8126000000002</v>
      </c>
      <c r="S37" s="3">
        <f t="shared" si="3"/>
        <v>79.241999133414097</v>
      </c>
    </row>
    <row r="38" spans="1:19" x14ac:dyDescent="0.25">
      <c r="A38">
        <v>35</v>
      </c>
      <c r="B38">
        <v>2613.3330000000001</v>
      </c>
      <c r="C38">
        <v>2559.9279999999999</v>
      </c>
      <c r="D38">
        <v>2073.3180000000002</v>
      </c>
      <c r="E38">
        <v>2109.297</v>
      </c>
      <c r="F38">
        <v>2227.5309999999999</v>
      </c>
      <c r="H38" s="2">
        <f t="shared" si="0"/>
        <v>2316.6813999999999</v>
      </c>
      <c r="I38" s="2">
        <f t="shared" si="1"/>
        <v>113.43564427401112</v>
      </c>
      <c r="K38">
        <v>35</v>
      </c>
      <c r="L38">
        <v>2418.4319999999998</v>
      </c>
      <c r="M38">
        <v>1928.5920000000001</v>
      </c>
      <c r="N38">
        <v>2233.2910000000002</v>
      </c>
      <c r="O38">
        <v>2245.9609999999998</v>
      </c>
      <c r="P38">
        <v>2162.0839999999998</v>
      </c>
      <c r="R38" s="3">
        <f t="shared" si="2"/>
        <v>2197.672</v>
      </c>
      <c r="S38" s="3">
        <f t="shared" si="3"/>
        <v>79.374451313379126</v>
      </c>
    </row>
    <row r="39" spans="1:19" x14ac:dyDescent="0.25">
      <c r="A39">
        <v>36.25</v>
      </c>
      <c r="B39">
        <v>2490.9229999999998</v>
      </c>
      <c r="C39">
        <v>2453.0340000000001</v>
      </c>
      <c r="D39">
        <v>1980.752</v>
      </c>
      <c r="E39">
        <v>2006.0540000000001</v>
      </c>
      <c r="F39">
        <v>2123.7440000000001</v>
      </c>
      <c r="H39" s="2">
        <f t="shared" si="0"/>
        <v>2210.9014000000002</v>
      </c>
      <c r="I39" s="2">
        <f t="shared" si="1"/>
        <v>109.44585611872198</v>
      </c>
      <c r="K39">
        <v>36.25</v>
      </c>
      <c r="L39">
        <v>2305.92</v>
      </c>
      <c r="M39">
        <v>1844.32</v>
      </c>
      <c r="N39">
        <v>2126.8020000000001</v>
      </c>
      <c r="O39">
        <v>2131.7649999999999</v>
      </c>
      <c r="P39">
        <v>2071.2629999999999</v>
      </c>
      <c r="R39" s="3">
        <f t="shared" si="2"/>
        <v>2096.0140000000001</v>
      </c>
      <c r="S39" s="3">
        <f t="shared" si="3"/>
        <v>74.245890599412988</v>
      </c>
    </row>
    <row r="40" spans="1:19" x14ac:dyDescent="0.25">
      <c r="A40">
        <v>37.5</v>
      </c>
      <c r="B40">
        <v>2322.3969999999999</v>
      </c>
      <c r="C40">
        <v>2305.2350000000001</v>
      </c>
      <c r="D40">
        <v>1843.2950000000001</v>
      </c>
      <c r="E40">
        <v>1868.3040000000001</v>
      </c>
      <c r="F40">
        <v>1982.7</v>
      </c>
      <c r="H40" s="2">
        <f t="shared" si="0"/>
        <v>2064.3861999999999</v>
      </c>
      <c r="I40" s="2">
        <f t="shared" si="1"/>
        <v>104.54183385678633</v>
      </c>
      <c r="K40">
        <v>37.5</v>
      </c>
      <c r="L40">
        <v>2150.4250000000002</v>
      </c>
      <c r="M40">
        <v>1723.0170000000001</v>
      </c>
      <c r="N40">
        <v>1981.6010000000001</v>
      </c>
      <c r="O40">
        <v>1987.0150000000001</v>
      </c>
      <c r="P40">
        <v>1935.91</v>
      </c>
      <c r="R40" s="3">
        <f t="shared" si="2"/>
        <v>1955.5936000000002</v>
      </c>
      <c r="S40" s="3">
        <f t="shared" si="3"/>
        <v>68.593834502526548</v>
      </c>
    </row>
    <row r="41" spans="1:19" x14ac:dyDescent="0.25">
      <c r="A41">
        <v>38.75</v>
      </c>
      <c r="B41">
        <v>2165.9160000000002</v>
      </c>
      <c r="C41">
        <v>2171.6669999999999</v>
      </c>
      <c r="D41">
        <v>1724.268</v>
      </c>
      <c r="E41">
        <v>1747.3019999999999</v>
      </c>
      <c r="F41">
        <v>1855.3140000000001</v>
      </c>
      <c r="H41" s="2">
        <f t="shared" si="0"/>
        <v>1932.8934000000002</v>
      </c>
      <c r="I41" s="2">
        <f t="shared" si="1"/>
        <v>98.817926701382518</v>
      </c>
      <c r="K41">
        <v>38.75</v>
      </c>
      <c r="L41">
        <v>2010.5640000000001</v>
      </c>
      <c r="M41">
        <v>1599.6479999999999</v>
      </c>
      <c r="N41">
        <v>1846.4480000000001</v>
      </c>
      <c r="O41">
        <v>1853.4939999999999</v>
      </c>
      <c r="P41">
        <v>1809.472</v>
      </c>
      <c r="R41" s="3">
        <f t="shared" si="2"/>
        <v>1823.9252000000001</v>
      </c>
      <c r="S41" s="3">
        <f t="shared" si="3"/>
        <v>65.850128909820697</v>
      </c>
    </row>
    <row r="42" spans="1:19" x14ac:dyDescent="0.25">
      <c r="A42">
        <v>40</v>
      </c>
      <c r="B42">
        <v>2070.6010000000001</v>
      </c>
      <c r="C42">
        <v>2078.9810000000002</v>
      </c>
      <c r="D42">
        <v>1642.1489999999999</v>
      </c>
      <c r="E42">
        <v>1677.1790000000001</v>
      </c>
      <c r="F42">
        <v>1772.2860000000001</v>
      </c>
      <c r="H42" s="2">
        <f t="shared" si="0"/>
        <v>1848.2392</v>
      </c>
      <c r="I42" s="2">
        <f t="shared" si="1"/>
        <v>94.918438545100202</v>
      </c>
      <c r="K42">
        <v>40</v>
      </c>
      <c r="L42">
        <v>1910.1</v>
      </c>
      <c r="M42">
        <v>1523.8219999999999</v>
      </c>
      <c r="N42">
        <v>1760.7080000000001</v>
      </c>
      <c r="O42">
        <v>1770.521</v>
      </c>
      <c r="P42">
        <v>1732.0840000000001</v>
      </c>
      <c r="R42" s="3">
        <f t="shared" si="2"/>
        <v>1739.4469999999997</v>
      </c>
      <c r="S42" s="3">
        <f t="shared" si="3"/>
        <v>62.083985213579844</v>
      </c>
    </row>
    <row r="43" spans="1:19" x14ac:dyDescent="0.25">
      <c r="A43">
        <v>41.25</v>
      </c>
      <c r="B43">
        <v>2035.9570000000001</v>
      </c>
      <c r="C43">
        <v>2028.817</v>
      </c>
      <c r="D43">
        <v>1600.3510000000001</v>
      </c>
      <c r="E43">
        <v>1644.6120000000001</v>
      </c>
      <c r="F43">
        <v>1722.8520000000001</v>
      </c>
      <c r="H43" s="2">
        <f t="shared" si="0"/>
        <v>1806.5178000000001</v>
      </c>
      <c r="I43" s="2">
        <f t="shared" si="1"/>
        <v>94.280826365386645</v>
      </c>
      <c r="K43">
        <v>41.25</v>
      </c>
      <c r="L43">
        <v>1868.6849999999999</v>
      </c>
      <c r="M43">
        <v>1488.4359999999999</v>
      </c>
      <c r="N43">
        <v>1719.877</v>
      </c>
      <c r="O43">
        <v>1729.5989999999999</v>
      </c>
      <c r="P43">
        <v>1690.06</v>
      </c>
      <c r="R43" s="3">
        <f t="shared" si="2"/>
        <v>1699.3313999999998</v>
      </c>
      <c r="S43" s="3">
        <f t="shared" si="3"/>
        <v>61.066242606369684</v>
      </c>
    </row>
    <row r="44" spans="1:19" x14ac:dyDescent="0.25">
      <c r="A44">
        <v>42.5</v>
      </c>
      <c r="B44">
        <v>2036.508</v>
      </c>
      <c r="C44">
        <v>2009.8309999999999</v>
      </c>
      <c r="D44">
        <v>1588.221</v>
      </c>
      <c r="E44">
        <v>1623.8889999999999</v>
      </c>
      <c r="F44">
        <v>1705.86</v>
      </c>
      <c r="H44" s="2">
        <f t="shared" si="0"/>
        <v>1792.8617999999999</v>
      </c>
      <c r="I44" s="2">
        <f t="shared" si="1"/>
        <v>96.030745569011074</v>
      </c>
      <c r="K44">
        <v>42.5</v>
      </c>
      <c r="L44">
        <v>1854.154</v>
      </c>
      <c r="M44">
        <v>1479.9659999999999</v>
      </c>
      <c r="N44">
        <v>1704.1759999999999</v>
      </c>
      <c r="O44">
        <v>1711.384</v>
      </c>
      <c r="P44">
        <v>1672.576</v>
      </c>
      <c r="R44" s="3">
        <f t="shared" si="2"/>
        <v>1684.4512000000002</v>
      </c>
      <c r="S44" s="3">
        <f t="shared" si="3"/>
        <v>59.94526719133048</v>
      </c>
    </row>
    <row r="45" spans="1:19" x14ac:dyDescent="0.25">
      <c r="A45">
        <v>43.75</v>
      </c>
      <c r="B45">
        <v>2039.819</v>
      </c>
      <c r="C45">
        <v>2011.367</v>
      </c>
      <c r="D45">
        <v>1586.989</v>
      </c>
      <c r="E45">
        <v>1624.258</v>
      </c>
      <c r="F45">
        <v>1704.7629999999999</v>
      </c>
      <c r="H45" s="2">
        <f t="shared" si="0"/>
        <v>1793.4392</v>
      </c>
      <c r="I45" s="2">
        <f t="shared" si="1"/>
        <v>96.77369575995381</v>
      </c>
      <c r="K45">
        <v>43.75</v>
      </c>
      <c r="L45">
        <v>1845.35</v>
      </c>
      <c r="M45">
        <v>1483.2929999999999</v>
      </c>
      <c r="N45">
        <v>1700.2929999999999</v>
      </c>
      <c r="O45">
        <v>1700.329</v>
      </c>
      <c r="P45">
        <v>1669.212</v>
      </c>
      <c r="R45" s="3">
        <f t="shared" si="2"/>
        <v>1679.6953999999998</v>
      </c>
      <c r="S45" s="3">
        <f t="shared" si="3"/>
        <v>57.868496384993456</v>
      </c>
    </row>
    <row r="46" spans="1:19" x14ac:dyDescent="0.25">
      <c r="A46">
        <v>45</v>
      </c>
      <c r="B46">
        <v>2057.0210000000002</v>
      </c>
      <c r="C46">
        <v>2029.857</v>
      </c>
      <c r="D46">
        <v>1599.8</v>
      </c>
      <c r="E46">
        <v>1631.4349999999999</v>
      </c>
      <c r="F46">
        <v>1722.1469999999999</v>
      </c>
      <c r="H46" s="2">
        <f t="shared" si="0"/>
        <v>1808.0519999999997</v>
      </c>
      <c r="I46" s="2">
        <f t="shared" si="1"/>
        <v>98.266258248700652</v>
      </c>
      <c r="K46">
        <v>45</v>
      </c>
      <c r="L46">
        <v>1861.7270000000001</v>
      </c>
      <c r="M46">
        <v>1498.434</v>
      </c>
      <c r="N46">
        <v>1704.357</v>
      </c>
      <c r="O46">
        <v>1704.192</v>
      </c>
      <c r="P46">
        <v>1677.4690000000001</v>
      </c>
      <c r="R46" s="3">
        <f t="shared" si="2"/>
        <v>1689.2357999999999</v>
      </c>
      <c r="S46" s="3">
        <f t="shared" si="3"/>
        <v>57.770813197842401</v>
      </c>
    </row>
    <row r="47" spans="1:19" x14ac:dyDescent="0.25">
      <c r="A47">
        <v>46.25</v>
      </c>
      <c r="B47">
        <v>2111.779</v>
      </c>
      <c r="C47">
        <v>2078.1370000000002</v>
      </c>
      <c r="D47">
        <v>1634.2090000000001</v>
      </c>
      <c r="E47">
        <v>1653.82</v>
      </c>
      <c r="F47">
        <v>1758.297</v>
      </c>
      <c r="H47" s="2">
        <f t="shared" si="0"/>
        <v>1847.2483999999999</v>
      </c>
      <c r="I47" s="2">
        <f t="shared" si="1"/>
        <v>103.44048225603029</v>
      </c>
      <c r="K47">
        <v>46.25</v>
      </c>
      <c r="L47">
        <v>1911.7249999999999</v>
      </c>
      <c r="M47">
        <v>1527.133</v>
      </c>
      <c r="N47">
        <v>1731.354</v>
      </c>
      <c r="O47">
        <v>1738.0419999999999</v>
      </c>
      <c r="P47">
        <v>1706.837</v>
      </c>
      <c r="R47" s="3">
        <f t="shared" si="2"/>
        <v>1723.0182</v>
      </c>
      <c r="S47" s="3">
        <f t="shared" si="3"/>
        <v>61.048464070277788</v>
      </c>
    </row>
    <row r="48" spans="1:19" x14ac:dyDescent="0.25">
      <c r="A48">
        <v>47.5</v>
      </c>
      <c r="B48">
        <v>2202.5419999999999</v>
      </c>
      <c r="C48">
        <v>2162.982</v>
      </c>
      <c r="D48">
        <v>1693.143</v>
      </c>
      <c r="E48">
        <v>1714.329</v>
      </c>
      <c r="F48">
        <v>1821.519</v>
      </c>
      <c r="H48" s="2">
        <f t="shared" si="0"/>
        <v>1918.9029999999998</v>
      </c>
      <c r="I48" s="2">
        <f t="shared" si="1"/>
        <v>110.07438010136721</v>
      </c>
      <c r="K48">
        <v>47.5</v>
      </c>
      <c r="L48">
        <v>1993.643</v>
      </c>
      <c r="M48">
        <v>1590.4459999999999</v>
      </c>
      <c r="N48">
        <v>1801.5060000000001</v>
      </c>
      <c r="O48">
        <v>1800.145</v>
      </c>
      <c r="P48">
        <v>1755.1969999999999</v>
      </c>
      <c r="R48" s="3">
        <f t="shared" si="2"/>
        <v>1788.1874</v>
      </c>
      <c r="S48" s="3">
        <f t="shared" si="3"/>
        <v>64.312673961358513</v>
      </c>
    </row>
    <row r="49" spans="1:19" x14ac:dyDescent="0.25">
      <c r="A49">
        <v>48.75</v>
      </c>
      <c r="B49">
        <v>2313.1999999999998</v>
      </c>
      <c r="C49">
        <v>2262.3820000000001</v>
      </c>
      <c r="D49">
        <v>1780.646</v>
      </c>
      <c r="E49">
        <v>1804.9639999999999</v>
      </c>
      <c r="F49">
        <v>1913.3579999999999</v>
      </c>
      <c r="H49" s="2">
        <f t="shared" si="0"/>
        <v>2014.9099999999999</v>
      </c>
      <c r="I49" s="2">
        <f t="shared" si="1"/>
        <v>113.90545820986961</v>
      </c>
      <c r="K49">
        <v>48.75</v>
      </c>
      <c r="L49">
        <v>2090.6149999999998</v>
      </c>
      <c r="M49">
        <v>1664.413</v>
      </c>
      <c r="N49">
        <v>1895.992</v>
      </c>
      <c r="O49">
        <v>1892.2190000000001</v>
      </c>
      <c r="P49">
        <v>1835.625</v>
      </c>
      <c r="R49" s="3">
        <f t="shared" si="2"/>
        <v>1875.7728</v>
      </c>
      <c r="S49" s="3">
        <f t="shared" si="3"/>
        <v>68.23535569805432</v>
      </c>
    </row>
    <row r="50" spans="1:19" x14ac:dyDescent="0.25">
      <c r="A50">
        <v>50</v>
      </c>
      <c r="B50">
        <v>2408.4450000000002</v>
      </c>
      <c r="C50">
        <v>2344.6610000000001</v>
      </c>
      <c r="D50">
        <v>1873.29</v>
      </c>
      <c r="E50">
        <v>1898.027</v>
      </c>
      <c r="F50">
        <v>2001.7180000000001</v>
      </c>
      <c r="H50" s="2">
        <f t="shared" si="0"/>
        <v>2105.2282</v>
      </c>
      <c r="I50" s="2">
        <f t="shared" si="1"/>
        <v>113.29398062624561</v>
      </c>
      <c r="K50">
        <v>50</v>
      </c>
      <c r="L50">
        <v>2169.5050000000001</v>
      </c>
      <c r="M50">
        <v>1729.6469999999999</v>
      </c>
      <c r="N50">
        <v>1982.8579999999999</v>
      </c>
      <c r="O50">
        <v>1977.8140000000001</v>
      </c>
      <c r="P50">
        <v>1914.337</v>
      </c>
      <c r="R50" s="3">
        <f t="shared" si="2"/>
        <v>1954.8322000000001</v>
      </c>
      <c r="S50" s="3">
        <f t="shared" si="3"/>
        <v>70.620908794350726</v>
      </c>
    </row>
    <row r="51" spans="1:19" x14ac:dyDescent="0.25">
      <c r="A51">
        <v>51.25</v>
      </c>
      <c r="B51">
        <v>2457.6889999999999</v>
      </c>
      <c r="C51">
        <v>2402.1529999999998</v>
      </c>
      <c r="D51">
        <v>1929.7049999999999</v>
      </c>
      <c r="E51">
        <v>1957.1859999999999</v>
      </c>
      <c r="F51">
        <v>2051.6950000000002</v>
      </c>
      <c r="H51" s="2">
        <f t="shared" si="0"/>
        <v>2159.6855999999998</v>
      </c>
      <c r="I51" s="2">
        <f t="shared" si="1"/>
        <v>112.50679991431629</v>
      </c>
      <c r="K51">
        <v>51.25</v>
      </c>
      <c r="L51">
        <v>2216.788</v>
      </c>
      <c r="M51">
        <v>1774.318</v>
      </c>
      <c r="N51">
        <v>2034.6869999999999</v>
      </c>
      <c r="O51">
        <v>2034.3119999999999</v>
      </c>
      <c r="P51">
        <v>1977.355</v>
      </c>
      <c r="R51" s="3">
        <f t="shared" si="2"/>
        <v>2007.4919999999997</v>
      </c>
      <c r="S51" s="3">
        <f t="shared" si="3"/>
        <v>70.902062412175297</v>
      </c>
    </row>
    <row r="52" spans="1:19" x14ac:dyDescent="0.25">
      <c r="A52">
        <v>52.5</v>
      </c>
      <c r="B52">
        <v>2458.5990000000002</v>
      </c>
      <c r="C52">
        <v>2430.9209999999998</v>
      </c>
      <c r="D52">
        <v>1937.5820000000001</v>
      </c>
      <c r="E52">
        <v>1965.739</v>
      </c>
      <c r="F52">
        <v>2056.011</v>
      </c>
      <c r="H52" s="2">
        <f t="shared" si="0"/>
        <v>2169.7704000000003</v>
      </c>
      <c r="I52" s="2">
        <f t="shared" si="1"/>
        <v>114.04013820300216</v>
      </c>
      <c r="K52">
        <v>52.5</v>
      </c>
      <c r="L52">
        <v>2234.06</v>
      </c>
      <c r="M52">
        <v>1782.413</v>
      </c>
      <c r="N52">
        <v>2048.8989999999999</v>
      </c>
      <c r="O52">
        <v>2051.8719999999998</v>
      </c>
      <c r="P52">
        <v>2000.027</v>
      </c>
      <c r="R52" s="3">
        <f t="shared" si="2"/>
        <v>2023.4541999999997</v>
      </c>
      <c r="S52" s="3">
        <f t="shared" si="3"/>
        <v>72.270154972436558</v>
      </c>
    </row>
    <row r="53" spans="1:19" x14ac:dyDescent="0.25">
      <c r="A53">
        <v>53.75</v>
      </c>
      <c r="B53">
        <v>2432.5949999999998</v>
      </c>
      <c r="C53">
        <v>2412.7060000000001</v>
      </c>
      <c r="D53">
        <v>1908.0550000000001</v>
      </c>
      <c r="E53">
        <v>1945.3340000000001</v>
      </c>
      <c r="F53">
        <v>2026.9069999999999</v>
      </c>
      <c r="H53" s="2">
        <f t="shared" si="0"/>
        <v>2145.1194</v>
      </c>
      <c r="I53" s="2">
        <f t="shared" si="1"/>
        <v>114.96362825024327</v>
      </c>
      <c r="K53">
        <v>53.75</v>
      </c>
      <c r="L53">
        <v>2217.4470000000001</v>
      </c>
      <c r="M53">
        <v>1757.0740000000001</v>
      </c>
      <c r="N53">
        <v>2020.9359999999999</v>
      </c>
      <c r="O53">
        <v>2029.0820000000001</v>
      </c>
      <c r="P53">
        <v>1980.4449999999999</v>
      </c>
      <c r="R53" s="3">
        <f t="shared" si="2"/>
        <v>2000.9968000000001</v>
      </c>
      <c r="S53" s="3">
        <f t="shared" si="3"/>
        <v>73.47031648182822</v>
      </c>
    </row>
    <row r="54" spans="1:19" x14ac:dyDescent="0.25">
      <c r="A54">
        <v>55</v>
      </c>
      <c r="B54">
        <v>2378.2750000000001</v>
      </c>
      <c r="C54">
        <v>2345.6759999999999</v>
      </c>
      <c r="D54">
        <v>1839.614</v>
      </c>
      <c r="E54">
        <v>1883.21</v>
      </c>
      <c r="F54">
        <v>1962.2329999999999</v>
      </c>
      <c r="H54" s="2">
        <f t="shared" si="0"/>
        <v>2081.8016000000002</v>
      </c>
      <c r="I54" s="2">
        <f t="shared" si="1"/>
        <v>116.17148599660676</v>
      </c>
      <c r="K54">
        <v>55</v>
      </c>
      <c r="L54">
        <v>2149.471</v>
      </c>
      <c r="M54">
        <v>1711.48</v>
      </c>
      <c r="N54">
        <v>1947.002</v>
      </c>
      <c r="O54">
        <v>1960.6030000000001</v>
      </c>
      <c r="P54">
        <v>1915.13</v>
      </c>
      <c r="R54" s="3">
        <f t="shared" si="2"/>
        <v>1936.7372</v>
      </c>
      <c r="S54" s="3">
        <f t="shared" si="3"/>
        <v>69.691566718936656</v>
      </c>
    </row>
    <row r="55" spans="1:19" x14ac:dyDescent="0.25">
      <c r="A55">
        <v>56.25</v>
      </c>
      <c r="B55">
        <v>2265.5590000000002</v>
      </c>
      <c r="C55">
        <v>2231.4560000000001</v>
      </c>
      <c r="D55">
        <v>1738.462</v>
      </c>
      <c r="E55">
        <v>1774.105</v>
      </c>
      <c r="F55">
        <v>1857.6320000000001</v>
      </c>
      <c r="H55" s="2">
        <f t="shared" si="0"/>
        <v>1973.4428</v>
      </c>
      <c r="I55" s="2">
        <f t="shared" si="1"/>
        <v>114.07593128061755</v>
      </c>
      <c r="K55">
        <v>56.25</v>
      </c>
      <c r="L55">
        <v>2037.3430000000001</v>
      </c>
      <c r="M55">
        <v>1629.56</v>
      </c>
      <c r="N55">
        <v>1821.3989999999999</v>
      </c>
      <c r="O55">
        <v>1846.068</v>
      </c>
      <c r="P55">
        <v>1801.4939999999999</v>
      </c>
      <c r="R55" s="3">
        <f t="shared" si="2"/>
        <v>1827.1727999999998</v>
      </c>
      <c r="S55" s="3">
        <f t="shared" si="3"/>
        <v>64.912286129360766</v>
      </c>
    </row>
    <row r="56" spans="1:19" x14ac:dyDescent="0.25">
      <c r="A56">
        <v>57.5</v>
      </c>
      <c r="B56">
        <v>2120.8539999999998</v>
      </c>
      <c r="C56">
        <v>2092.5360000000001</v>
      </c>
      <c r="D56">
        <v>1616.0940000000001</v>
      </c>
      <c r="E56">
        <v>1647.6279999999999</v>
      </c>
      <c r="F56">
        <v>1731.9480000000001</v>
      </c>
      <c r="H56" s="2">
        <f t="shared" si="0"/>
        <v>1841.8119999999999</v>
      </c>
      <c r="I56" s="2">
        <f t="shared" si="1"/>
        <v>109.87563465482287</v>
      </c>
      <c r="K56">
        <v>57.5</v>
      </c>
      <c r="L56">
        <v>1930.4490000000001</v>
      </c>
      <c r="M56">
        <v>1520.0160000000001</v>
      </c>
      <c r="N56">
        <v>1674.3920000000001</v>
      </c>
      <c r="O56">
        <v>1712.51</v>
      </c>
      <c r="P56">
        <v>1666.768</v>
      </c>
      <c r="R56" s="3">
        <f t="shared" si="2"/>
        <v>1700.827</v>
      </c>
      <c r="S56" s="3">
        <f t="shared" si="3"/>
        <v>66.111344639176721</v>
      </c>
    </row>
    <row r="57" spans="1:19" x14ac:dyDescent="0.25">
      <c r="A57">
        <v>58.75</v>
      </c>
      <c r="B57">
        <v>1997.414</v>
      </c>
      <c r="C57">
        <v>1953.047</v>
      </c>
      <c r="D57">
        <v>1487.3440000000001</v>
      </c>
      <c r="E57">
        <v>1504.2190000000001</v>
      </c>
      <c r="F57">
        <v>1599.2909999999999</v>
      </c>
      <c r="H57" s="2">
        <f t="shared" si="0"/>
        <v>1708.2630000000001</v>
      </c>
      <c r="I57" s="2">
        <f t="shared" si="1"/>
        <v>110.86964479468658</v>
      </c>
      <c r="K57">
        <v>58.75</v>
      </c>
      <c r="L57">
        <v>1804.373</v>
      </c>
      <c r="M57">
        <v>1414.3920000000001</v>
      </c>
      <c r="N57">
        <v>1536.0129999999999</v>
      </c>
      <c r="O57">
        <v>1576.6210000000001</v>
      </c>
      <c r="P57">
        <v>1521.472</v>
      </c>
      <c r="R57" s="3">
        <f t="shared" si="2"/>
        <v>1570.5742</v>
      </c>
      <c r="S57" s="3">
        <f t="shared" si="3"/>
        <v>64.302731224575538</v>
      </c>
    </row>
    <row r="58" spans="1:19" x14ac:dyDescent="0.25">
      <c r="A58">
        <v>60</v>
      </c>
      <c r="B58">
        <v>1913.0709999999999</v>
      </c>
      <c r="C58">
        <v>1870.5070000000001</v>
      </c>
      <c r="D58">
        <v>1406.9880000000001</v>
      </c>
      <c r="E58">
        <v>1419.4839999999999</v>
      </c>
      <c r="F58">
        <v>1520.2850000000001</v>
      </c>
      <c r="H58" s="2">
        <f t="shared" si="0"/>
        <v>1626.0669999999998</v>
      </c>
      <c r="I58" s="2">
        <f t="shared" si="1"/>
        <v>110.4500306179233</v>
      </c>
      <c r="K58">
        <v>60</v>
      </c>
      <c r="L58">
        <v>1715.7249999999999</v>
      </c>
      <c r="M58">
        <v>1351.9870000000001</v>
      </c>
      <c r="N58">
        <v>1440.2190000000001</v>
      </c>
      <c r="O58">
        <v>1484.752</v>
      </c>
      <c r="P58">
        <v>1439.307</v>
      </c>
      <c r="R58" s="3">
        <f t="shared" si="2"/>
        <v>1486.3980000000001</v>
      </c>
      <c r="S58" s="3">
        <f t="shared" si="3"/>
        <v>61.241310194998249</v>
      </c>
    </row>
    <row r="59" spans="1:19" x14ac:dyDescent="0.25">
      <c r="A59">
        <v>61.25</v>
      </c>
      <c r="B59">
        <v>1863.9</v>
      </c>
      <c r="C59">
        <v>1825.9179999999999</v>
      </c>
      <c r="D59">
        <v>1357.9880000000001</v>
      </c>
      <c r="E59">
        <v>1378.883</v>
      </c>
      <c r="F59">
        <v>1471.5509999999999</v>
      </c>
      <c r="H59" s="2">
        <f t="shared" si="0"/>
        <v>1579.6479999999999</v>
      </c>
      <c r="I59" s="2">
        <f t="shared" si="1"/>
        <v>110.13010819889354</v>
      </c>
      <c r="K59">
        <v>61.25</v>
      </c>
      <c r="L59">
        <v>1655.308</v>
      </c>
      <c r="M59">
        <v>1303.846</v>
      </c>
      <c r="N59">
        <v>1388.2619999999999</v>
      </c>
      <c r="O59">
        <v>1441.414</v>
      </c>
      <c r="P59">
        <v>1404.152</v>
      </c>
      <c r="R59" s="3">
        <f t="shared" si="2"/>
        <v>1438.5963999999999</v>
      </c>
      <c r="S59" s="3">
        <f t="shared" si="3"/>
        <v>58.672606580584095</v>
      </c>
    </row>
    <row r="60" spans="1:19" x14ac:dyDescent="0.25">
      <c r="A60">
        <v>62.5</v>
      </c>
      <c r="B60">
        <v>1820.17</v>
      </c>
      <c r="C60">
        <v>1779.26</v>
      </c>
      <c r="D60">
        <v>1328.896</v>
      </c>
      <c r="E60">
        <v>1353.4190000000001</v>
      </c>
      <c r="F60">
        <v>1436.95</v>
      </c>
      <c r="H60" s="2">
        <f t="shared" si="0"/>
        <v>1543.739</v>
      </c>
      <c r="I60" s="2">
        <f t="shared" si="1"/>
        <v>106.22319585947365</v>
      </c>
      <c r="K60">
        <v>62.5</v>
      </c>
      <c r="L60">
        <v>1605.8969999999999</v>
      </c>
      <c r="M60">
        <v>1271.066</v>
      </c>
      <c r="N60">
        <v>1365.8920000000001</v>
      </c>
      <c r="O60">
        <v>1413.567</v>
      </c>
      <c r="P60">
        <v>1376.433</v>
      </c>
      <c r="R60" s="3">
        <f t="shared" si="2"/>
        <v>1406.5709999999999</v>
      </c>
      <c r="S60" s="3">
        <f t="shared" si="3"/>
        <v>55.092868595672137</v>
      </c>
    </row>
    <row r="61" spans="1:19" x14ac:dyDescent="0.25">
      <c r="A61">
        <v>63.75</v>
      </c>
      <c r="B61">
        <v>1785.248</v>
      </c>
      <c r="C61">
        <v>1747.6369999999999</v>
      </c>
      <c r="D61">
        <v>1307.4739999999999</v>
      </c>
      <c r="E61">
        <v>1336.884</v>
      </c>
      <c r="F61">
        <v>1412.202</v>
      </c>
      <c r="H61" s="2">
        <f t="shared" si="0"/>
        <v>1517.8890000000001</v>
      </c>
      <c r="I61" s="2">
        <f t="shared" si="1"/>
        <v>103.07085005082584</v>
      </c>
      <c r="K61">
        <v>63.75</v>
      </c>
      <c r="L61">
        <v>1569.6220000000001</v>
      </c>
      <c r="M61">
        <v>1250.8530000000001</v>
      </c>
      <c r="N61">
        <v>1354.3040000000001</v>
      </c>
      <c r="O61">
        <v>1385.0550000000001</v>
      </c>
      <c r="P61">
        <v>1363.2670000000001</v>
      </c>
      <c r="R61" s="3">
        <f t="shared" si="2"/>
        <v>1384.6202000000001</v>
      </c>
      <c r="S61" s="3">
        <f t="shared" si="3"/>
        <v>51.717767731602649</v>
      </c>
    </row>
    <row r="62" spans="1:19" x14ac:dyDescent="0.25">
      <c r="A62">
        <v>65</v>
      </c>
      <c r="B62">
        <v>1751.4010000000001</v>
      </c>
      <c r="C62">
        <v>1731.6310000000001</v>
      </c>
      <c r="D62">
        <v>1301.078</v>
      </c>
      <c r="E62">
        <v>1327.414</v>
      </c>
      <c r="F62">
        <v>1395.797</v>
      </c>
      <c r="H62" s="2">
        <f t="shared" si="0"/>
        <v>1501.4641999999999</v>
      </c>
      <c r="I62" s="2">
        <f t="shared" si="1"/>
        <v>99.261981201969107</v>
      </c>
      <c r="K62">
        <v>65</v>
      </c>
      <c r="L62">
        <v>1544.4059999999999</v>
      </c>
      <c r="M62">
        <v>1228.768</v>
      </c>
      <c r="N62">
        <v>1338.95</v>
      </c>
      <c r="O62">
        <v>1364.3889999999999</v>
      </c>
      <c r="P62">
        <v>1360.9570000000001</v>
      </c>
      <c r="R62" s="3">
        <f t="shared" si="2"/>
        <v>1367.4940000000001</v>
      </c>
      <c r="S62" s="3">
        <f t="shared" si="3"/>
        <v>50.70004543883563</v>
      </c>
    </row>
    <row r="63" spans="1:19" x14ac:dyDescent="0.25">
      <c r="A63">
        <v>66.25</v>
      </c>
      <c r="B63">
        <v>1736.403</v>
      </c>
      <c r="C63">
        <v>1714.578</v>
      </c>
      <c r="D63">
        <v>1298.5250000000001</v>
      </c>
      <c r="E63">
        <v>1325.3330000000001</v>
      </c>
      <c r="F63">
        <v>1388.9449999999999</v>
      </c>
      <c r="H63" s="2">
        <f t="shared" si="0"/>
        <v>1492.7567999999999</v>
      </c>
      <c r="I63" s="2">
        <f t="shared" si="1"/>
        <v>96.203359167131481</v>
      </c>
      <c r="K63">
        <v>66.25</v>
      </c>
      <c r="L63">
        <v>1527.732</v>
      </c>
      <c r="M63">
        <v>1210.1849999999999</v>
      </c>
      <c r="N63">
        <v>1332.039</v>
      </c>
      <c r="O63">
        <v>1360.9169999999999</v>
      </c>
      <c r="P63">
        <v>1358.877</v>
      </c>
      <c r="R63" s="3">
        <f t="shared" si="2"/>
        <v>1357.95</v>
      </c>
      <c r="S63" s="3">
        <f t="shared" si="3"/>
        <v>50.66629307932444</v>
      </c>
    </row>
    <row r="64" spans="1:19" x14ac:dyDescent="0.25">
      <c r="A64">
        <v>67.5</v>
      </c>
      <c r="B64">
        <v>1719.5909999999999</v>
      </c>
      <c r="C64">
        <v>1692.5450000000001</v>
      </c>
      <c r="D64">
        <v>1290.2370000000001</v>
      </c>
      <c r="E64">
        <v>1317.962</v>
      </c>
      <c r="F64">
        <v>1374.6089999999999</v>
      </c>
      <c r="H64" s="2">
        <f t="shared" si="0"/>
        <v>1478.9887999999999</v>
      </c>
      <c r="I64" s="2">
        <f t="shared" si="1"/>
        <v>93.794371945442876</v>
      </c>
      <c r="K64">
        <v>67.5</v>
      </c>
      <c r="L64">
        <v>1515.277</v>
      </c>
      <c r="M64">
        <v>1198.8489999999999</v>
      </c>
      <c r="N64">
        <v>1333.6679999999999</v>
      </c>
      <c r="O64">
        <v>1365.643</v>
      </c>
      <c r="P64">
        <v>1362.9280000000001</v>
      </c>
      <c r="R64" s="3">
        <f t="shared" si="2"/>
        <v>1355.2729999999999</v>
      </c>
      <c r="S64" s="3">
        <f t="shared" si="3"/>
        <v>50.350104141898271</v>
      </c>
    </row>
    <row r="65" spans="1:19" x14ac:dyDescent="0.25">
      <c r="A65">
        <v>68.75</v>
      </c>
      <c r="B65">
        <v>1668.6890000000001</v>
      </c>
      <c r="C65">
        <v>1675.5709999999999</v>
      </c>
      <c r="D65">
        <v>1277.1759999999999</v>
      </c>
      <c r="E65">
        <v>1311.53</v>
      </c>
      <c r="F65">
        <v>1358.097</v>
      </c>
      <c r="H65" s="2">
        <f t="shared" si="0"/>
        <v>1458.2125999999998</v>
      </c>
      <c r="I65" s="2">
        <f t="shared" si="1"/>
        <v>88.277448437639649</v>
      </c>
      <c r="K65">
        <v>68.75</v>
      </c>
      <c r="L65">
        <v>1492.097</v>
      </c>
      <c r="M65">
        <v>1179.3150000000001</v>
      </c>
      <c r="N65">
        <v>1339.136</v>
      </c>
      <c r="O65">
        <v>1356.3689999999999</v>
      </c>
      <c r="P65">
        <v>1368.56</v>
      </c>
      <c r="R65" s="3">
        <f t="shared" si="2"/>
        <v>1347.0954000000002</v>
      </c>
      <c r="S65" s="3">
        <f t="shared" si="3"/>
        <v>49.892788750078893</v>
      </c>
    </row>
    <row r="66" spans="1:19" x14ac:dyDescent="0.25">
      <c r="A66">
        <v>70</v>
      </c>
      <c r="B66">
        <v>1619.6569999999999</v>
      </c>
      <c r="C66">
        <v>1643.963</v>
      </c>
      <c r="D66">
        <v>1268.5519999999999</v>
      </c>
      <c r="E66">
        <v>1299.24</v>
      </c>
      <c r="F66">
        <v>1337.1469999999999</v>
      </c>
      <c r="H66" s="2">
        <f t="shared" si="0"/>
        <v>1433.7117999999998</v>
      </c>
      <c r="I66" s="2">
        <f t="shared" si="1"/>
        <v>81.690381819037157</v>
      </c>
      <c r="K66">
        <v>70</v>
      </c>
      <c r="L66">
        <v>1453.8789999999999</v>
      </c>
      <c r="M66">
        <v>1159.6659999999999</v>
      </c>
      <c r="N66">
        <v>1331.0940000000001</v>
      </c>
      <c r="O66">
        <v>1340.683</v>
      </c>
      <c r="P66">
        <v>1361.875</v>
      </c>
      <c r="R66" s="3">
        <f t="shared" si="2"/>
        <v>1329.4394</v>
      </c>
      <c r="S66" s="3">
        <f t="shared" si="3"/>
        <v>47.691427838344282</v>
      </c>
    </row>
    <row r="67" spans="1:19" x14ac:dyDescent="0.25">
      <c r="A67">
        <v>71.25</v>
      </c>
      <c r="B67">
        <v>1602</v>
      </c>
      <c r="C67">
        <v>1616.404</v>
      </c>
      <c r="D67">
        <v>1248.6289999999999</v>
      </c>
      <c r="E67">
        <v>1284.268</v>
      </c>
      <c r="F67">
        <v>1313.826</v>
      </c>
      <c r="H67" s="2">
        <f t="shared" si="0"/>
        <v>1413.0254</v>
      </c>
      <c r="I67" s="2">
        <f t="shared" si="1"/>
        <v>80.783482139359236</v>
      </c>
      <c r="K67">
        <v>71.25</v>
      </c>
      <c r="L67">
        <v>1422.3389999999999</v>
      </c>
      <c r="M67">
        <v>1140.1369999999999</v>
      </c>
      <c r="N67">
        <v>1309.617</v>
      </c>
      <c r="O67">
        <v>1326.2619999999999</v>
      </c>
      <c r="P67">
        <v>1347.623</v>
      </c>
      <c r="R67" s="3">
        <f t="shared" si="2"/>
        <v>1309.1955999999998</v>
      </c>
      <c r="S67" s="3">
        <f t="shared" si="3"/>
        <v>46.449081721386058</v>
      </c>
    </row>
    <row r="68" spans="1:19" x14ac:dyDescent="0.25">
      <c r="A68">
        <v>72.5</v>
      </c>
      <c r="B68">
        <v>1571.5329999999999</v>
      </c>
      <c r="C68">
        <v>1605.32</v>
      </c>
      <c r="D68">
        <v>1223.5820000000001</v>
      </c>
      <c r="E68">
        <v>1260.0340000000001</v>
      </c>
      <c r="F68">
        <v>1283.894</v>
      </c>
      <c r="H68" s="2">
        <f t="shared" si="0"/>
        <v>1388.8726000000001</v>
      </c>
      <c r="I68" s="2">
        <f t="shared" si="1"/>
        <v>82.205587538559755</v>
      </c>
      <c r="K68">
        <v>72.5</v>
      </c>
      <c r="L68">
        <v>1404.1030000000001</v>
      </c>
      <c r="M68">
        <v>1121.712</v>
      </c>
      <c r="N68">
        <v>1288.2449999999999</v>
      </c>
      <c r="O68">
        <v>1303.9090000000001</v>
      </c>
      <c r="P68">
        <v>1328.133</v>
      </c>
      <c r="R68" s="3">
        <f t="shared" si="2"/>
        <v>1289.2203999999999</v>
      </c>
      <c r="S68" s="3">
        <f t="shared" si="3"/>
        <v>46.361607320713127</v>
      </c>
    </row>
    <row r="69" spans="1:19" x14ac:dyDescent="0.25">
      <c r="A69">
        <v>73.75</v>
      </c>
      <c r="B69">
        <v>1546.049</v>
      </c>
      <c r="C69">
        <v>1603.415</v>
      </c>
      <c r="D69">
        <v>1204.9079999999999</v>
      </c>
      <c r="E69">
        <v>1247.7249999999999</v>
      </c>
      <c r="F69">
        <v>1274.854</v>
      </c>
      <c r="H69" s="2">
        <f t="shared" ref="H69:H96" si="4">AVERAGE(B69:F69)</f>
        <v>1375.3902</v>
      </c>
      <c r="I69" s="2">
        <f t="shared" ref="I69:I96" si="5">STDEV(B69:F69)/SQRT(COUNT(B69:F69))</f>
        <v>82.640742600366181</v>
      </c>
      <c r="K69">
        <v>73.75</v>
      </c>
      <c r="L69">
        <v>1390.713</v>
      </c>
      <c r="M69">
        <v>1111.0229999999999</v>
      </c>
      <c r="N69">
        <v>1269.7190000000001</v>
      </c>
      <c r="O69">
        <v>1285.789</v>
      </c>
      <c r="P69">
        <v>1317.3489999999999</v>
      </c>
      <c r="R69" s="3">
        <f t="shared" ref="R69:R96" si="6">AVERAGE(L69:P69)</f>
        <v>1274.9186</v>
      </c>
      <c r="S69" s="3">
        <f t="shared" ref="S69:S96" si="7">STDEV(L69:P69)/SQRT(COUNT(L69:P69))</f>
        <v>45.943253613125833</v>
      </c>
    </row>
    <row r="70" spans="1:19" x14ac:dyDescent="0.25">
      <c r="A70">
        <v>75</v>
      </c>
      <c r="B70">
        <v>1591.5429999999999</v>
      </c>
      <c r="C70">
        <v>1658.1</v>
      </c>
      <c r="D70">
        <v>1240.5319999999999</v>
      </c>
      <c r="E70">
        <v>1271.933</v>
      </c>
      <c r="F70">
        <v>1321.944</v>
      </c>
      <c r="H70" s="2">
        <f t="shared" si="4"/>
        <v>1416.8103999999998</v>
      </c>
      <c r="I70" s="2">
        <f t="shared" si="5"/>
        <v>86.549211942455344</v>
      </c>
      <c r="K70">
        <v>75</v>
      </c>
      <c r="L70">
        <v>1429.08</v>
      </c>
      <c r="M70">
        <v>1149.6590000000001</v>
      </c>
      <c r="N70">
        <v>1300.5229999999999</v>
      </c>
      <c r="O70">
        <v>1320.607</v>
      </c>
      <c r="P70">
        <v>1338.9770000000001</v>
      </c>
      <c r="R70" s="3">
        <f t="shared" si="6"/>
        <v>1307.7692</v>
      </c>
      <c r="S70" s="3">
        <f t="shared" si="7"/>
        <v>45.225208039764702</v>
      </c>
    </row>
    <row r="71" spans="1:19" x14ac:dyDescent="0.25">
      <c r="A71">
        <v>76.25</v>
      </c>
      <c r="B71">
        <v>1734.1179999999999</v>
      </c>
      <c r="C71">
        <v>1753.393</v>
      </c>
      <c r="D71">
        <v>1354.8150000000001</v>
      </c>
      <c r="E71">
        <v>1400.1769999999999</v>
      </c>
      <c r="F71">
        <v>1436.9860000000001</v>
      </c>
      <c r="H71" s="2">
        <f t="shared" si="4"/>
        <v>1535.8978</v>
      </c>
      <c r="I71" s="2">
        <f t="shared" si="5"/>
        <v>85.904036546253977</v>
      </c>
      <c r="K71">
        <v>76.25</v>
      </c>
      <c r="L71">
        <v>1554.15</v>
      </c>
      <c r="M71">
        <v>1249.3340000000001</v>
      </c>
      <c r="N71">
        <v>1432.4649999999999</v>
      </c>
      <c r="O71">
        <v>1447.992</v>
      </c>
      <c r="P71">
        <v>1445.7090000000001</v>
      </c>
      <c r="R71" s="3">
        <f t="shared" si="6"/>
        <v>1425.93</v>
      </c>
      <c r="S71" s="3">
        <f t="shared" si="7"/>
        <v>49.268226336047455</v>
      </c>
    </row>
    <row r="72" spans="1:19" x14ac:dyDescent="0.25">
      <c r="A72">
        <v>77.5</v>
      </c>
      <c r="B72">
        <v>1798.204</v>
      </c>
      <c r="C72">
        <v>1788.3420000000001</v>
      </c>
      <c r="D72">
        <v>1422.973</v>
      </c>
      <c r="E72">
        <v>1452.364</v>
      </c>
      <c r="F72">
        <v>1493.403</v>
      </c>
      <c r="H72" s="2">
        <f t="shared" si="4"/>
        <v>1591.0572</v>
      </c>
      <c r="I72" s="2">
        <f t="shared" si="5"/>
        <v>83.323326222253399</v>
      </c>
      <c r="K72">
        <v>77.5</v>
      </c>
      <c r="L72">
        <v>1613.9079999999999</v>
      </c>
      <c r="M72">
        <v>1299.9680000000001</v>
      </c>
      <c r="N72">
        <v>1498.6679999999999</v>
      </c>
      <c r="O72">
        <v>1500.7909999999999</v>
      </c>
      <c r="P72">
        <v>1511.8710000000001</v>
      </c>
      <c r="R72" s="3">
        <f t="shared" si="6"/>
        <v>1485.0412000000001</v>
      </c>
      <c r="S72" s="3">
        <f t="shared" si="7"/>
        <v>50.996237874376547</v>
      </c>
    </row>
    <row r="73" spans="1:19" x14ac:dyDescent="0.25">
      <c r="A73">
        <v>78.75</v>
      </c>
      <c r="B73">
        <v>1751.7929999999999</v>
      </c>
      <c r="C73">
        <v>1769.0039999999999</v>
      </c>
      <c r="D73">
        <v>1376.817</v>
      </c>
      <c r="E73">
        <v>1409.021</v>
      </c>
      <c r="F73">
        <v>1459.425</v>
      </c>
      <c r="H73" s="2">
        <f t="shared" si="4"/>
        <v>1553.212</v>
      </c>
      <c r="I73" s="2">
        <f t="shared" si="5"/>
        <v>85.64544433301775</v>
      </c>
      <c r="K73">
        <v>78.75</v>
      </c>
      <c r="L73">
        <v>1571.809</v>
      </c>
      <c r="M73">
        <v>1263.489</v>
      </c>
      <c r="N73">
        <v>1466.144</v>
      </c>
      <c r="O73">
        <v>1464.3430000000001</v>
      </c>
      <c r="P73">
        <v>1477.3969999999999</v>
      </c>
      <c r="R73" s="3">
        <f t="shared" si="6"/>
        <v>1448.6363999999999</v>
      </c>
      <c r="S73" s="3">
        <f t="shared" si="7"/>
        <v>50.414003298290041</v>
      </c>
    </row>
    <row r="74" spans="1:19" x14ac:dyDescent="0.25">
      <c r="A74">
        <v>80</v>
      </c>
      <c r="B74">
        <v>1708.7159999999999</v>
      </c>
      <c r="C74">
        <v>1792.212</v>
      </c>
      <c r="D74">
        <v>1322.7670000000001</v>
      </c>
      <c r="E74">
        <v>1371.2370000000001</v>
      </c>
      <c r="F74">
        <v>1442.816</v>
      </c>
      <c r="H74" s="2">
        <f t="shared" si="4"/>
        <v>1527.5495999999998</v>
      </c>
      <c r="I74" s="2">
        <f t="shared" si="5"/>
        <v>93.919320593049918</v>
      </c>
      <c r="K74">
        <v>80</v>
      </c>
      <c r="L74">
        <v>1532.021</v>
      </c>
      <c r="M74">
        <v>1224.251</v>
      </c>
      <c r="N74">
        <v>1438.8779999999999</v>
      </c>
      <c r="O74">
        <v>1426.5329999999999</v>
      </c>
      <c r="P74">
        <v>1447.2239999999999</v>
      </c>
      <c r="R74" s="3">
        <f t="shared" si="6"/>
        <v>1413.7813999999998</v>
      </c>
      <c r="S74" s="3">
        <f t="shared" si="7"/>
        <v>50.898539105361358</v>
      </c>
    </row>
    <row r="75" spans="1:19" x14ac:dyDescent="0.25">
      <c r="A75">
        <v>81.25</v>
      </c>
      <c r="B75">
        <v>1855.848</v>
      </c>
      <c r="C75">
        <v>1992.934</v>
      </c>
      <c r="D75">
        <v>1451.6110000000001</v>
      </c>
      <c r="E75">
        <v>1499.7729999999999</v>
      </c>
      <c r="F75">
        <v>1679.133</v>
      </c>
      <c r="H75" s="2">
        <f t="shared" si="4"/>
        <v>1695.8598000000002</v>
      </c>
      <c r="I75" s="2">
        <f t="shared" si="5"/>
        <v>103.01373687979671</v>
      </c>
      <c r="K75">
        <v>81.25</v>
      </c>
      <c r="L75">
        <v>1638.556</v>
      </c>
      <c r="M75">
        <v>1403.7339999999999</v>
      </c>
      <c r="N75">
        <v>1643.2539999999999</v>
      </c>
      <c r="O75">
        <v>1598.527</v>
      </c>
      <c r="P75">
        <v>1610.3340000000001</v>
      </c>
      <c r="R75" s="3">
        <f t="shared" si="6"/>
        <v>1578.8809999999999</v>
      </c>
      <c r="S75" s="3">
        <f t="shared" si="7"/>
        <v>44.585152734963252</v>
      </c>
    </row>
    <row r="76" spans="1:19" x14ac:dyDescent="0.25">
      <c r="A76">
        <v>82.5</v>
      </c>
      <c r="B76">
        <v>2364.6219999999998</v>
      </c>
      <c r="C76">
        <v>2487.6729999999998</v>
      </c>
      <c r="D76">
        <v>1998.623</v>
      </c>
      <c r="E76">
        <v>1997.1569999999999</v>
      </c>
      <c r="F76">
        <v>2319.4949999999999</v>
      </c>
      <c r="H76" s="2">
        <f t="shared" si="4"/>
        <v>2233.5140000000001</v>
      </c>
      <c r="I76" s="2">
        <f t="shared" si="5"/>
        <v>100.05429791768064</v>
      </c>
      <c r="K76">
        <v>82.5</v>
      </c>
      <c r="L76">
        <v>2173.0880000000002</v>
      </c>
      <c r="M76">
        <v>1948.991</v>
      </c>
      <c r="N76">
        <v>2271.029</v>
      </c>
      <c r="O76">
        <v>2200.5770000000002</v>
      </c>
      <c r="P76">
        <v>2179.4949999999999</v>
      </c>
      <c r="R76" s="3">
        <f t="shared" si="6"/>
        <v>2154.636</v>
      </c>
      <c r="S76" s="3">
        <f t="shared" si="7"/>
        <v>54.270718688810462</v>
      </c>
    </row>
    <row r="77" spans="1:19" x14ac:dyDescent="0.25">
      <c r="A77">
        <v>83.75</v>
      </c>
      <c r="B77">
        <v>3080.8139999999999</v>
      </c>
      <c r="C77">
        <v>3036.8679999999999</v>
      </c>
      <c r="D77">
        <v>2761.395</v>
      </c>
      <c r="E77">
        <v>2758.7449999999999</v>
      </c>
      <c r="F77">
        <v>3104.9810000000002</v>
      </c>
      <c r="H77" s="2">
        <f t="shared" si="4"/>
        <v>2948.5605999999998</v>
      </c>
      <c r="I77" s="2">
        <f t="shared" si="5"/>
        <v>77.723041650851528</v>
      </c>
      <c r="K77">
        <v>83.75</v>
      </c>
      <c r="L77">
        <v>2970.4450000000002</v>
      </c>
      <c r="M77">
        <v>2595.2779999999998</v>
      </c>
      <c r="N77">
        <v>3078.4050000000002</v>
      </c>
      <c r="O77">
        <v>3021.114</v>
      </c>
      <c r="P77">
        <v>2968.1840000000002</v>
      </c>
      <c r="R77" s="3">
        <f t="shared" si="6"/>
        <v>2926.6851999999999</v>
      </c>
      <c r="S77" s="3">
        <f t="shared" si="7"/>
        <v>85.265320820014551</v>
      </c>
    </row>
    <row r="78" spans="1:19" x14ac:dyDescent="0.25">
      <c r="A78">
        <v>85</v>
      </c>
      <c r="B78">
        <v>3606.1689999999999</v>
      </c>
      <c r="C78">
        <v>3365.04</v>
      </c>
      <c r="D78">
        <v>3377.46</v>
      </c>
      <c r="E78">
        <v>3330.8980000000001</v>
      </c>
      <c r="F78">
        <v>3697.6869999999999</v>
      </c>
      <c r="H78" s="2">
        <f t="shared" si="4"/>
        <v>3475.4508000000001</v>
      </c>
      <c r="I78" s="2">
        <f t="shared" si="5"/>
        <v>73.879777351721856</v>
      </c>
      <c r="K78">
        <v>85</v>
      </c>
      <c r="L78">
        <v>3588.1550000000002</v>
      </c>
      <c r="M78">
        <v>3059.576</v>
      </c>
      <c r="N78">
        <v>3704.721</v>
      </c>
      <c r="O78">
        <v>3604.9679999999998</v>
      </c>
      <c r="P78">
        <v>3558.7159999999999</v>
      </c>
      <c r="R78" s="3">
        <f t="shared" si="6"/>
        <v>3503.2271999999998</v>
      </c>
      <c r="S78" s="3">
        <f t="shared" si="7"/>
        <v>113.59336847342806</v>
      </c>
    </row>
    <row r="79" spans="1:19" x14ac:dyDescent="0.25">
      <c r="A79">
        <v>86.25</v>
      </c>
      <c r="B79">
        <v>3683.28</v>
      </c>
      <c r="C79">
        <v>3349.4760000000001</v>
      </c>
      <c r="D79">
        <v>3547.2170000000001</v>
      </c>
      <c r="E79">
        <v>3471.6010000000001</v>
      </c>
      <c r="F79">
        <v>3870.5039999999999</v>
      </c>
      <c r="H79" s="2">
        <f t="shared" si="4"/>
        <v>3584.4156000000003</v>
      </c>
      <c r="I79" s="2">
        <f t="shared" si="5"/>
        <v>89.701791416113835</v>
      </c>
      <c r="K79">
        <v>86.25</v>
      </c>
      <c r="L79">
        <v>3749.04</v>
      </c>
      <c r="M79">
        <v>3194.7109999999998</v>
      </c>
      <c r="N79">
        <v>3909.5709999999999</v>
      </c>
      <c r="O79">
        <v>3732.8380000000002</v>
      </c>
      <c r="P79">
        <v>3740.0859999999998</v>
      </c>
      <c r="R79" s="3">
        <f t="shared" si="6"/>
        <v>3665.2491999999997</v>
      </c>
      <c r="S79" s="3">
        <f t="shared" si="7"/>
        <v>122.12473752250199</v>
      </c>
    </row>
    <row r="80" spans="1:19" x14ac:dyDescent="0.25">
      <c r="A80">
        <v>87.5</v>
      </c>
      <c r="B80">
        <v>3344.2080000000001</v>
      </c>
      <c r="C80">
        <v>3039.2939999999999</v>
      </c>
      <c r="D80">
        <v>3244.009</v>
      </c>
      <c r="E80">
        <v>3162.4250000000002</v>
      </c>
      <c r="F80">
        <v>3594.989</v>
      </c>
      <c r="H80" s="2">
        <f t="shared" si="4"/>
        <v>3276.9850000000006</v>
      </c>
      <c r="I80" s="2">
        <f t="shared" si="5"/>
        <v>93.902581807424241</v>
      </c>
      <c r="K80">
        <v>87.5</v>
      </c>
      <c r="L80">
        <v>3425.931</v>
      </c>
      <c r="M80">
        <v>2914.232</v>
      </c>
      <c r="N80">
        <v>3644.3420000000001</v>
      </c>
      <c r="O80">
        <v>3422.797</v>
      </c>
      <c r="P80">
        <v>3447.3150000000001</v>
      </c>
      <c r="R80" s="3">
        <f t="shared" si="6"/>
        <v>3370.9234000000006</v>
      </c>
      <c r="S80" s="3">
        <f t="shared" si="7"/>
        <v>121.42428683035368</v>
      </c>
    </row>
    <row r="81" spans="1:19" x14ac:dyDescent="0.25">
      <c r="A81">
        <v>88.75</v>
      </c>
      <c r="B81">
        <v>2923.7829999999999</v>
      </c>
      <c r="C81">
        <v>2666.1860000000001</v>
      </c>
      <c r="D81">
        <v>2742.2829999999999</v>
      </c>
      <c r="E81">
        <v>2702.7510000000002</v>
      </c>
      <c r="F81">
        <v>3118.0709999999999</v>
      </c>
      <c r="H81" s="2">
        <f t="shared" si="4"/>
        <v>2830.6148000000003</v>
      </c>
      <c r="I81" s="2">
        <f t="shared" si="5"/>
        <v>84.409676258353173</v>
      </c>
      <c r="K81">
        <v>88.75</v>
      </c>
      <c r="L81">
        <v>2953.7460000000001</v>
      </c>
      <c r="M81">
        <v>2506.19</v>
      </c>
      <c r="N81">
        <v>3117.761</v>
      </c>
      <c r="O81">
        <v>2926.1129999999998</v>
      </c>
      <c r="P81">
        <v>2943.44</v>
      </c>
      <c r="R81" s="3">
        <f t="shared" si="6"/>
        <v>2889.45</v>
      </c>
      <c r="S81" s="3">
        <f t="shared" si="7"/>
        <v>101.83496737516046</v>
      </c>
    </row>
    <row r="82" spans="1:19" x14ac:dyDescent="0.25">
      <c r="A82">
        <v>90</v>
      </c>
      <c r="B82">
        <v>2773.4639999999999</v>
      </c>
      <c r="C82">
        <v>2463.4290000000001</v>
      </c>
      <c r="D82">
        <v>2562.355</v>
      </c>
      <c r="E82">
        <v>2532.2820000000002</v>
      </c>
      <c r="F82">
        <v>2898.9960000000001</v>
      </c>
      <c r="H82" s="2">
        <f t="shared" si="4"/>
        <v>2646.1051999999995</v>
      </c>
      <c r="I82" s="2">
        <f t="shared" si="5"/>
        <v>81.705089060229284</v>
      </c>
      <c r="K82">
        <v>90</v>
      </c>
      <c r="L82">
        <v>2800.27</v>
      </c>
      <c r="M82">
        <v>2367.38</v>
      </c>
      <c r="N82">
        <v>2860.3850000000002</v>
      </c>
      <c r="O82">
        <v>2715.2779999999998</v>
      </c>
      <c r="P82">
        <v>2702.4949999999999</v>
      </c>
      <c r="R82" s="3">
        <f t="shared" si="6"/>
        <v>2689.1616000000004</v>
      </c>
      <c r="S82" s="3">
        <f t="shared" si="7"/>
        <v>85.45928073100076</v>
      </c>
    </row>
    <row r="83" spans="1:19" x14ac:dyDescent="0.25">
      <c r="A83">
        <v>91.25</v>
      </c>
      <c r="B83">
        <v>2805.8980000000001</v>
      </c>
      <c r="C83">
        <v>2449.2139999999999</v>
      </c>
      <c r="D83">
        <v>2814.953</v>
      </c>
      <c r="E83">
        <v>2690.0160000000001</v>
      </c>
      <c r="F83">
        <v>3077.761</v>
      </c>
      <c r="H83" s="2">
        <f t="shared" si="4"/>
        <v>2767.5684000000001</v>
      </c>
      <c r="I83" s="2">
        <f t="shared" si="5"/>
        <v>101.80810537309885</v>
      </c>
      <c r="K83">
        <v>91.25</v>
      </c>
      <c r="L83">
        <v>2952.3229999999999</v>
      </c>
      <c r="M83">
        <v>2559.6849999999999</v>
      </c>
      <c r="N83">
        <v>3091.1370000000002</v>
      </c>
      <c r="O83">
        <v>2906.3760000000002</v>
      </c>
      <c r="P83">
        <v>2904.8470000000002</v>
      </c>
      <c r="R83" s="3">
        <f t="shared" si="6"/>
        <v>2882.8735999999999</v>
      </c>
      <c r="S83" s="3">
        <f t="shared" si="7"/>
        <v>87.659262837192543</v>
      </c>
    </row>
    <row r="84" spans="1:19" x14ac:dyDescent="0.25">
      <c r="A84">
        <v>92.5</v>
      </c>
      <c r="B84">
        <v>2880.6559999999999</v>
      </c>
      <c r="C84">
        <v>2561.8090000000002</v>
      </c>
      <c r="D84">
        <v>3139.5549999999998</v>
      </c>
      <c r="E84">
        <v>2929.386</v>
      </c>
      <c r="F84">
        <v>3409.2330000000002</v>
      </c>
      <c r="H84" s="2">
        <f t="shared" si="4"/>
        <v>2984.1278000000002</v>
      </c>
      <c r="I84" s="2">
        <f t="shared" si="5"/>
        <v>140.87730343508139</v>
      </c>
      <c r="K84">
        <v>92.5</v>
      </c>
      <c r="L84">
        <v>3168.8359999999998</v>
      </c>
      <c r="M84">
        <v>2820.9070000000002</v>
      </c>
      <c r="N84">
        <v>3460.835</v>
      </c>
      <c r="O84">
        <v>3186.607</v>
      </c>
      <c r="P84">
        <v>3185.9160000000002</v>
      </c>
      <c r="R84" s="3">
        <f t="shared" si="6"/>
        <v>3164.6202000000003</v>
      </c>
      <c r="S84" s="3">
        <f t="shared" si="7"/>
        <v>101.69480690644924</v>
      </c>
    </row>
    <row r="85" spans="1:19" x14ac:dyDescent="0.25">
      <c r="A85">
        <v>93.75</v>
      </c>
      <c r="B85">
        <v>3003.7730000000001</v>
      </c>
      <c r="C85">
        <v>2862.8809999999999</v>
      </c>
      <c r="D85">
        <v>3308.5639999999999</v>
      </c>
      <c r="E85">
        <v>3075.9369999999999</v>
      </c>
      <c r="F85">
        <v>3636.3409999999999</v>
      </c>
      <c r="H85" s="2">
        <f t="shared" si="4"/>
        <v>3177.4992000000002</v>
      </c>
      <c r="I85" s="2">
        <f t="shared" si="5"/>
        <v>135.49798227885162</v>
      </c>
      <c r="K85">
        <v>93.75</v>
      </c>
      <c r="L85">
        <v>3294.6170000000002</v>
      </c>
      <c r="M85">
        <v>2955.0030000000002</v>
      </c>
      <c r="N85">
        <v>3687.002</v>
      </c>
      <c r="O85">
        <v>3357.2269999999999</v>
      </c>
      <c r="P85">
        <v>3346.04</v>
      </c>
      <c r="R85" s="3">
        <f t="shared" si="6"/>
        <v>3327.9778000000006</v>
      </c>
      <c r="S85" s="3">
        <f t="shared" si="7"/>
        <v>116.2547374017076</v>
      </c>
    </row>
    <row r="86" spans="1:19" x14ac:dyDescent="0.25">
      <c r="A86">
        <v>95</v>
      </c>
      <c r="B86">
        <v>3309.154</v>
      </c>
      <c r="C86">
        <v>3379.0770000000002</v>
      </c>
      <c r="D86">
        <v>3292.402</v>
      </c>
      <c r="E86">
        <v>3094.6860000000001</v>
      </c>
      <c r="F86">
        <v>3626.1419999999998</v>
      </c>
      <c r="H86" s="2">
        <f t="shared" si="4"/>
        <v>3340.2921999999999</v>
      </c>
      <c r="I86" s="2">
        <f t="shared" si="5"/>
        <v>85.673751261632006</v>
      </c>
      <c r="K86">
        <v>95</v>
      </c>
      <c r="L86">
        <v>3364.32</v>
      </c>
      <c r="M86">
        <v>2944.607</v>
      </c>
      <c r="N86">
        <v>3694.33</v>
      </c>
      <c r="O86">
        <v>3365.7550000000001</v>
      </c>
      <c r="P86">
        <v>3353.8040000000001</v>
      </c>
      <c r="R86" s="3">
        <f t="shared" si="6"/>
        <v>3344.5631999999996</v>
      </c>
      <c r="S86" s="3">
        <f t="shared" si="7"/>
        <v>119.0013849118572</v>
      </c>
    </row>
    <row r="87" spans="1:19" x14ac:dyDescent="0.25">
      <c r="A87">
        <v>96.25</v>
      </c>
      <c r="B87">
        <v>3771.529</v>
      </c>
      <c r="C87">
        <v>3864.2710000000002</v>
      </c>
      <c r="D87">
        <v>3260.355</v>
      </c>
      <c r="E87">
        <v>3155.8330000000001</v>
      </c>
      <c r="F87">
        <v>3550.8119999999999</v>
      </c>
      <c r="H87" s="2">
        <f t="shared" si="4"/>
        <v>3520.5600000000004</v>
      </c>
      <c r="I87" s="2">
        <f t="shared" si="5"/>
        <v>138.34202191308322</v>
      </c>
      <c r="K87">
        <v>96.25</v>
      </c>
      <c r="L87">
        <v>3521.2739999999999</v>
      </c>
      <c r="M87">
        <v>2958.5120000000002</v>
      </c>
      <c r="N87">
        <v>3601.203</v>
      </c>
      <c r="O87">
        <v>3382.6329999999998</v>
      </c>
      <c r="P87">
        <v>3375.011</v>
      </c>
      <c r="R87" s="3">
        <f t="shared" si="6"/>
        <v>3367.7265999999995</v>
      </c>
      <c r="S87" s="3">
        <f t="shared" si="7"/>
        <v>110.86475668606317</v>
      </c>
    </row>
    <row r="88" spans="1:19" x14ac:dyDescent="0.25">
      <c r="A88">
        <v>97.5</v>
      </c>
      <c r="B88">
        <v>4105.7879999999996</v>
      </c>
      <c r="C88">
        <v>4211.7929999999997</v>
      </c>
      <c r="D88">
        <v>3299.982</v>
      </c>
      <c r="E88">
        <v>3310.9360000000001</v>
      </c>
      <c r="F88">
        <v>3549.8969999999999</v>
      </c>
      <c r="H88" s="2">
        <f t="shared" si="4"/>
        <v>3695.6791999999996</v>
      </c>
      <c r="I88" s="2">
        <f t="shared" si="5"/>
        <v>194.98958129331353</v>
      </c>
      <c r="K88">
        <v>97.5</v>
      </c>
      <c r="L88">
        <v>3705.578</v>
      </c>
      <c r="M88">
        <v>3028.5210000000002</v>
      </c>
      <c r="N88">
        <v>3556.8049999999998</v>
      </c>
      <c r="O88">
        <v>3473.8359999999998</v>
      </c>
      <c r="P88">
        <v>3478.9279999999999</v>
      </c>
      <c r="R88" s="3">
        <f t="shared" si="6"/>
        <v>3448.7335999999996</v>
      </c>
      <c r="S88" s="3">
        <f t="shared" si="7"/>
        <v>113.08601478193485</v>
      </c>
    </row>
    <row r="89" spans="1:19" x14ac:dyDescent="0.25">
      <c r="A89">
        <v>98.75</v>
      </c>
      <c r="B89">
        <v>4320.027</v>
      </c>
      <c r="C89">
        <v>4401.5029999999997</v>
      </c>
      <c r="D89">
        <v>3352.181</v>
      </c>
      <c r="E89">
        <v>3443.2130000000002</v>
      </c>
      <c r="F89">
        <v>3586.3589999999999</v>
      </c>
      <c r="H89" s="2">
        <f t="shared" si="4"/>
        <v>3820.6565999999998</v>
      </c>
      <c r="I89" s="2">
        <f t="shared" si="5"/>
        <v>224.00689287734116</v>
      </c>
      <c r="K89">
        <v>98.75</v>
      </c>
      <c r="L89">
        <v>3831.1610000000001</v>
      </c>
      <c r="M89">
        <v>3086.404</v>
      </c>
      <c r="N89">
        <v>3581.614</v>
      </c>
      <c r="O89">
        <v>3573.2959999999998</v>
      </c>
      <c r="P89">
        <v>3587.4</v>
      </c>
      <c r="R89" s="3">
        <f t="shared" si="6"/>
        <v>3531.9749999999999</v>
      </c>
      <c r="S89" s="3">
        <f t="shared" si="7"/>
        <v>121.50908703138215</v>
      </c>
    </row>
    <row r="90" spans="1:19" x14ac:dyDescent="0.25">
      <c r="A90">
        <v>100</v>
      </c>
      <c r="B90">
        <v>4380.2629999999999</v>
      </c>
      <c r="C90">
        <v>4451.2939999999999</v>
      </c>
      <c r="D90">
        <v>3380.6930000000002</v>
      </c>
      <c r="E90">
        <v>3491.165</v>
      </c>
      <c r="F90">
        <v>3586.1959999999999</v>
      </c>
      <c r="H90" s="2">
        <f t="shared" si="4"/>
        <v>3857.9222</v>
      </c>
      <c r="I90" s="2">
        <f t="shared" si="5"/>
        <v>230.32842695060205</v>
      </c>
      <c r="K90">
        <v>100</v>
      </c>
      <c r="L90">
        <v>3891.6680000000001</v>
      </c>
      <c r="M90">
        <v>3097.3969999999999</v>
      </c>
      <c r="N90">
        <v>3586.2139999999999</v>
      </c>
      <c r="O90">
        <v>3619.7629999999999</v>
      </c>
      <c r="P90">
        <v>3629.799</v>
      </c>
      <c r="R90" s="3">
        <f t="shared" si="6"/>
        <v>3564.9682000000003</v>
      </c>
      <c r="S90" s="3">
        <f t="shared" si="7"/>
        <v>129.0372956053404</v>
      </c>
    </row>
    <row r="91" spans="1:19" x14ac:dyDescent="0.25">
      <c r="A91">
        <v>101.25</v>
      </c>
      <c r="B91">
        <v>4278.0590000000002</v>
      </c>
      <c r="C91">
        <v>4345.4440000000004</v>
      </c>
      <c r="D91">
        <v>3340.201</v>
      </c>
      <c r="E91">
        <v>3447.511</v>
      </c>
      <c r="F91">
        <v>3532.3389999999999</v>
      </c>
      <c r="H91" s="2">
        <f t="shared" si="4"/>
        <v>3788.7108000000007</v>
      </c>
      <c r="I91" s="2">
        <f t="shared" si="5"/>
        <v>215.95350898709296</v>
      </c>
      <c r="K91">
        <v>101.25</v>
      </c>
      <c r="L91">
        <v>3844.873</v>
      </c>
      <c r="M91">
        <v>3032.5520000000001</v>
      </c>
      <c r="N91">
        <v>3533.2159999999999</v>
      </c>
      <c r="O91">
        <v>3566.7</v>
      </c>
      <c r="P91">
        <v>3613.2739999999999</v>
      </c>
      <c r="R91" s="3">
        <f t="shared" si="6"/>
        <v>3518.1230000000005</v>
      </c>
      <c r="S91" s="3">
        <f t="shared" si="7"/>
        <v>133.07629295257664</v>
      </c>
    </row>
    <row r="92" spans="1:19" x14ac:dyDescent="0.25">
      <c r="A92">
        <v>102.5</v>
      </c>
      <c r="B92">
        <v>4019.4720000000002</v>
      </c>
      <c r="C92">
        <v>4106.6440000000002</v>
      </c>
      <c r="D92">
        <v>3172.3629999999998</v>
      </c>
      <c r="E92">
        <v>3277.116</v>
      </c>
      <c r="F92">
        <v>3386.3270000000002</v>
      </c>
      <c r="H92" s="2">
        <f t="shared" si="4"/>
        <v>3592.3843999999999</v>
      </c>
      <c r="I92" s="2">
        <f t="shared" si="5"/>
        <v>195.59378145243048</v>
      </c>
      <c r="K92">
        <v>102.5</v>
      </c>
      <c r="L92">
        <v>3662.9459999999999</v>
      </c>
      <c r="M92">
        <v>2888</v>
      </c>
      <c r="N92">
        <v>3397.7489999999998</v>
      </c>
      <c r="O92">
        <v>3408.2469999999998</v>
      </c>
      <c r="P92">
        <v>3489.5259999999998</v>
      </c>
      <c r="R92" s="3">
        <f t="shared" si="6"/>
        <v>3369.2936</v>
      </c>
      <c r="S92" s="3">
        <f t="shared" si="7"/>
        <v>129.35574370649334</v>
      </c>
    </row>
    <row r="93" spans="1:19" x14ac:dyDescent="0.25">
      <c r="A93">
        <v>103.75</v>
      </c>
      <c r="B93">
        <v>3683.9290000000001</v>
      </c>
      <c r="C93">
        <v>3816.9389999999999</v>
      </c>
      <c r="D93">
        <v>2900.0439999999999</v>
      </c>
      <c r="E93">
        <v>3011.453</v>
      </c>
      <c r="F93">
        <v>3129.8989999999999</v>
      </c>
      <c r="H93" s="2">
        <f t="shared" si="4"/>
        <v>3308.4528</v>
      </c>
      <c r="I93" s="2">
        <f t="shared" si="5"/>
        <v>185.26044922875653</v>
      </c>
      <c r="K93">
        <v>103.75</v>
      </c>
      <c r="L93">
        <v>3374.4830000000002</v>
      </c>
      <c r="M93">
        <v>2660.6350000000002</v>
      </c>
      <c r="N93">
        <v>3145.5970000000002</v>
      </c>
      <c r="O93">
        <v>3143.848</v>
      </c>
      <c r="P93">
        <v>3233.5540000000001</v>
      </c>
      <c r="R93" s="3">
        <f t="shared" si="6"/>
        <v>3111.6233999999999</v>
      </c>
      <c r="S93" s="3">
        <f t="shared" si="7"/>
        <v>120.32152920512603</v>
      </c>
    </row>
    <row r="94" spans="1:19" x14ac:dyDescent="0.25">
      <c r="A94">
        <v>105</v>
      </c>
      <c r="B94">
        <v>3452.299</v>
      </c>
      <c r="C94">
        <v>3611.6260000000002</v>
      </c>
      <c r="D94">
        <v>2647.2310000000002</v>
      </c>
      <c r="E94">
        <v>2763.355</v>
      </c>
      <c r="F94">
        <v>2865.1289999999999</v>
      </c>
      <c r="H94" s="2">
        <f t="shared" si="4"/>
        <v>3067.9279999999999</v>
      </c>
      <c r="I94" s="2">
        <f t="shared" si="5"/>
        <v>194.19406445409371</v>
      </c>
      <c r="K94">
        <v>105</v>
      </c>
      <c r="L94">
        <v>3092.4670000000001</v>
      </c>
      <c r="M94">
        <v>2450.6080000000002</v>
      </c>
      <c r="N94">
        <v>2889.6680000000001</v>
      </c>
      <c r="O94">
        <v>2889.2130000000002</v>
      </c>
      <c r="P94">
        <v>2965.8690000000001</v>
      </c>
      <c r="R94" s="3">
        <f t="shared" si="6"/>
        <v>2857.5650000000001</v>
      </c>
      <c r="S94" s="3">
        <f t="shared" si="7"/>
        <v>108.29471464065084</v>
      </c>
    </row>
    <row r="95" spans="1:19" x14ac:dyDescent="0.25">
      <c r="A95">
        <v>106.25</v>
      </c>
      <c r="B95">
        <v>3386.8110000000001</v>
      </c>
      <c r="C95">
        <v>3541.3939999999998</v>
      </c>
      <c r="D95">
        <v>2527.4760000000001</v>
      </c>
      <c r="E95">
        <v>2655.7779999999998</v>
      </c>
      <c r="F95">
        <v>2716.4720000000002</v>
      </c>
      <c r="H95" s="2">
        <f t="shared" si="4"/>
        <v>2965.5862000000002</v>
      </c>
      <c r="I95" s="2">
        <f t="shared" si="5"/>
        <v>207.23953621942016</v>
      </c>
      <c r="K95">
        <v>106.25</v>
      </c>
      <c r="L95">
        <v>2983.1779999999999</v>
      </c>
      <c r="M95">
        <v>2353.3560000000002</v>
      </c>
      <c r="N95">
        <v>2745.8359999999998</v>
      </c>
      <c r="O95">
        <v>2765.1869999999999</v>
      </c>
      <c r="P95">
        <v>2828.2550000000001</v>
      </c>
      <c r="R95" s="3">
        <f t="shared" si="6"/>
        <v>2735.1623999999997</v>
      </c>
      <c r="S95" s="3">
        <f t="shared" si="7"/>
        <v>104.15601265438298</v>
      </c>
    </row>
    <row r="96" spans="1:19" x14ac:dyDescent="0.25">
      <c r="A96">
        <v>107.5</v>
      </c>
      <c r="B96">
        <v>3390.8209999999999</v>
      </c>
      <c r="C96">
        <v>3520.8440000000001</v>
      </c>
      <c r="D96">
        <v>2496.0210000000002</v>
      </c>
      <c r="E96">
        <v>2632.6570000000002</v>
      </c>
      <c r="F96">
        <v>2682.7359999999999</v>
      </c>
      <c r="H96" s="2">
        <f t="shared" si="4"/>
        <v>2944.6158000000005</v>
      </c>
      <c r="I96" s="2">
        <f t="shared" si="5"/>
        <v>211.92860072613885</v>
      </c>
      <c r="K96">
        <v>107.5</v>
      </c>
      <c r="L96">
        <v>2962.21</v>
      </c>
      <c r="M96">
        <v>2328.94</v>
      </c>
      <c r="N96">
        <v>2722.7249999999999</v>
      </c>
      <c r="O96">
        <v>2744.1640000000002</v>
      </c>
      <c r="P96">
        <v>2801.665</v>
      </c>
      <c r="R96" s="3">
        <f t="shared" si="6"/>
        <v>2711.9408000000003</v>
      </c>
      <c r="S96" s="3">
        <f t="shared" si="7"/>
        <v>104.52974479132722</v>
      </c>
    </row>
  </sheetData>
  <mergeCells count="2">
    <mergeCell ref="A1:F1"/>
    <mergeCell ref="K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18D54-D7F3-49ED-BCB2-98E1EA2263E6}">
  <dimension ref="A1:AN96"/>
  <sheetViews>
    <sheetView workbookViewId="0">
      <selection activeCell="U3" sqref="U3"/>
    </sheetView>
  </sheetViews>
  <sheetFormatPr defaultRowHeight="11.25" x14ac:dyDescent="0.2"/>
  <cols>
    <col min="1" max="1" width="8.5703125" style="7" bestFit="1" customWidth="1"/>
    <col min="2" max="16" width="7.85546875" style="7" bestFit="1" customWidth="1"/>
    <col min="17" max="17" width="2.140625" style="4" customWidth="1"/>
    <col min="18" max="19" width="9.140625" style="5"/>
    <col min="20" max="20" width="2.85546875" style="4" customWidth="1"/>
    <col min="21" max="21" width="8.85546875" style="7" bestFit="1" customWidth="1"/>
    <col min="22" max="36" width="7.85546875" style="7" bestFit="1" customWidth="1"/>
    <col min="37" max="37" width="2.140625" style="4" customWidth="1"/>
    <col min="38" max="39" width="9.140625" style="6"/>
    <col min="40" max="40" width="2.85546875" style="4" customWidth="1"/>
    <col min="41" max="16384" width="9.140625" style="7"/>
  </cols>
  <sheetData>
    <row r="1" spans="1:39" x14ac:dyDescent="0.2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U1" s="11" t="s">
        <v>5</v>
      </c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 spans="1:39" x14ac:dyDescent="0.2">
      <c r="A2" s="7" t="s">
        <v>6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U2" s="7" t="s">
        <v>7</v>
      </c>
      <c r="V2" s="7">
        <v>1</v>
      </c>
      <c r="W2" s="7">
        <v>2</v>
      </c>
      <c r="X2" s="7">
        <v>3</v>
      </c>
      <c r="Y2" s="7">
        <v>4</v>
      </c>
      <c r="Z2" s="7">
        <v>5</v>
      </c>
      <c r="AA2" s="7">
        <v>6</v>
      </c>
      <c r="AB2" s="7">
        <v>7</v>
      </c>
      <c r="AC2" s="7">
        <v>8</v>
      </c>
      <c r="AD2" s="7">
        <v>9</v>
      </c>
      <c r="AE2" s="7">
        <v>10</v>
      </c>
      <c r="AF2" s="7">
        <v>11</v>
      </c>
      <c r="AG2" s="7">
        <v>12</v>
      </c>
      <c r="AH2" s="7">
        <v>13</v>
      </c>
      <c r="AI2" s="7">
        <v>14</v>
      </c>
      <c r="AJ2" s="7">
        <v>15</v>
      </c>
    </row>
    <row r="3" spans="1:39" x14ac:dyDescent="0.2">
      <c r="A3" s="7" t="s">
        <v>0</v>
      </c>
      <c r="B3" s="7">
        <v>4.0060000000000002</v>
      </c>
      <c r="C3" s="7">
        <v>4.9939999999999998</v>
      </c>
      <c r="D3" s="7">
        <v>4.9870000000000001</v>
      </c>
      <c r="E3" s="7">
        <v>2.2360000000000002</v>
      </c>
      <c r="F3" s="7">
        <v>5.5620000000000003</v>
      </c>
      <c r="G3" s="7">
        <v>3.5539999999999998</v>
      </c>
      <c r="H3" s="7">
        <v>1.22</v>
      </c>
      <c r="I3" s="7">
        <v>0.878</v>
      </c>
      <c r="J3" s="7">
        <v>5.1689999999999996</v>
      </c>
      <c r="K3" s="7">
        <v>3.0910000000000002</v>
      </c>
      <c r="L3" s="7">
        <v>0.26</v>
      </c>
      <c r="M3" s="7">
        <v>8.08</v>
      </c>
      <c r="N3" s="7">
        <v>5.282</v>
      </c>
      <c r="O3" s="7">
        <v>4.673</v>
      </c>
      <c r="P3" s="7">
        <v>1.7889999999999999</v>
      </c>
      <c r="U3" s="7" t="s">
        <v>0</v>
      </c>
      <c r="V3" s="7">
        <v>5.4980000000000002</v>
      </c>
      <c r="W3" s="7">
        <v>4.0830000000000002</v>
      </c>
      <c r="X3" s="7">
        <v>3.07</v>
      </c>
      <c r="Y3" s="7">
        <v>2.16</v>
      </c>
      <c r="Z3" s="7">
        <v>4.3970000000000002</v>
      </c>
      <c r="AA3" s="7">
        <v>3.9470000000000001</v>
      </c>
      <c r="AB3" s="7">
        <v>4.3019999999999996</v>
      </c>
      <c r="AC3" s="7">
        <v>3.71</v>
      </c>
      <c r="AD3" s="7">
        <v>1.331</v>
      </c>
      <c r="AE3" s="7">
        <v>1.853</v>
      </c>
      <c r="AF3" s="7">
        <v>2.625</v>
      </c>
      <c r="AG3" s="7">
        <v>4.5599999999999996</v>
      </c>
      <c r="AH3" s="7">
        <v>3.0409999999999999</v>
      </c>
      <c r="AI3" s="7">
        <v>3.5049999999999999</v>
      </c>
      <c r="AJ3" s="7">
        <v>4.75</v>
      </c>
    </row>
    <row r="4" spans="1:39" x14ac:dyDescent="0.2">
      <c r="A4" s="7" t="s">
        <v>1</v>
      </c>
      <c r="B4" s="7">
        <v>312.35300000000001</v>
      </c>
      <c r="C4" s="7">
        <v>314.55200000000002</v>
      </c>
      <c r="D4" s="7">
        <v>315.34699999999998</v>
      </c>
      <c r="E4" s="7">
        <v>319.01799999999997</v>
      </c>
      <c r="F4" s="7">
        <v>314.98200000000003</v>
      </c>
      <c r="G4" s="7">
        <v>314.79300000000001</v>
      </c>
      <c r="H4" s="7">
        <v>315.238</v>
      </c>
      <c r="I4" s="7">
        <v>315.66300000000001</v>
      </c>
      <c r="J4" s="7">
        <v>314.85700000000003</v>
      </c>
      <c r="K4" s="7">
        <v>313.62400000000002</v>
      </c>
      <c r="L4" s="7">
        <v>317.072</v>
      </c>
      <c r="M4" s="7">
        <v>317.17899999999997</v>
      </c>
      <c r="N4" s="7">
        <v>315.64699999999999</v>
      </c>
      <c r="O4" s="7">
        <v>314.01100000000002</v>
      </c>
      <c r="P4" s="7">
        <v>316.75700000000001</v>
      </c>
      <c r="R4" s="5">
        <f>AVERAGE(B4:P4)</f>
        <v>315.40620000000001</v>
      </c>
      <c r="S4" s="5">
        <f>STDEV(B4:P4)/SQRT(COUNT(B4:P4))</f>
        <v>0.41961027496611669</v>
      </c>
      <c r="U4" s="7" t="s">
        <v>1</v>
      </c>
      <c r="V4" s="7">
        <v>313.61799999999999</v>
      </c>
      <c r="W4" s="7">
        <v>313.83999999999997</v>
      </c>
      <c r="X4" s="7">
        <v>315.46300000000002</v>
      </c>
      <c r="Y4" s="7">
        <v>317.238</v>
      </c>
      <c r="Z4" s="7">
        <v>314.8</v>
      </c>
      <c r="AA4" s="7">
        <v>315.29599999999999</v>
      </c>
      <c r="AB4" s="7">
        <v>314.745</v>
      </c>
      <c r="AC4" s="7">
        <v>316.34399999999999</v>
      </c>
      <c r="AD4" s="7">
        <v>317.49400000000003</v>
      </c>
      <c r="AE4" s="7">
        <v>317.67700000000002</v>
      </c>
      <c r="AF4" s="7">
        <v>314.45600000000002</v>
      </c>
      <c r="AG4" s="7">
        <v>316.14299999999997</v>
      </c>
      <c r="AH4" s="7">
        <v>314.07499999999999</v>
      </c>
      <c r="AI4" s="7">
        <v>315.33699999999999</v>
      </c>
      <c r="AJ4" s="7">
        <v>313.59899999999999</v>
      </c>
      <c r="AL4" s="6">
        <f>AVERAGE(AC4:AJ4)</f>
        <v>315.640625</v>
      </c>
      <c r="AM4" s="6">
        <f>STDEV(AC4:AJ4)/SQRT(COUNT(AC4:AJ4))</f>
        <v>0.54188622084279758</v>
      </c>
    </row>
    <row r="5" spans="1:39" x14ac:dyDescent="0.2">
      <c r="A5" s="7" t="s">
        <v>2</v>
      </c>
      <c r="B5" s="7">
        <v>68.411000000000001</v>
      </c>
      <c r="C5" s="7">
        <v>68.325999999999993</v>
      </c>
      <c r="D5" s="7">
        <v>68.712999999999994</v>
      </c>
      <c r="E5" s="7">
        <v>68.108000000000004</v>
      </c>
      <c r="F5" s="7">
        <v>68.090999999999994</v>
      </c>
      <c r="G5" s="7">
        <v>67.944999999999993</v>
      </c>
      <c r="H5" s="7">
        <v>69.462000000000003</v>
      </c>
      <c r="I5" s="7">
        <v>69.370999999999995</v>
      </c>
      <c r="J5" s="7">
        <v>68.093000000000004</v>
      </c>
      <c r="K5" s="7">
        <v>67.921000000000006</v>
      </c>
      <c r="L5" s="7">
        <v>68.756</v>
      </c>
      <c r="M5" s="7">
        <v>66.036000000000001</v>
      </c>
      <c r="N5" s="7">
        <v>68.66</v>
      </c>
      <c r="O5" s="7">
        <v>68.28</v>
      </c>
      <c r="P5" s="7">
        <v>68.085999999999999</v>
      </c>
      <c r="R5" s="5">
        <f t="shared" ref="R5:R68" si="0">AVERAGE(B5:P5)</f>
        <v>68.283933333333323</v>
      </c>
      <c r="S5" s="5">
        <f t="shared" ref="S5:S68" si="1">STDEV(B5:P5)/SQRT(COUNT(B5:P5))</f>
        <v>0.20212521971402866</v>
      </c>
      <c r="U5" s="7" t="s">
        <v>2</v>
      </c>
      <c r="V5" s="7">
        <v>67.926000000000002</v>
      </c>
      <c r="W5" s="7">
        <v>68.313000000000002</v>
      </c>
      <c r="X5" s="7">
        <v>68.167000000000002</v>
      </c>
      <c r="Y5" s="7">
        <v>68.242999999999995</v>
      </c>
      <c r="Z5" s="7">
        <v>67.888000000000005</v>
      </c>
      <c r="AA5" s="7">
        <v>68.099999999999994</v>
      </c>
      <c r="AB5" s="7">
        <v>68.043000000000006</v>
      </c>
      <c r="AC5" s="7">
        <v>68.090999999999994</v>
      </c>
      <c r="AD5" s="7">
        <v>68.213999999999999</v>
      </c>
      <c r="AE5" s="7">
        <v>67.831000000000003</v>
      </c>
      <c r="AF5" s="7">
        <v>67.516999999999996</v>
      </c>
      <c r="AG5" s="7">
        <v>67.894000000000005</v>
      </c>
      <c r="AH5" s="7">
        <v>67.683000000000007</v>
      </c>
      <c r="AI5" s="7">
        <v>68.186000000000007</v>
      </c>
      <c r="AJ5" s="7">
        <v>67.727000000000004</v>
      </c>
      <c r="AL5" s="6">
        <f t="shared" ref="AL5:AL68" si="2">AVERAGE(AC5:AJ5)</f>
        <v>67.892875000000004</v>
      </c>
      <c r="AM5" s="6">
        <f t="shared" ref="AM5:AM68" si="3">STDEV(AC5:AJ5)/SQRT(COUNT(AC5:AJ5))</f>
        <v>8.9139825454971844E-2</v>
      </c>
    </row>
    <row r="6" spans="1:39" x14ac:dyDescent="0.2">
      <c r="A6" s="7" t="s">
        <v>3</v>
      </c>
      <c r="B6" s="7">
        <v>29.5</v>
      </c>
      <c r="C6" s="7">
        <v>31.385999999999999</v>
      </c>
      <c r="D6" s="7">
        <v>30.8</v>
      </c>
      <c r="E6" s="7">
        <v>33.451999999999998</v>
      </c>
      <c r="F6" s="7">
        <v>30.972000000000001</v>
      </c>
      <c r="G6" s="7">
        <v>31.646000000000001</v>
      </c>
      <c r="H6" s="7">
        <v>31.334</v>
      </c>
      <c r="I6" s="7">
        <v>30.622</v>
      </c>
      <c r="J6" s="7">
        <v>31.71</v>
      </c>
      <c r="K6" s="7">
        <v>30.678999999999998</v>
      </c>
      <c r="L6" s="7">
        <v>33.305</v>
      </c>
      <c r="M6" s="7">
        <v>32.777999999999999</v>
      </c>
      <c r="N6" s="7">
        <v>31.827999999999999</v>
      </c>
      <c r="O6" s="7">
        <v>31.103999999999999</v>
      </c>
      <c r="P6" s="7">
        <v>31.555</v>
      </c>
      <c r="R6" s="5">
        <f t="shared" si="0"/>
        <v>31.511399999999995</v>
      </c>
      <c r="S6" s="5">
        <f t="shared" si="1"/>
        <v>0.26980385820955538</v>
      </c>
      <c r="U6" s="7" t="s">
        <v>3</v>
      </c>
      <c r="V6" s="7">
        <v>31.064</v>
      </c>
      <c r="W6" s="7">
        <v>30.369</v>
      </c>
      <c r="X6" s="7">
        <v>31.623999999999999</v>
      </c>
      <c r="Y6" s="7">
        <v>32.21</v>
      </c>
      <c r="Z6" s="7">
        <v>30.916</v>
      </c>
      <c r="AA6" s="7">
        <v>31.934999999999999</v>
      </c>
      <c r="AB6" s="7">
        <v>32.148000000000003</v>
      </c>
      <c r="AC6" s="7">
        <v>33.720999999999997</v>
      </c>
      <c r="AD6" s="7">
        <v>33.993000000000002</v>
      </c>
      <c r="AE6" s="7">
        <v>32.64</v>
      </c>
      <c r="AF6" s="7">
        <v>32.466000000000001</v>
      </c>
      <c r="AG6" s="7">
        <v>32.764000000000003</v>
      </c>
      <c r="AH6" s="7">
        <v>32.161999999999999</v>
      </c>
      <c r="AI6" s="7">
        <v>31.893999999999998</v>
      </c>
      <c r="AJ6" s="7">
        <v>31.914000000000001</v>
      </c>
      <c r="AL6" s="6">
        <f t="shared" si="2"/>
        <v>32.694250000000004</v>
      </c>
      <c r="AM6" s="6">
        <f t="shared" si="3"/>
        <v>0.27817496742158521</v>
      </c>
    </row>
    <row r="7" spans="1:39" x14ac:dyDescent="0.2">
      <c r="A7" s="7">
        <v>-3.75</v>
      </c>
      <c r="B7" s="7">
        <v>912.73500000000001</v>
      </c>
      <c r="C7" s="7">
        <v>689.94600000000003</v>
      </c>
      <c r="D7" s="7">
        <v>928.68299999999999</v>
      </c>
      <c r="E7" s="7">
        <v>866.10799999999995</v>
      </c>
      <c r="F7" s="7">
        <v>1014.234</v>
      </c>
      <c r="G7" s="7">
        <v>1008.578</v>
      </c>
      <c r="H7" s="7">
        <v>1010.7809999999999</v>
      </c>
      <c r="I7" s="7">
        <v>1148.9870000000001</v>
      </c>
      <c r="J7" s="7">
        <v>708.649</v>
      </c>
      <c r="K7" s="7">
        <v>895.58299999999997</v>
      </c>
      <c r="L7" s="7">
        <v>715.471</v>
      </c>
      <c r="M7" s="7">
        <v>900.428</v>
      </c>
      <c r="N7" s="7">
        <v>1018.919</v>
      </c>
      <c r="O7" s="7">
        <v>965.79300000000001</v>
      </c>
      <c r="P7" s="7">
        <v>1002.774</v>
      </c>
      <c r="R7" s="5">
        <f t="shared" si="0"/>
        <v>919.17793333333316</v>
      </c>
      <c r="S7" s="5">
        <f t="shared" si="1"/>
        <v>33.775426821238476</v>
      </c>
      <c r="U7" s="7">
        <v>-3.75</v>
      </c>
      <c r="V7" s="7">
        <v>1034.5940000000001</v>
      </c>
      <c r="W7" s="7">
        <v>867.05799999999999</v>
      </c>
      <c r="X7" s="7">
        <v>696.18799999999999</v>
      </c>
      <c r="Y7" s="7">
        <v>702.02599999999995</v>
      </c>
      <c r="Z7" s="7">
        <v>1002.1559999999999</v>
      </c>
      <c r="AA7" s="7">
        <v>884.12199999999996</v>
      </c>
      <c r="AB7" s="7">
        <v>721.02</v>
      </c>
      <c r="AC7" s="7">
        <v>826.94299999999998</v>
      </c>
      <c r="AD7" s="7">
        <v>815.625</v>
      </c>
      <c r="AE7" s="7">
        <v>668.55899999999997</v>
      </c>
      <c r="AF7" s="7">
        <v>771.39599999999996</v>
      </c>
      <c r="AG7" s="7">
        <v>862.26099999999997</v>
      </c>
      <c r="AH7" s="7">
        <v>843.83399999999995</v>
      </c>
      <c r="AI7" s="7">
        <v>1055.308</v>
      </c>
      <c r="AJ7" s="7">
        <v>816.53899999999999</v>
      </c>
      <c r="AL7" s="6">
        <f t="shared" si="2"/>
        <v>832.55812500000002</v>
      </c>
      <c r="AM7" s="6">
        <f t="shared" si="3"/>
        <v>38.228239422876406</v>
      </c>
    </row>
    <row r="8" spans="1:39" x14ac:dyDescent="0.2">
      <c r="A8" s="7">
        <v>-2.5</v>
      </c>
      <c r="B8" s="7">
        <v>1035.942</v>
      </c>
      <c r="C8" s="7">
        <v>888.08</v>
      </c>
      <c r="D8" s="7">
        <v>1149.527</v>
      </c>
      <c r="E8" s="7">
        <v>1148.357</v>
      </c>
      <c r="F8" s="7">
        <v>1195.3800000000001</v>
      </c>
      <c r="G8" s="7">
        <v>1191.9259999999999</v>
      </c>
      <c r="H8" s="7">
        <v>1187.5309999999999</v>
      </c>
      <c r="I8" s="7">
        <v>1321.04</v>
      </c>
      <c r="J8" s="7">
        <v>910.70399999999995</v>
      </c>
      <c r="K8" s="7">
        <v>1053.4860000000001</v>
      </c>
      <c r="L8" s="7">
        <v>876.31500000000005</v>
      </c>
      <c r="M8" s="7">
        <v>1096.405</v>
      </c>
      <c r="N8" s="7">
        <v>1210.3209999999999</v>
      </c>
      <c r="O8" s="7">
        <v>1158.7260000000001</v>
      </c>
      <c r="P8" s="7">
        <v>1240.501</v>
      </c>
      <c r="R8" s="5">
        <f t="shared" si="0"/>
        <v>1110.9494000000002</v>
      </c>
      <c r="S8" s="5">
        <f t="shared" si="1"/>
        <v>34.467307916591423</v>
      </c>
      <c r="U8" s="7">
        <v>-2.5</v>
      </c>
      <c r="V8" s="7">
        <v>1202.664</v>
      </c>
      <c r="W8" s="7">
        <v>1026.2660000000001</v>
      </c>
      <c r="X8" s="7">
        <v>851.75699999999995</v>
      </c>
      <c r="Y8" s="7">
        <v>914.03200000000004</v>
      </c>
      <c r="Z8" s="7">
        <v>1185.0360000000001</v>
      </c>
      <c r="AA8" s="7">
        <v>1085.528</v>
      </c>
      <c r="AB8" s="7">
        <v>994.39099999999996</v>
      </c>
      <c r="AC8" s="7">
        <v>1083.8989999999999</v>
      </c>
      <c r="AD8" s="7">
        <v>1046.373</v>
      </c>
      <c r="AE8" s="7">
        <v>979.44899999999996</v>
      </c>
      <c r="AF8" s="7">
        <v>1019.633</v>
      </c>
      <c r="AG8" s="7">
        <v>1043.5820000000001</v>
      </c>
      <c r="AH8" s="7">
        <v>1096.9659999999999</v>
      </c>
      <c r="AI8" s="7">
        <v>1235.5150000000001</v>
      </c>
      <c r="AJ8" s="7">
        <v>992.78599999999994</v>
      </c>
      <c r="AL8" s="6">
        <f t="shared" si="2"/>
        <v>1062.2753749999999</v>
      </c>
      <c r="AM8" s="6">
        <f t="shared" si="3"/>
        <v>28.595913128913015</v>
      </c>
    </row>
    <row r="9" spans="1:39" x14ac:dyDescent="0.2">
      <c r="A9" s="7">
        <v>-1.25</v>
      </c>
      <c r="B9" s="7">
        <v>1382.405</v>
      </c>
      <c r="C9" s="7">
        <v>1347.4829999999999</v>
      </c>
      <c r="D9" s="7">
        <v>1656.4380000000001</v>
      </c>
      <c r="E9" s="7">
        <v>1748.3589999999999</v>
      </c>
      <c r="F9" s="7">
        <v>1617.9849999999999</v>
      </c>
      <c r="G9" s="7">
        <v>1641.3440000000001</v>
      </c>
      <c r="H9" s="7">
        <v>1612.357</v>
      </c>
      <c r="I9" s="7">
        <v>1817.538</v>
      </c>
      <c r="J9" s="7">
        <v>1303.645</v>
      </c>
      <c r="K9" s="7">
        <v>1433.634</v>
      </c>
      <c r="L9" s="7">
        <v>1284.0329999999999</v>
      </c>
      <c r="M9" s="7">
        <v>1472.7429999999999</v>
      </c>
      <c r="N9" s="7">
        <v>1653.079</v>
      </c>
      <c r="O9" s="7">
        <v>1633.3779999999999</v>
      </c>
      <c r="P9" s="7">
        <v>1867.232</v>
      </c>
      <c r="R9" s="5">
        <f t="shared" si="0"/>
        <v>1564.7768666666668</v>
      </c>
      <c r="S9" s="5">
        <f t="shared" si="1"/>
        <v>47.513613123665756</v>
      </c>
      <c r="U9" s="7">
        <v>-1.25</v>
      </c>
      <c r="V9" s="7">
        <v>1605.8630000000001</v>
      </c>
      <c r="W9" s="7">
        <v>1411.05</v>
      </c>
      <c r="X9" s="7">
        <v>1273.4259999999999</v>
      </c>
      <c r="Y9" s="7">
        <v>1517.6569999999999</v>
      </c>
      <c r="Z9" s="7">
        <v>1674.24</v>
      </c>
      <c r="AA9" s="7">
        <v>1518.9570000000001</v>
      </c>
      <c r="AB9" s="7">
        <v>1501.0229999999999</v>
      </c>
      <c r="AC9" s="7">
        <v>1619.925</v>
      </c>
      <c r="AD9" s="7">
        <v>1638.1320000000001</v>
      </c>
      <c r="AE9" s="7">
        <v>1626.2909999999999</v>
      </c>
      <c r="AF9" s="7">
        <v>1512.1510000000001</v>
      </c>
      <c r="AG9" s="7">
        <v>1506.6880000000001</v>
      </c>
      <c r="AH9" s="7">
        <v>1628.4090000000001</v>
      </c>
      <c r="AI9" s="7">
        <v>1685.6210000000001</v>
      </c>
      <c r="AJ9" s="7">
        <v>1388.4490000000001</v>
      </c>
      <c r="AL9" s="6">
        <f t="shared" si="2"/>
        <v>1575.7082500000001</v>
      </c>
      <c r="AM9" s="6">
        <f t="shared" si="3"/>
        <v>34.625028997795994</v>
      </c>
    </row>
    <row r="10" spans="1:39" x14ac:dyDescent="0.2">
      <c r="A10" s="7">
        <v>0</v>
      </c>
      <c r="B10" s="7">
        <v>1880.9739999999999</v>
      </c>
      <c r="C10" s="7">
        <v>1933.8610000000001</v>
      </c>
      <c r="D10" s="7">
        <v>2333.569</v>
      </c>
      <c r="E10" s="7">
        <v>2388.23</v>
      </c>
      <c r="F10" s="7">
        <v>2189.1640000000002</v>
      </c>
      <c r="G10" s="7">
        <v>2226.2269999999999</v>
      </c>
      <c r="H10" s="7">
        <v>2174.19</v>
      </c>
      <c r="I10" s="7">
        <v>2499.482</v>
      </c>
      <c r="J10" s="7">
        <v>1791.165</v>
      </c>
      <c r="K10" s="7">
        <v>1933.124</v>
      </c>
      <c r="L10" s="7">
        <v>1855.325</v>
      </c>
      <c r="M10" s="7">
        <v>1917.5450000000001</v>
      </c>
      <c r="N10" s="7">
        <v>2216.6410000000001</v>
      </c>
      <c r="O10" s="7">
        <v>2261.1239999999998</v>
      </c>
      <c r="P10" s="7">
        <v>2727.0549999999998</v>
      </c>
      <c r="R10" s="5">
        <f t="shared" si="0"/>
        <v>2155.1783999999998</v>
      </c>
      <c r="S10" s="5">
        <f t="shared" si="1"/>
        <v>69.201417775236962</v>
      </c>
      <c r="U10" s="7">
        <v>0</v>
      </c>
      <c r="V10" s="7">
        <v>2155.62</v>
      </c>
      <c r="W10" s="7">
        <v>1973.4839999999999</v>
      </c>
      <c r="X10" s="7">
        <v>1845.1510000000001</v>
      </c>
      <c r="Y10" s="7">
        <v>2351.701</v>
      </c>
      <c r="Z10" s="7">
        <v>2340.6790000000001</v>
      </c>
      <c r="AA10" s="7">
        <v>2062.4079999999999</v>
      </c>
      <c r="AB10" s="7">
        <v>2071.7179999999998</v>
      </c>
      <c r="AC10" s="7">
        <v>2261.06</v>
      </c>
      <c r="AD10" s="7">
        <v>2343.9580000000001</v>
      </c>
      <c r="AE10" s="7">
        <v>2493.7579999999998</v>
      </c>
      <c r="AF10" s="7">
        <v>2111.8939999999998</v>
      </c>
      <c r="AG10" s="7">
        <v>2071.64</v>
      </c>
      <c r="AH10" s="7">
        <v>2219.002</v>
      </c>
      <c r="AI10" s="7">
        <v>2286.6869999999999</v>
      </c>
      <c r="AJ10" s="7">
        <v>1904.558</v>
      </c>
      <c r="AL10" s="6">
        <f t="shared" si="2"/>
        <v>2211.5696250000001</v>
      </c>
      <c r="AM10" s="6">
        <f t="shared" si="3"/>
        <v>63.958103797926491</v>
      </c>
    </row>
    <row r="11" spans="1:39" x14ac:dyDescent="0.2">
      <c r="A11" s="7">
        <v>1.25</v>
      </c>
      <c r="B11" s="7">
        <v>2316.9470000000001</v>
      </c>
      <c r="C11" s="7">
        <v>2497.3429999999998</v>
      </c>
      <c r="D11" s="7">
        <v>2968.4079999999999</v>
      </c>
      <c r="E11" s="7">
        <v>3009.5610000000001</v>
      </c>
      <c r="F11" s="7">
        <v>2712.9450000000002</v>
      </c>
      <c r="G11" s="7">
        <v>2739.6379999999999</v>
      </c>
      <c r="H11" s="7">
        <v>2712.91</v>
      </c>
      <c r="I11" s="7">
        <v>3090.4479999999999</v>
      </c>
      <c r="J11" s="7">
        <v>2258.8209999999999</v>
      </c>
      <c r="K11" s="7">
        <v>2357.654</v>
      </c>
      <c r="L11" s="7">
        <v>2367.4659999999999</v>
      </c>
      <c r="M11" s="7">
        <v>2352</v>
      </c>
      <c r="N11" s="7">
        <v>2742.0030000000002</v>
      </c>
      <c r="O11" s="7">
        <v>2830.1529999999998</v>
      </c>
      <c r="P11" s="7">
        <v>3543.8910000000001</v>
      </c>
      <c r="R11" s="5">
        <f t="shared" si="0"/>
        <v>2700.0125333333335</v>
      </c>
      <c r="S11" s="5">
        <f t="shared" si="1"/>
        <v>92.180051771667308</v>
      </c>
      <c r="U11" s="7">
        <v>1.25</v>
      </c>
      <c r="V11" s="7">
        <v>2642.6210000000001</v>
      </c>
      <c r="W11" s="7">
        <v>2503.3220000000001</v>
      </c>
      <c r="X11" s="7">
        <v>2391.357</v>
      </c>
      <c r="Y11" s="7">
        <v>3122.61</v>
      </c>
      <c r="Z11" s="7">
        <v>2917.7379999999998</v>
      </c>
      <c r="AA11" s="7">
        <v>2559.4140000000002</v>
      </c>
      <c r="AB11" s="7">
        <v>2627.837</v>
      </c>
      <c r="AC11" s="7">
        <v>2890.8780000000002</v>
      </c>
      <c r="AD11" s="7">
        <v>3012.1990000000001</v>
      </c>
      <c r="AE11" s="7">
        <v>3245.8870000000002</v>
      </c>
      <c r="AF11" s="7">
        <v>2695.4</v>
      </c>
      <c r="AG11" s="7">
        <v>2613.34</v>
      </c>
      <c r="AH11" s="7">
        <v>2805.66</v>
      </c>
      <c r="AI11" s="7">
        <v>2822.7220000000002</v>
      </c>
      <c r="AJ11" s="7">
        <v>2396.9349999999999</v>
      </c>
      <c r="AL11" s="6">
        <f t="shared" si="2"/>
        <v>2810.3776250000005</v>
      </c>
      <c r="AM11" s="6">
        <f t="shared" si="3"/>
        <v>90.636018262005678</v>
      </c>
    </row>
    <row r="12" spans="1:39" x14ac:dyDescent="0.2">
      <c r="A12" s="7">
        <v>2.5</v>
      </c>
      <c r="B12" s="7">
        <v>2593.6509999999998</v>
      </c>
      <c r="C12" s="7">
        <v>2870.2939999999999</v>
      </c>
      <c r="D12" s="7">
        <v>3384.0479999999998</v>
      </c>
      <c r="E12" s="7">
        <v>3401.3719999999998</v>
      </c>
      <c r="F12" s="7">
        <v>3054.741</v>
      </c>
      <c r="G12" s="7">
        <v>3078.1219999999998</v>
      </c>
      <c r="H12" s="7">
        <v>3065.3150000000001</v>
      </c>
      <c r="I12" s="7">
        <v>3466.96</v>
      </c>
      <c r="J12" s="7">
        <v>2576.058</v>
      </c>
      <c r="K12" s="7">
        <v>2660.44</v>
      </c>
      <c r="L12" s="7">
        <v>2622.7559999999999</v>
      </c>
      <c r="M12" s="7">
        <v>2648.2759999999998</v>
      </c>
      <c r="N12" s="7">
        <v>3083.2579999999998</v>
      </c>
      <c r="O12" s="7">
        <v>3213.5279999999998</v>
      </c>
      <c r="P12" s="7">
        <v>3894.0839999999998</v>
      </c>
      <c r="R12" s="5">
        <f t="shared" si="0"/>
        <v>3040.8602000000001</v>
      </c>
      <c r="S12" s="5">
        <f t="shared" si="1"/>
        <v>100.23478156984433</v>
      </c>
      <c r="U12" s="7">
        <v>2.5</v>
      </c>
      <c r="V12" s="7">
        <v>2959.6790000000001</v>
      </c>
      <c r="W12" s="7">
        <v>2816.9119999999998</v>
      </c>
      <c r="X12" s="7">
        <v>2759.1320000000001</v>
      </c>
      <c r="Y12" s="7">
        <v>3544.29</v>
      </c>
      <c r="Z12" s="7">
        <v>3280.4319999999998</v>
      </c>
      <c r="AA12" s="7">
        <v>2879.3359999999998</v>
      </c>
      <c r="AB12" s="7">
        <v>3048.0830000000001</v>
      </c>
      <c r="AC12" s="7">
        <v>3275.306</v>
      </c>
      <c r="AD12" s="7">
        <v>3383.6280000000002</v>
      </c>
      <c r="AE12" s="7">
        <v>3666.7339999999999</v>
      </c>
      <c r="AF12" s="7">
        <v>3137.953</v>
      </c>
      <c r="AG12" s="7">
        <v>2917.2689999999998</v>
      </c>
      <c r="AH12" s="7">
        <v>3247.3629999999998</v>
      </c>
      <c r="AI12" s="7">
        <v>3182.2620000000002</v>
      </c>
      <c r="AJ12" s="7">
        <v>2739.424</v>
      </c>
      <c r="AL12" s="6">
        <f t="shared" si="2"/>
        <v>3193.7423749999998</v>
      </c>
      <c r="AM12" s="6">
        <f t="shared" si="3"/>
        <v>99.587756577685496</v>
      </c>
    </row>
    <row r="13" spans="1:39" x14ac:dyDescent="0.2">
      <c r="A13" s="7">
        <v>3.75</v>
      </c>
      <c r="B13" s="7">
        <v>2722.614</v>
      </c>
      <c r="C13" s="7">
        <v>3052</v>
      </c>
      <c r="D13" s="7">
        <v>3585.34</v>
      </c>
      <c r="E13" s="7">
        <v>3596.94</v>
      </c>
      <c r="F13" s="7">
        <v>3222.33</v>
      </c>
      <c r="G13" s="7">
        <v>3257.8530000000001</v>
      </c>
      <c r="H13" s="7">
        <v>3210.152</v>
      </c>
      <c r="I13" s="7">
        <v>3641.7089999999998</v>
      </c>
      <c r="J13" s="7">
        <v>2750.0619999999999</v>
      </c>
      <c r="K13" s="7">
        <v>2822.0070000000001</v>
      </c>
      <c r="L13" s="7">
        <v>2706.2669999999998</v>
      </c>
      <c r="M13" s="7">
        <v>2808.8560000000002</v>
      </c>
      <c r="N13" s="7">
        <v>3271.0709999999999</v>
      </c>
      <c r="O13" s="7">
        <v>3414.7069999999999</v>
      </c>
      <c r="P13" s="7">
        <v>3841.2959999999998</v>
      </c>
      <c r="R13" s="5">
        <f t="shared" si="0"/>
        <v>3193.5469333333335</v>
      </c>
      <c r="S13" s="5">
        <f t="shared" si="1"/>
        <v>96.579108996888223</v>
      </c>
      <c r="U13" s="7">
        <v>3.75</v>
      </c>
      <c r="V13" s="7">
        <v>3132.7150000000001</v>
      </c>
      <c r="W13" s="7">
        <v>2961.9549999999999</v>
      </c>
      <c r="X13" s="7">
        <v>2910.1579999999999</v>
      </c>
      <c r="Y13" s="7">
        <v>3566.09</v>
      </c>
      <c r="Z13" s="7">
        <v>3456.29</v>
      </c>
      <c r="AA13" s="7">
        <v>3060.5819999999999</v>
      </c>
      <c r="AB13" s="7">
        <v>3281.547</v>
      </c>
      <c r="AC13" s="7">
        <v>3490.6529999999998</v>
      </c>
      <c r="AD13" s="7">
        <v>3554.2469999999998</v>
      </c>
      <c r="AE13" s="7">
        <v>3613.3069999999998</v>
      </c>
      <c r="AF13" s="7">
        <v>3361.1950000000002</v>
      </c>
      <c r="AG13" s="7">
        <v>3070.4569999999999</v>
      </c>
      <c r="AH13" s="7">
        <v>3504.752</v>
      </c>
      <c r="AI13" s="7">
        <v>3363.748</v>
      </c>
      <c r="AJ13" s="7">
        <v>2931.7289999999998</v>
      </c>
      <c r="AL13" s="6">
        <f t="shared" si="2"/>
        <v>3361.2609999999995</v>
      </c>
      <c r="AM13" s="6">
        <f t="shared" si="3"/>
        <v>85.269911166793506</v>
      </c>
    </row>
    <row r="14" spans="1:39" x14ac:dyDescent="0.2">
      <c r="A14" s="7">
        <v>5</v>
      </c>
      <c r="B14" s="7">
        <v>2770.462</v>
      </c>
      <c r="C14" s="7">
        <v>3122.009</v>
      </c>
      <c r="D14" s="7">
        <v>3649.502</v>
      </c>
      <c r="E14" s="7">
        <v>3688.3939999999998</v>
      </c>
      <c r="F14" s="7">
        <v>3290.0920000000001</v>
      </c>
      <c r="G14" s="7">
        <v>3335.5830000000001</v>
      </c>
      <c r="H14" s="7">
        <v>3251.4639999999999</v>
      </c>
      <c r="I14" s="7">
        <v>3684.598</v>
      </c>
      <c r="J14" s="7">
        <v>2813.9470000000001</v>
      </c>
      <c r="K14" s="7">
        <v>2871.1909999999998</v>
      </c>
      <c r="L14" s="7">
        <v>2722.3040000000001</v>
      </c>
      <c r="M14" s="7">
        <v>2883.076</v>
      </c>
      <c r="N14" s="7">
        <v>3334.1460000000002</v>
      </c>
      <c r="O14" s="7">
        <v>3487.0749999999998</v>
      </c>
      <c r="P14" s="7">
        <v>3698.8159999999998</v>
      </c>
      <c r="R14" s="5">
        <f t="shared" si="0"/>
        <v>3240.1772666666666</v>
      </c>
      <c r="S14" s="5">
        <f t="shared" si="1"/>
        <v>92.734831976138594</v>
      </c>
      <c r="U14" s="7">
        <v>5</v>
      </c>
      <c r="V14" s="7">
        <v>3201.348</v>
      </c>
      <c r="W14" s="7">
        <v>3023.953</v>
      </c>
      <c r="X14" s="7">
        <v>2948.5509999999999</v>
      </c>
      <c r="Y14" s="7">
        <v>3423.7089999999998</v>
      </c>
      <c r="Z14" s="7">
        <v>3540.433</v>
      </c>
      <c r="AA14" s="7">
        <v>3141.9450000000002</v>
      </c>
      <c r="AB14" s="7">
        <v>3391.2</v>
      </c>
      <c r="AC14" s="7">
        <v>3589.3220000000001</v>
      </c>
      <c r="AD14" s="7">
        <v>3613.1959999999999</v>
      </c>
      <c r="AE14" s="7">
        <v>3440.2809999999999</v>
      </c>
      <c r="AF14" s="7">
        <v>3426.0450000000001</v>
      </c>
      <c r="AG14" s="7">
        <v>3160.0340000000001</v>
      </c>
      <c r="AH14" s="7">
        <v>3610.3359999999998</v>
      </c>
      <c r="AI14" s="7">
        <v>3434.8270000000002</v>
      </c>
      <c r="AJ14" s="7">
        <v>3011.49</v>
      </c>
      <c r="AL14" s="6">
        <f t="shared" si="2"/>
        <v>3410.6913750000003</v>
      </c>
      <c r="AM14" s="6">
        <f t="shared" si="3"/>
        <v>77.535667503491922</v>
      </c>
    </row>
    <row r="15" spans="1:39" x14ac:dyDescent="0.2">
      <c r="A15" s="7">
        <v>6.25</v>
      </c>
      <c r="B15" s="7">
        <v>2760.1350000000002</v>
      </c>
      <c r="C15" s="7">
        <v>3142.0709999999999</v>
      </c>
      <c r="D15" s="7">
        <v>3650.0140000000001</v>
      </c>
      <c r="E15" s="7">
        <v>3676.8649999999998</v>
      </c>
      <c r="F15" s="7">
        <v>3294.6570000000002</v>
      </c>
      <c r="G15" s="7">
        <v>3347.1950000000002</v>
      </c>
      <c r="H15" s="7">
        <v>3242.0549999999998</v>
      </c>
      <c r="I15" s="7">
        <v>3680.5929999999998</v>
      </c>
      <c r="J15" s="7">
        <v>2829.4450000000002</v>
      </c>
      <c r="K15" s="7">
        <v>2860.942</v>
      </c>
      <c r="L15" s="7">
        <v>2679.9</v>
      </c>
      <c r="M15" s="7">
        <v>2895.3110000000001</v>
      </c>
      <c r="N15" s="7">
        <v>3323.6280000000002</v>
      </c>
      <c r="O15" s="7">
        <v>3486.4749999999999</v>
      </c>
      <c r="P15" s="7">
        <v>3564.0419999999999</v>
      </c>
      <c r="R15" s="5">
        <f t="shared" si="0"/>
        <v>3228.8885333333333</v>
      </c>
      <c r="S15" s="5">
        <f t="shared" si="1"/>
        <v>90.582382749094435</v>
      </c>
      <c r="U15" s="7">
        <v>6.25</v>
      </c>
      <c r="V15" s="7">
        <v>3211.348</v>
      </c>
      <c r="W15" s="7">
        <v>3026.5740000000001</v>
      </c>
      <c r="X15" s="7">
        <v>2936.5079999999998</v>
      </c>
      <c r="Y15" s="7">
        <v>3255.634</v>
      </c>
      <c r="Z15" s="7">
        <v>3552.2330000000002</v>
      </c>
      <c r="AA15" s="7">
        <v>3146.23</v>
      </c>
      <c r="AB15" s="7">
        <v>3394.4270000000001</v>
      </c>
      <c r="AC15" s="7">
        <v>3580.1060000000002</v>
      </c>
      <c r="AD15" s="7">
        <v>3597.4960000000001</v>
      </c>
      <c r="AE15" s="7">
        <v>3293.616</v>
      </c>
      <c r="AF15" s="7">
        <v>3420.1550000000002</v>
      </c>
      <c r="AG15" s="7">
        <v>3170.05</v>
      </c>
      <c r="AH15" s="7">
        <v>3626.373</v>
      </c>
      <c r="AI15" s="7">
        <v>3427.1419999999998</v>
      </c>
      <c r="AJ15" s="7">
        <v>3025.1019999999999</v>
      </c>
      <c r="AL15" s="6">
        <f t="shared" si="2"/>
        <v>3392.5050000000001</v>
      </c>
      <c r="AM15" s="6">
        <f t="shared" si="3"/>
        <v>76.546456100900883</v>
      </c>
    </row>
    <row r="16" spans="1:39" x14ac:dyDescent="0.2">
      <c r="A16" s="7">
        <v>7.5</v>
      </c>
      <c r="B16" s="7">
        <v>2675.1579999999999</v>
      </c>
      <c r="C16" s="7">
        <v>3072.2689999999998</v>
      </c>
      <c r="D16" s="7">
        <v>3550.18</v>
      </c>
      <c r="E16" s="7">
        <v>3558.107</v>
      </c>
      <c r="F16" s="7">
        <v>3221.7979999999998</v>
      </c>
      <c r="G16" s="7">
        <v>3262.61</v>
      </c>
      <c r="H16" s="7">
        <v>3157.4960000000001</v>
      </c>
      <c r="I16" s="7">
        <v>3580.2570000000001</v>
      </c>
      <c r="J16" s="7">
        <v>2776.9810000000002</v>
      </c>
      <c r="K16" s="7">
        <v>2780.8409999999999</v>
      </c>
      <c r="L16" s="7">
        <v>2597.748</v>
      </c>
      <c r="M16" s="7">
        <v>2854.915</v>
      </c>
      <c r="N16" s="7">
        <v>3235.03</v>
      </c>
      <c r="O16" s="7">
        <v>3398.4769999999999</v>
      </c>
      <c r="P16" s="7">
        <v>3475.0630000000001</v>
      </c>
      <c r="R16" s="5">
        <f t="shared" si="0"/>
        <v>3146.462</v>
      </c>
      <c r="S16" s="5">
        <f t="shared" si="1"/>
        <v>87.373138327520522</v>
      </c>
      <c r="U16" s="7">
        <v>7.5</v>
      </c>
      <c r="V16" s="7">
        <v>3126.7809999999999</v>
      </c>
      <c r="W16" s="7">
        <v>2953.855</v>
      </c>
      <c r="X16" s="7">
        <v>2854.9430000000002</v>
      </c>
      <c r="Y16" s="7">
        <v>3123.413</v>
      </c>
      <c r="Z16" s="7">
        <v>3471.665</v>
      </c>
      <c r="AA16" s="7">
        <v>3052.6329999999998</v>
      </c>
      <c r="AB16" s="7">
        <v>3301.393</v>
      </c>
      <c r="AC16" s="7">
        <v>3479.8989999999999</v>
      </c>
      <c r="AD16" s="7">
        <v>3514.826</v>
      </c>
      <c r="AE16" s="7">
        <v>3158.165</v>
      </c>
      <c r="AF16" s="7">
        <v>3353.5729999999999</v>
      </c>
      <c r="AG16" s="7">
        <v>3101.7139999999999</v>
      </c>
      <c r="AH16" s="7">
        <v>3539.37</v>
      </c>
      <c r="AI16" s="7">
        <v>3348.9059999999999</v>
      </c>
      <c r="AJ16" s="7">
        <v>2963.1350000000002</v>
      </c>
      <c r="AL16" s="6">
        <f t="shared" si="2"/>
        <v>3307.4484999999995</v>
      </c>
      <c r="AM16" s="6">
        <f t="shared" si="3"/>
        <v>74.826276487846897</v>
      </c>
    </row>
    <row r="17" spans="1:39" x14ac:dyDescent="0.2">
      <c r="A17" s="7">
        <v>8.75</v>
      </c>
      <c r="B17" s="7">
        <v>2490.71</v>
      </c>
      <c r="C17" s="7">
        <v>2864.99</v>
      </c>
      <c r="D17" s="7">
        <v>3316.5390000000002</v>
      </c>
      <c r="E17" s="7">
        <v>3290.5430000000001</v>
      </c>
      <c r="F17" s="7">
        <v>3020.8429999999998</v>
      </c>
      <c r="G17" s="7">
        <v>3033.694</v>
      </c>
      <c r="H17" s="7">
        <v>2931.4850000000001</v>
      </c>
      <c r="I17" s="7">
        <v>3321.4850000000001</v>
      </c>
      <c r="J17" s="7">
        <v>2584.0729999999999</v>
      </c>
      <c r="K17" s="7">
        <v>2583.98</v>
      </c>
      <c r="L17" s="7">
        <v>2415.913</v>
      </c>
      <c r="M17" s="7">
        <v>2711.6689999999999</v>
      </c>
      <c r="N17" s="7">
        <v>3036.0160000000001</v>
      </c>
      <c r="O17" s="7">
        <v>3163.5239999999999</v>
      </c>
      <c r="P17" s="7">
        <v>3315.2570000000001</v>
      </c>
      <c r="R17" s="5">
        <f t="shared" si="0"/>
        <v>2938.7147333333332</v>
      </c>
      <c r="S17" s="5">
        <f t="shared" si="1"/>
        <v>82.035969793422225</v>
      </c>
      <c r="U17" s="7">
        <v>8.75</v>
      </c>
      <c r="V17" s="7">
        <v>2920.5340000000001</v>
      </c>
      <c r="W17" s="7">
        <v>2743.444</v>
      </c>
      <c r="X17" s="7">
        <v>2656.433</v>
      </c>
      <c r="Y17" s="7">
        <v>2976.0729999999999</v>
      </c>
      <c r="Z17" s="7">
        <v>3246.1779999999999</v>
      </c>
      <c r="AA17" s="7">
        <v>2843.8449999999998</v>
      </c>
      <c r="AB17" s="7">
        <v>3084.0740000000001</v>
      </c>
      <c r="AC17" s="7">
        <v>3253.0630000000001</v>
      </c>
      <c r="AD17" s="7">
        <v>3284.2570000000001</v>
      </c>
      <c r="AE17" s="7">
        <v>2970.9780000000001</v>
      </c>
      <c r="AF17" s="7">
        <v>3123.0259999999998</v>
      </c>
      <c r="AG17" s="7">
        <v>2907.308</v>
      </c>
      <c r="AH17" s="7">
        <v>3287.99</v>
      </c>
      <c r="AI17" s="7">
        <v>3133.0610000000001</v>
      </c>
      <c r="AJ17" s="7">
        <v>2783.69</v>
      </c>
      <c r="AL17" s="6">
        <f t="shared" si="2"/>
        <v>3092.9216249999995</v>
      </c>
      <c r="AM17" s="6">
        <f t="shared" si="3"/>
        <v>66.516708806063335</v>
      </c>
    </row>
    <row r="18" spans="1:39" x14ac:dyDescent="0.2">
      <c r="A18" s="7">
        <v>10</v>
      </c>
      <c r="B18" s="7">
        <v>2206.4059999999999</v>
      </c>
      <c r="C18" s="7">
        <v>2534.0039999999999</v>
      </c>
      <c r="D18" s="7">
        <v>2924.614</v>
      </c>
      <c r="E18" s="7">
        <v>2895.1109999999999</v>
      </c>
      <c r="F18" s="7">
        <v>2704.2869999999998</v>
      </c>
      <c r="G18" s="7">
        <v>2657.7190000000001</v>
      </c>
      <c r="H18" s="7">
        <v>2579.4340000000002</v>
      </c>
      <c r="I18" s="7">
        <v>2934.6860000000001</v>
      </c>
      <c r="J18" s="7">
        <v>2281.0749999999998</v>
      </c>
      <c r="K18" s="7">
        <v>2272.7739999999999</v>
      </c>
      <c r="L18" s="7">
        <v>2127.3850000000002</v>
      </c>
      <c r="M18" s="7">
        <v>2478.2399999999998</v>
      </c>
      <c r="N18" s="7">
        <v>2711.4740000000002</v>
      </c>
      <c r="O18" s="7">
        <v>2801.3449999999998</v>
      </c>
      <c r="P18" s="7">
        <v>2957.8220000000001</v>
      </c>
      <c r="R18" s="5">
        <f t="shared" si="0"/>
        <v>2604.4250666666671</v>
      </c>
      <c r="S18" s="5">
        <f t="shared" si="1"/>
        <v>72.57413202200425</v>
      </c>
      <c r="U18" s="7">
        <v>10</v>
      </c>
      <c r="V18" s="7">
        <v>2608.4569999999999</v>
      </c>
      <c r="W18" s="7">
        <v>2422.7460000000001</v>
      </c>
      <c r="X18" s="7">
        <v>2341.3359999999998</v>
      </c>
      <c r="Y18" s="7">
        <v>2726.3449999999998</v>
      </c>
      <c r="Z18" s="7">
        <v>2856.6559999999999</v>
      </c>
      <c r="AA18" s="7">
        <v>2533.8150000000001</v>
      </c>
      <c r="AB18" s="7">
        <v>2726.8670000000002</v>
      </c>
      <c r="AC18" s="7">
        <v>2857.2089999999998</v>
      </c>
      <c r="AD18" s="7">
        <v>2861.9780000000001</v>
      </c>
      <c r="AE18" s="7">
        <v>2710.6019999999999</v>
      </c>
      <c r="AF18" s="7">
        <v>2737.9870000000001</v>
      </c>
      <c r="AG18" s="7">
        <v>2577.2919999999999</v>
      </c>
      <c r="AH18" s="7">
        <v>2907.346</v>
      </c>
      <c r="AI18" s="7">
        <v>2747.5729999999999</v>
      </c>
      <c r="AJ18" s="7">
        <v>2485.576</v>
      </c>
      <c r="AL18" s="6">
        <f t="shared" si="2"/>
        <v>2735.6953750000002</v>
      </c>
      <c r="AM18" s="6">
        <f t="shared" si="3"/>
        <v>51.513544933741699</v>
      </c>
    </row>
    <row r="19" spans="1:39" x14ac:dyDescent="0.2">
      <c r="A19" s="7">
        <v>11.25</v>
      </c>
      <c r="B19" s="7">
        <v>1976.038</v>
      </c>
      <c r="C19" s="7">
        <v>2266.0349999999999</v>
      </c>
      <c r="D19" s="7">
        <v>2618.1030000000001</v>
      </c>
      <c r="E19" s="7">
        <v>2620.6759999999999</v>
      </c>
      <c r="F19" s="7">
        <v>2446.4299999999998</v>
      </c>
      <c r="G19" s="7">
        <v>2391.2559999999999</v>
      </c>
      <c r="H19" s="7">
        <v>2293.4270000000001</v>
      </c>
      <c r="I19" s="7">
        <v>2608.2840000000001</v>
      </c>
      <c r="J19" s="7">
        <v>2054.33</v>
      </c>
      <c r="K19" s="7">
        <v>2024.114</v>
      </c>
      <c r="L19" s="7">
        <v>1894.076</v>
      </c>
      <c r="M19" s="7">
        <v>2294.056</v>
      </c>
      <c r="N19" s="7">
        <v>2444.67</v>
      </c>
      <c r="O19" s="7">
        <v>2510.4070000000002</v>
      </c>
      <c r="P19" s="7">
        <v>2613.6109999999999</v>
      </c>
      <c r="R19" s="5">
        <f t="shared" si="0"/>
        <v>2337.0342000000001</v>
      </c>
      <c r="S19" s="5">
        <f t="shared" si="1"/>
        <v>64.705747842441014</v>
      </c>
      <c r="U19" s="7">
        <v>11.25</v>
      </c>
      <c r="V19" s="7">
        <v>2356.4279999999999</v>
      </c>
      <c r="W19" s="7">
        <v>2163.3679999999999</v>
      </c>
      <c r="X19" s="7">
        <v>2075.877</v>
      </c>
      <c r="Y19" s="7">
        <v>2418.5439999999999</v>
      </c>
      <c r="Z19" s="7">
        <v>2559.855</v>
      </c>
      <c r="AA19" s="7">
        <v>2282.6959999999999</v>
      </c>
      <c r="AB19" s="7">
        <v>2447.2809999999999</v>
      </c>
      <c r="AC19" s="7">
        <v>2540.4229999999998</v>
      </c>
      <c r="AD19" s="7">
        <v>2557.8609999999999</v>
      </c>
      <c r="AE19" s="7">
        <v>2428.9830000000002</v>
      </c>
      <c r="AF19" s="7">
        <v>2465.4659999999999</v>
      </c>
      <c r="AG19" s="7">
        <v>2326.518</v>
      </c>
      <c r="AH19" s="7">
        <v>2594.8000000000002</v>
      </c>
      <c r="AI19" s="7">
        <v>2466.1660000000002</v>
      </c>
      <c r="AJ19" s="7">
        <v>2261.8870000000002</v>
      </c>
      <c r="AL19" s="6">
        <f t="shared" si="2"/>
        <v>2455.2629999999999</v>
      </c>
      <c r="AM19" s="6">
        <f t="shared" si="3"/>
        <v>40.561310953736601</v>
      </c>
    </row>
    <row r="20" spans="1:39" x14ac:dyDescent="0.2">
      <c r="A20" s="7">
        <v>12.5</v>
      </c>
      <c r="B20" s="7">
        <v>1867.798</v>
      </c>
      <c r="C20" s="7">
        <v>2126.09</v>
      </c>
      <c r="D20" s="7">
        <v>2467.8319999999999</v>
      </c>
      <c r="E20" s="7">
        <v>2457.7109999999998</v>
      </c>
      <c r="F20" s="7">
        <v>2320.7950000000001</v>
      </c>
      <c r="G20" s="7">
        <v>2263.4340000000002</v>
      </c>
      <c r="H20" s="7">
        <v>2144.2779999999998</v>
      </c>
      <c r="I20" s="7">
        <v>2453.5189999999998</v>
      </c>
      <c r="J20" s="7">
        <v>1945.0229999999999</v>
      </c>
      <c r="K20" s="7">
        <v>1900.2349999999999</v>
      </c>
      <c r="L20" s="7">
        <v>1763.8240000000001</v>
      </c>
      <c r="M20" s="7">
        <v>2202.3939999999998</v>
      </c>
      <c r="N20" s="7">
        <v>2306.8209999999999</v>
      </c>
      <c r="O20" s="7">
        <v>2356.9470000000001</v>
      </c>
      <c r="P20" s="7">
        <v>2360.79</v>
      </c>
      <c r="R20" s="5">
        <f t="shared" si="0"/>
        <v>2195.8327333333336</v>
      </c>
      <c r="S20" s="5">
        <f t="shared" si="1"/>
        <v>59.630828752492896</v>
      </c>
      <c r="U20" s="7">
        <v>12.5</v>
      </c>
      <c r="V20" s="7">
        <v>2230.145</v>
      </c>
      <c r="W20" s="7">
        <v>2046.0029999999999</v>
      </c>
      <c r="X20" s="7">
        <v>1947.1880000000001</v>
      </c>
      <c r="Y20" s="7">
        <v>2190.8560000000002</v>
      </c>
      <c r="Z20" s="7">
        <v>2429.1790000000001</v>
      </c>
      <c r="AA20" s="7">
        <v>2151.337</v>
      </c>
      <c r="AB20" s="7">
        <v>2310.5790000000002</v>
      </c>
      <c r="AC20" s="7">
        <v>2390.9589999999998</v>
      </c>
      <c r="AD20" s="7">
        <v>2415.89</v>
      </c>
      <c r="AE20" s="7">
        <v>2182.953</v>
      </c>
      <c r="AF20" s="7">
        <v>2319.9</v>
      </c>
      <c r="AG20" s="7">
        <v>2193.3049999999998</v>
      </c>
      <c r="AH20" s="7">
        <v>2452.8270000000002</v>
      </c>
      <c r="AI20" s="7">
        <v>2339.4470000000001</v>
      </c>
      <c r="AJ20" s="7">
        <v>2144.1869999999999</v>
      </c>
      <c r="AL20" s="6">
        <f t="shared" si="2"/>
        <v>2304.9335000000001</v>
      </c>
      <c r="AM20" s="6">
        <f t="shared" si="3"/>
        <v>41.442515769264247</v>
      </c>
    </row>
    <row r="21" spans="1:39" x14ac:dyDescent="0.2">
      <c r="A21" s="7">
        <v>13.75</v>
      </c>
      <c r="B21" s="7">
        <v>1838.606</v>
      </c>
      <c r="C21" s="7">
        <v>2095.6080000000002</v>
      </c>
      <c r="D21" s="7">
        <v>2431.0039999999999</v>
      </c>
      <c r="E21" s="7">
        <v>2397.8829999999998</v>
      </c>
      <c r="F21" s="7">
        <v>2293.8240000000001</v>
      </c>
      <c r="G21" s="7">
        <v>2234.4470000000001</v>
      </c>
      <c r="H21" s="7">
        <v>2115.4430000000002</v>
      </c>
      <c r="I21" s="7">
        <v>2416.7269999999999</v>
      </c>
      <c r="J21" s="7">
        <v>1915.242</v>
      </c>
      <c r="K21" s="7">
        <v>1871.028</v>
      </c>
      <c r="L21" s="7">
        <v>1717.1659999999999</v>
      </c>
      <c r="M21" s="7">
        <v>2185.5740000000001</v>
      </c>
      <c r="N21" s="7">
        <v>2277.4940000000001</v>
      </c>
      <c r="O21" s="7">
        <v>2315.5340000000001</v>
      </c>
      <c r="P21" s="7">
        <v>2275.009</v>
      </c>
      <c r="R21" s="5">
        <f t="shared" si="0"/>
        <v>2158.7059333333327</v>
      </c>
      <c r="S21" s="5">
        <f t="shared" si="1"/>
        <v>58.561409066648515</v>
      </c>
      <c r="U21" s="7">
        <v>13.75</v>
      </c>
      <c r="V21" s="7">
        <v>2197.8020000000001</v>
      </c>
      <c r="W21" s="7">
        <v>2024.3489999999999</v>
      </c>
      <c r="X21" s="7">
        <v>1914.116</v>
      </c>
      <c r="Y21" s="7">
        <v>2063.2449999999999</v>
      </c>
      <c r="Z21" s="7">
        <v>2398.6109999999999</v>
      </c>
      <c r="AA21" s="7">
        <v>2115.6460000000002</v>
      </c>
      <c r="AB21" s="7">
        <v>2269.1680000000001</v>
      </c>
      <c r="AC21" s="7">
        <v>2357.0219999999999</v>
      </c>
      <c r="AD21" s="7">
        <v>2371.8670000000002</v>
      </c>
      <c r="AE21" s="7">
        <v>2050.605</v>
      </c>
      <c r="AF21" s="7">
        <v>2283.8629999999998</v>
      </c>
      <c r="AG21" s="7">
        <v>2158.3670000000002</v>
      </c>
      <c r="AH21" s="7">
        <v>2420.306</v>
      </c>
      <c r="AI21" s="7">
        <v>2301.67</v>
      </c>
      <c r="AJ21" s="7">
        <v>2109.018</v>
      </c>
      <c r="AL21" s="6">
        <f t="shared" si="2"/>
        <v>2256.5897500000001</v>
      </c>
      <c r="AM21" s="6">
        <f t="shared" si="3"/>
        <v>47.586274670985745</v>
      </c>
    </row>
    <row r="22" spans="1:39" x14ac:dyDescent="0.2">
      <c r="A22" s="7">
        <v>15</v>
      </c>
      <c r="B22" s="7">
        <v>1841.748</v>
      </c>
      <c r="C22" s="7">
        <v>2112.5210000000002</v>
      </c>
      <c r="D22" s="7">
        <v>2448.1030000000001</v>
      </c>
      <c r="E22" s="7">
        <v>2376.0410000000002</v>
      </c>
      <c r="F22" s="7">
        <v>2306.37</v>
      </c>
      <c r="G22" s="7">
        <v>2243.2159999999999</v>
      </c>
      <c r="H22" s="7">
        <v>2125.1329999999998</v>
      </c>
      <c r="I22" s="7">
        <v>2414.105</v>
      </c>
      <c r="J22" s="7">
        <v>1924.9970000000001</v>
      </c>
      <c r="K22" s="7">
        <v>1877.3820000000001</v>
      </c>
      <c r="L22" s="7">
        <v>1720.2059999999999</v>
      </c>
      <c r="M22" s="7">
        <v>2197.413</v>
      </c>
      <c r="N22" s="7">
        <v>2294.4989999999998</v>
      </c>
      <c r="O22" s="7">
        <v>2325.4409999999998</v>
      </c>
      <c r="P22" s="7">
        <v>2272.585</v>
      </c>
      <c r="R22" s="5">
        <f t="shared" si="0"/>
        <v>2165.3173333333334</v>
      </c>
      <c r="S22" s="5">
        <f t="shared" si="1"/>
        <v>58.349505145138345</v>
      </c>
      <c r="U22" s="7">
        <v>15</v>
      </c>
      <c r="V22" s="7">
        <v>2207.9650000000001</v>
      </c>
      <c r="W22" s="7">
        <v>2030.6949999999999</v>
      </c>
      <c r="X22" s="7">
        <v>1929.9449999999999</v>
      </c>
      <c r="Y22" s="7">
        <v>2026.9849999999999</v>
      </c>
      <c r="Z22" s="7">
        <v>2407.8049999999998</v>
      </c>
      <c r="AA22" s="7">
        <v>2123.605</v>
      </c>
      <c r="AB22" s="7">
        <v>2275.0569999999998</v>
      </c>
      <c r="AC22" s="7">
        <v>2370.3530000000001</v>
      </c>
      <c r="AD22" s="7">
        <v>2386.0680000000002</v>
      </c>
      <c r="AE22" s="7">
        <v>2026.96</v>
      </c>
      <c r="AF22" s="7">
        <v>2295.482</v>
      </c>
      <c r="AG22" s="7">
        <v>2178.2719999999999</v>
      </c>
      <c r="AH22" s="7">
        <v>2432.9380000000001</v>
      </c>
      <c r="AI22" s="7">
        <v>2309.047</v>
      </c>
      <c r="AJ22" s="7">
        <v>2123.4079999999999</v>
      </c>
      <c r="AL22" s="6">
        <f t="shared" si="2"/>
        <v>2265.3160000000003</v>
      </c>
      <c r="AM22" s="6">
        <f t="shared" si="3"/>
        <v>50.189188649762322</v>
      </c>
    </row>
    <row r="23" spans="1:39" x14ac:dyDescent="0.2">
      <c r="A23" s="7">
        <v>16.25</v>
      </c>
      <c r="B23" s="7">
        <v>1857.1479999999999</v>
      </c>
      <c r="C23" s="7">
        <v>2134.6309999999999</v>
      </c>
      <c r="D23" s="7">
        <v>2466.8879999999999</v>
      </c>
      <c r="E23" s="7">
        <v>2369.79</v>
      </c>
      <c r="F23" s="7">
        <v>2325.1950000000002</v>
      </c>
      <c r="G23" s="7">
        <v>2257.3000000000002</v>
      </c>
      <c r="H23" s="7">
        <v>2136.6680000000001</v>
      </c>
      <c r="I23" s="7">
        <v>2430.5619999999999</v>
      </c>
      <c r="J23" s="7">
        <v>1941.5509999999999</v>
      </c>
      <c r="K23" s="7">
        <v>1891.9059999999999</v>
      </c>
      <c r="L23" s="7">
        <v>1742.133</v>
      </c>
      <c r="M23" s="7">
        <v>2211.6509999999998</v>
      </c>
      <c r="N23" s="7">
        <v>2314.8760000000002</v>
      </c>
      <c r="O23" s="7">
        <v>2344.1979999999999</v>
      </c>
      <c r="P23" s="7">
        <v>2287.6660000000002</v>
      </c>
      <c r="R23" s="5">
        <f t="shared" si="0"/>
        <v>2180.8108666666662</v>
      </c>
      <c r="S23" s="5">
        <f t="shared" si="1"/>
        <v>57.967666779636048</v>
      </c>
      <c r="U23" s="7">
        <v>16.25</v>
      </c>
      <c r="V23" s="7">
        <v>2223.1909999999998</v>
      </c>
      <c r="W23" s="7">
        <v>2037.06</v>
      </c>
      <c r="X23" s="7">
        <v>1942.499</v>
      </c>
      <c r="Y23" s="7">
        <v>2036.5989999999999</v>
      </c>
      <c r="Z23" s="7">
        <v>2418.4389999999999</v>
      </c>
      <c r="AA23" s="7">
        <v>2142.9259999999999</v>
      </c>
      <c r="AB23" s="7">
        <v>2292.3980000000001</v>
      </c>
      <c r="AC23" s="7">
        <v>2389.2289999999998</v>
      </c>
      <c r="AD23" s="7">
        <v>2410.817</v>
      </c>
      <c r="AE23" s="7">
        <v>2040.2280000000001</v>
      </c>
      <c r="AF23" s="7">
        <v>2311.6060000000002</v>
      </c>
      <c r="AG23" s="7">
        <v>2201.6849999999999</v>
      </c>
      <c r="AH23" s="7">
        <v>2450.1680000000001</v>
      </c>
      <c r="AI23" s="7">
        <v>2323.4079999999999</v>
      </c>
      <c r="AJ23" s="7">
        <v>2136.2350000000001</v>
      </c>
      <c r="AL23" s="6">
        <f t="shared" si="2"/>
        <v>2282.922</v>
      </c>
      <c r="AM23" s="6">
        <f t="shared" si="3"/>
        <v>50.904028330631292</v>
      </c>
    </row>
    <row r="24" spans="1:39" x14ac:dyDescent="0.2">
      <c r="A24" s="7">
        <v>17.5</v>
      </c>
      <c r="B24" s="7">
        <v>1870.414</v>
      </c>
      <c r="C24" s="7">
        <v>2144.4859999999999</v>
      </c>
      <c r="D24" s="7">
        <v>2472.7080000000001</v>
      </c>
      <c r="E24" s="7">
        <v>2363.9349999999999</v>
      </c>
      <c r="F24" s="7">
        <v>2328.8850000000002</v>
      </c>
      <c r="G24" s="7">
        <v>2268.1210000000001</v>
      </c>
      <c r="H24" s="7">
        <v>2145.9470000000001</v>
      </c>
      <c r="I24" s="7">
        <v>2441.8629999999998</v>
      </c>
      <c r="J24" s="7">
        <v>1951.394</v>
      </c>
      <c r="K24" s="7">
        <v>1898.021</v>
      </c>
      <c r="L24" s="7">
        <v>1745.441</v>
      </c>
      <c r="M24" s="7">
        <v>2212.5360000000001</v>
      </c>
      <c r="N24" s="7">
        <v>2322.65</v>
      </c>
      <c r="O24" s="7">
        <v>2344.5830000000001</v>
      </c>
      <c r="P24" s="7">
        <v>2292.8270000000002</v>
      </c>
      <c r="R24" s="5">
        <f t="shared" si="0"/>
        <v>2186.9207333333334</v>
      </c>
      <c r="S24" s="5">
        <f t="shared" si="1"/>
        <v>57.62769382398632</v>
      </c>
      <c r="U24" s="7">
        <v>17.5</v>
      </c>
      <c r="V24" s="7">
        <v>2228.2919999999999</v>
      </c>
      <c r="W24" s="7">
        <v>2039.7650000000001</v>
      </c>
      <c r="X24" s="7">
        <v>1949.5989999999999</v>
      </c>
      <c r="Y24" s="7">
        <v>2049.4520000000002</v>
      </c>
      <c r="Z24" s="7">
        <v>2428.1930000000002</v>
      </c>
      <c r="AA24" s="7">
        <v>2147.6799999999998</v>
      </c>
      <c r="AB24" s="7">
        <v>2300.3939999999998</v>
      </c>
      <c r="AC24" s="7">
        <v>2398.8649999999998</v>
      </c>
      <c r="AD24" s="7">
        <v>2419.377</v>
      </c>
      <c r="AE24" s="7">
        <v>2043.838</v>
      </c>
      <c r="AF24" s="7">
        <v>2316.4299999999998</v>
      </c>
      <c r="AG24" s="7">
        <v>2204.5770000000002</v>
      </c>
      <c r="AH24" s="7">
        <v>2451.2359999999999</v>
      </c>
      <c r="AI24" s="7">
        <v>2332.9270000000001</v>
      </c>
      <c r="AJ24" s="7">
        <v>2131.6869999999999</v>
      </c>
      <c r="AL24" s="6">
        <f t="shared" si="2"/>
        <v>2287.3671249999998</v>
      </c>
      <c r="AM24" s="6">
        <f t="shared" si="3"/>
        <v>51.759865376921638</v>
      </c>
    </row>
    <row r="25" spans="1:39" x14ac:dyDescent="0.2">
      <c r="A25" s="7">
        <v>18.75</v>
      </c>
      <c r="B25" s="7">
        <v>1862.4159999999999</v>
      </c>
      <c r="C25" s="7">
        <v>2130.634</v>
      </c>
      <c r="D25" s="7">
        <v>2461.2069999999999</v>
      </c>
      <c r="E25" s="7">
        <v>2351.9259999999999</v>
      </c>
      <c r="F25" s="7">
        <v>2313.049</v>
      </c>
      <c r="G25" s="7">
        <v>2252.29</v>
      </c>
      <c r="H25" s="7">
        <v>2127.471</v>
      </c>
      <c r="I25" s="7">
        <v>2430.3040000000001</v>
      </c>
      <c r="J25" s="7">
        <v>1939.9580000000001</v>
      </c>
      <c r="K25" s="7">
        <v>1883.7370000000001</v>
      </c>
      <c r="L25" s="7">
        <v>1730.271</v>
      </c>
      <c r="M25" s="7">
        <v>2195.1640000000002</v>
      </c>
      <c r="N25" s="7">
        <v>2305.6019999999999</v>
      </c>
      <c r="O25" s="7">
        <v>2320.1529999999998</v>
      </c>
      <c r="P25" s="7">
        <v>2265.7820000000002</v>
      </c>
      <c r="R25" s="5">
        <f t="shared" si="0"/>
        <v>2171.3309333333332</v>
      </c>
      <c r="S25" s="5">
        <f t="shared" si="1"/>
        <v>57.312835259399868</v>
      </c>
      <c r="U25" s="7">
        <v>18.75</v>
      </c>
      <c r="V25" s="7">
        <v>2218.0259999999998</v>
      </c>
      <c r="W25" s="7">
        <v>2031.989</v>
      </c>
      <c r="X25" s="7">
        <v>1937.6310000000001</v>
      </c>
      <c r="Y25" s="7">
        <v>2041.511</v>
      </c>
      <c r="Z25" s="7">
        <v>2414.3560000000002</v>
      </c>
      <c r="AA25" s="7">
        <v>2131.7170000000001</v>
      </c>
      <c r="AB25" s="7">
        <v>2288.54</v>
      </c>
      <c r="AC25" s="7">
        <v>2385.3290000000002</v>
      </c>
      <c r="AD25" s="7">
        <v>2392.4850000000001</v>
      </c>
      <c r="AE25" s="7">
        <v>2024.106</v>
      </c>
      <c r="AF25" s="7">
        <v>2306.759</v>
      </c>
      <c r="AG25" s="7">
        <v>2186.9059999999999</v>
      </c>
      <c r="AH25" s="7">
        <v>2437.3440000000001</v>
      </c>
      <c r="AI25" s="7">
        <v>2317.5050000000001</v>
      </c>
      <c r="AJ25" s="7">
        <v>2108.6819999999998</v>
      </c>
      <c r="AL25" s="6">
        <f t="shared" si="2"/>
        <v>2269.8895000000002</v>
      </c>
      <c r="AM25" s="6">
        <f t="shared" si="3"/>
        <v>52.322350527079479</v>
      </c>
    </row>
    <row r="26" spans="1:39" x14ac:dyDescent="0.2">
      <c r="A26" s="7">
        <v>20</v>
      </c>
      <c r="B26" s="7">
        <v>1831.508</v>
      </c>
      <c r="C26" s="7">
        <v>2101.6849999999999</v>
      </c>
      <c r="D26" s="7">
        <v>2430.6469999999999</v>
      </c>
      <c r="E26" s="7">
        <v>2341.9949999999999</v>
      </c>
      <c r="F26" s="7">
        <v>2283.9389999999999</v>
      </c>
      <c r="G26" s="7">
        <v>2219.3560000000002</v>
      </c>
      <c r="H26" s="7">
        <v>2099.67</v>
      </c>
      <c r="I26" s="7">
        <v>2407.491</v>
      </c>
      <c r="J26" s="7">
        <v>1911.567</v>
      </c>
      <c r="K26" s="7">
        <v>1854.3330000000001</v>
      </c>
      <c r="L26" s="7">
        <v>1707.847</v>
      </c>
      <c r="M26" s="7">
        <v>2169.7829999999999</v>
      </c>
      <c r="N26" s="7">
        <v>2275.0569999999998</v>
      </c>
      <c r="O26" s="7">
        <v>2276.3879999999999</v>
      </c>
      <c r="P26" s="7">
        <v>2223.223</v>
      </c>
      <c r="R26" s="5">
        <f t="shared" si="0"/>
        <v>2142.2992666666664</v>
      </c>
      <c r="S26" s="5">
        <f t="shared" si="1"/>
        <v>57.205815861132308</v>
      </c>
      <c r="U26" s="7">
        <v>20</v>
      </c>
      <c r="V26" s="7">
        <v>2193.9369999999999</v>
      </c>
      <c r="W26" s="7">
        <v>2013.5329999999999</v>
      </c>
      <c r="X26" s="7">
        <v>1914.04</v>
      </c>
      <c r="Y26" s="7">
        <v>2008.384</v>
      </c>
      <c r="Z26" s="7">
        <v>2379.348</v>
      </c>
      <c r="AA26" s="7">
        <v>2102.741</v>
      </c>
      <c r="AB26" s="7">
        <v>2263.2080000000001</v>
      </c>
      <c r="AC26" s="7">
        <v>2352.86</v>
      </c>
      <c r="AD26" s="7">
        <v>2354.8130000000001</v>
      </c>
      <c r="AE26" s="7">
        <v>1991.72</v>
      </c>
      <c r="AF26" s="7">
        <v>2275.1779999999999</v>
      </c>
      <c r="AG26" s="7">
        <v>2146.0390000000002</v>
      </c>
      <c r="AH26" s="7">
        <v>2410.5120000000002</v>
      </c>
      <c r="AI26" s="7">
        <v>2287.29</v>
      </c>
      <c r="AJ26" s="7">
        <v>2081.7440000000001</v>
      </c>
      <c r="AL26" s="6">
        <f t="shared" si="2"/>
        <v>2237.5194999999999</v>
      </c>
      <c r="AM26" s="6">
        <f t="shared" si="3"/>
        <v>52.429365563857161</v>
      </c>
    </row>
    <row r="27" spans="1:39" x14ac:dyDescent="0.2">
      <c r="A27" s="7">
        <v>21.25</v>
      </c>
      <c r="B27" s="7">
        <v>1807.1179999999999</v>
      </c>
      <c r="C27" s="7">
        <v>2086.7080000000001</v>
      </c>
      <c r="D27" s="7">
        <v>2403.9690000000001</v>
      </c>
      <c r="E27" s="7">
        <v>2343.0880000000002</v>
      </c>
      <c r="F27" s="7">
        <v>2259.4769999999999</v>
      </c>
      <c r="G27" s="7">
        <v>2191.0059999999999</v>
      </c>
      <c r="H27" s="7">
        <v>2075.7950000000001</v>
      </c>
      <c r="I27" s="7">
        <v>2392.2069999999999</v>
      </c>
      <c r="J27" s="7">
        <v>1889.1980000000001</v>
      </c>
      <c r="K27" s="7">
        <v>1829.9290000000001</v>
      </c>
      <c r="L27" s="7">
        <v>1680.335</v>
      </c>
      <c r="M27" s="7">
        <v>2151.2060000000001</v>
      </c>
      <c r="N27" s="7">
        <v>2244.9879999999998</v>
      </c>
      <c r="O27" s="7">
        <v>2244.6979999999999</v>
      </c>
      <c r="P27" s="7">
        <v>2186.9589999999998</v>
      </c>
      <c r="R27" s="5">
        <f t="shared" si="0"/>
        <v>2119.1120666666666</v>
      </c>
      <c r="S27" s="5">
        <f t="shared" si="1"/>
        <v>57.623148369504754</v>
      </c>
      <c r="U27" s="7">
        <v>21.25</v>
      </c>
      <c r="V27" s="7">
        <v>2173.701</v>
      </c>
      <c r="W27" s="7">
        <v>2004.3219999999999</v>
      </c>
      <c r="X27" s="7">
        <v>1895.4449999999999</v>
      </c>
      <c r="Y27" s="7">
        <v>1975.2829999999999</v>
      </c>
      <c r="Z27" s="7">
        <v>2342.9259999999999</v>
      </c>
      <c r="AA27" s="7">
        <v>2076.6990000000001</v>
      </c>
      <c r="AB27" s="7">
        <v>2237.9340000000002</v>
      </c>
      <c r="AC27" s="7">
        <v>2324.1129999999998</v>
      </c>
      <c r="AD27" s="7">
        <v>2325.0700000000002</v>
      </c>
      <c r="AE27" s="7">
        <v>1959.375</v>
      </c>
      <c r="AF27" s="7">
        <v>2256.096</v>
      </c>
      <c r="AG27" s="7">
        <v>2112.556</v>
      </c>
      <c r="AH27" s="7">
        <v>2386.2649999999999</v>
      </c>
      <c r="AI27" s="7">
        <v>2259.3870000000002</v>
      </c>
      <c r="AJ27" s="7">
        <v>2064.5039999999999</v>
      </c>
      <c r="AL27" s="6">
        <f t="shared" si="2"/>
        <v>2210.9207500000002</v>
      </c>
      <c r="AM27" s="6">
        <f t="shared" si="3"/>
        <v>52.672620363141625</v>
      </c>
    </row>
    <row r="28" spans="1:39" x14ac:dyDescent="0.2">
      <c r="A28" s="7">
        <v>22.5</v>
      </c>
      <c r="B28" s="7">
        <v>1800.027</v>
      </c>
      <c r="C28" s="7">
        <v>2088.4749999999999</v>
      </c>
      <c r="D28" s="7">
        <v>2393.8270000000002</v>
      </c>
      <c r="E28" s="7">
        <v>2357.7040000000002</v>
      </c>
      <c r="F28" s="7">
        <v>2256</v>
      </c>
      <c r="G28" s="7">
        <v>2182.2280000000001</v>
      </c>
      <c r="H28" s="7">
        <v>2068.3310000000001</v>
      </c>
      <c r="I28" s="7">
        <v>2376.884</v>
      </c>
      <c r="J28" s="7">
        <v>1888.472</v>
      </c>
      <c r="K28" s="7">
        <v>1823.2729999999999</v>
      </c>
      <c r="L28" s="7">
        <v>1667.1849999999999</v>
      </c>
      <c r="M28" s="7">
        <v>2153.547</v>
      </c>
      <c r="N28" s="7">
        <v>2236.4520000000002</v>
      </c>
      <c r="O28" s="7">
        <v>2241.623</v>
      </c>
      <c r="P28" s="7">
        <v>2185.8719999999998</v>
      </c>
      <c r="R28" s="5">
        <f t="shared" si="0"/>
        <v>2114.6600000000003</v>
      </c>
      <c r="S28" s="5">
        <f t="shared" si="1"/>
        <v>57.980781892590635</v>
      </c>
      <c r="U28" s="7">
        <v>22.5</v>
      </c>
      <c r="V28" s="7">
        <v>2172.3420000000001</v>
      </c>
      <c r="W28" s="7">
        <v>1998.5419999999999</v>
      </c>
      <c r="X28" s="7">
        <v>1887.192</v>
      </c>
      <c r="Y28" s="7">
        <v>1949.94</v>
      </c>
      <c r="Z28" s="7">
        <v>2322.701</v>
      </c>
      <c r="AA28" s="7">
        <v>2064.4079999999999</v>
      </c>
      <c r="AB28" s="7">
        <v>2233.819</v>
      </c>
      <c r="AC28" s="7">
        <v>2317.7629999999999</v>
      </c>
      <c r="AD28" s="7">
        <v>2321.5340000000001</v>
      </c>
      <c r="AE28" s="7">
        <v>1946.5150000000001</v>
      </c>
      <c r="AF28" s="7">
        <v>2256.7530000000002</v>
      </c>
      <c r="AG28" s="7">
        <v>2113.8739999999998</v>
      </c>
      <c r="AH28" s="7">
        <v>2384.2060000000001</v>
      </c>
      <c r="AI28" s="7">
        <v>2253.431</v>
      </c>
      <c r="AJ28" s="7">
        <v>2075.3589999999999</v>
      </c>
      <c r="AL28" s="6">
        <f t="shared" si="2"/>
        <v>2208.6793750000002</v>
      </c>
      <c r="AM28" s="6">
        <f t="shared" si="3"/>
        <v>52.653062946768259</v>
      </c>
    </row>
    <row r="29" spans="1:39" x14ac:dyDescent="0.2">
      <c r="A29" s="7">
        <v>23.75</v>
      </c>
      <c r="B29" s="7">
        <v>1815.021</v>
      </c>
      <c r="C29" s="7">
        <v>2112.335</v>
      </c>
      <c r="D29" s="7">
        <v>2415.2779999999998</v>
      </c>
      <c r="E29" s="7">
        <v>2384.877</v>
      </c>
      <c r="F29" s="7">
        <v>2276.174</v>
      </c>
      <c r="G29" s="7">
        <v>2199.2510000000002</v>
      </c>
      <c r="H29" s="7">
        <v>2089.2860000000001</v>
      </c>
      <c r="I29" s="7">
        <v>2387.924</v>
      </c>
      <c r="J29" s="7">
        <v>1913.03</v>
      </c>
      <c r="K29" s="7">
        <v>1837.4190000000001</v>
      </c>
      <c r="L29" s="7">
        <v>1686.6559999999999</v>
      </c>
      <c r="M29" s="7">
        <v>2181.2370000000001</v>
      </c>
      <c r="N29" s="7">
        <v>2259.5140000000001</v>
      </c>
      <c r="O29" s="7">
        <v>2272.5259999999998</v>
      </c>
      <c r="P29" s="7">
        <v>2216.0790000000002</v>
      </c>
      <c r="R29" s="5">
        <f t="shared" si="0"/>
        <v>2136.4404666666665</v>
      </c>
      <c r="S29" s="5">
        <f t="shared" si="1"/>
        <v>58.389019509286868</v>
      </c>
      <c r="U29" s="7">
        <v>23.75</v>
      </c>
      <c r="V29" s="7">
        <v>2197.5920000000001</v>
      </c>
      <c r="W29" s="7">
        <v>2006.06</v>
      </c>
      <c r="X29" s="7">
        <v>1901.432</v>
      </c>
      <c r="Y29" s="7">
        <v>1964.3309999999999</v>
      </c>
      <c r="Z29" s="7">
        <v>2344.442</v>
      </c>
      <c r="AA29" s="7">
        <v>2081.201</v>
      </c>
      <c r="AB29" s="7">
        <v>2261.154</v>
      </c>
      <c r="AC29" s="7">
        <v>2339.0010000000002</v>
      </c>
      <c r="AD29" s="7">
        <v>2347.3069999999998</v>
      </c>
      <c r="AE29" s="7">
        <v>1967.59</v>
      </c>
      <c r="AF29" s="7">
        <v>2278.54</v>
      </c>
      <c r="AG29" s="7">
        <v>2142.69</v>
      </c>
      <c r="AH29" s="7">
        <v>2411.681</v>
      </c>
      <c r="AI29" s="7">
        <v>2279.1379999999999</v>
      </c>
      <c r="AJ29" s="7">
        <v>2101.9009999999998</v>
      </c>
      <c r="AL29" s="6">
        <f t="shared" si="2"/>
        <v>2233.4809999999998</v>
      </c>
      <c r="AM29" s="6">
        <f t="shared" si="3"/>
        <v>52.816270113614486</v>
      </c>
    </row>
    <row r="30" spans="1:39" x14ac:dyDescent="0.2">
      <c r="A30" s="7">
        <v>25</v>
      </c>
      <c r="B30" s="7">
        <v>1847.001</v>
      </c>
      <c r="C30" s="7">
        <v>2155.2240000000002</v>
      </c>
      <c r="D30" s="7">
        <v>2455.1460000000002</v>
      </c>
      <c r="E30" s="7">
        <v>2419.4380000000001</v>
      </c>
      <c r="F30" s="7">
        <v>2326.1109999999999</v>
      </c>
      <c r="G30" s="7">
        <v>2244.739</v>
      </c>
      <c r="H30" s="7">
        <v>2124.5259999999998</v>
      </c>
      <c r="I30" s="7">
        <v>2430.8420000000001</v>
      </c>
      <c r="J30" s="7">
        <v>1953.67</v>
      </c>
      <c r="K30" s="7">
        <v>1868.1289999999999</v>
      </c>
      <c r="L30" s="7">
        <v>1719.2449999999999</v>
      </c>
      <c r="M30" s="7">
        <v>2213.9940000000001</v>
      </c>
      <c r="N30" s="7">
        <v>2299.0230000000001</v>
      </c>
      <c r="O30" s="7">
        <v>2316.4050000000002</v>
      </c>
      <c r="P30" s="7">
        <v>2266.5309999999999</v>
      </c>
      <c r="R30" s="5">
        <f t="shared" si="0"/>
        <v>2176.0016000000001</v>
      </c>
      <c r="S30" s="5">
        <f t="shared" si="1"/>
        <v>59.282891352661551</v>
      </c>
      <c r="U30" s="7">
        <v>25</v>
      </c>
      <c r="V30" s="7">
        <v>2229.569</v>
      </c>
      <c r="W30" s="7">
        <v>2043.6659999999999</v>
      </c>
      <c r="X30" s="7">
        <v>1937.0309999999999</v>
      </c>
      <c r="Y30" s="7">
        <v>2002.075</v>
      </c>
      <c r="Z30" s="7">
        <v>2392.7559999999999</v>
      </c>
      <c r="AA30" s="7">
        <v>2122.63</v>
      </c>
      <c r="AB30" s="7">
        <v>2308.1210000000001</v>
      </c>
      <c r="AC30" s="7">
        <v>2383.2860000000001</v>
      </c>
      <c r="AD30" s="7">
        <v>2391.6840000000002</v>
      </c>
      <c r="AE30" s="7">
        <v>1999.0809999999999</v>
      </c>
      <c r="AF30" s="7">
        <v>2317.672</v>
      </c>
      <c r="AG30" s="7">
        <v>2185.5749999999998</v>
      </c>
      <c r="AH30" s="7">
        <v>2452.5529999999999</v>
      </c>
      <c r="AI30" s="7">
        <v>2311.116</v>
      </c>
      <c r="AJ30" s="7">
        <v>2131.7190000000001</v>
      </c>
      <c r="AL30" s="6">
        <f t="shared" si="2"/>
        <v>2271.5857499999997</v>
      </c>
      <c r="AM30" s="6">
        <f t="shared" si="3"/>
        <v>54.207876968385726</v>
      </c>
    </row>
    <row r="31" spans="1:39" x14ac:dyDescent="0.2">
      <c r="A31" s="7">
        <v>26.25</v>
      </c>
      <c r="B31" s="7">
        <v>1877.615</v>
      </c>
      <c r="C31" s="7">
        <v>2190.0030000000002</v>
      </c>
      <c r="D31" s="7">
        <v>2486.9580000000001</v>
      </c>
      <c r="E31" s="7">
        <v>2461.4499999999998</v>
      </c>
      <c r="F31" s="7">
        <v>2361.0100000000002</v>
      </c>
      <c r="G31" s="7">
        <v>2291.779</v>
      </c>
      <c r="H31" s="7">
        <v>2147.4960000000001</v>
      </c>
      <c r="I31" s="7">
        <v>2455.3719999999998</v>
      </c>
      <c r="J31" s="7">
        <v>1981.338</v>
      </c>
      <c r="K31" s="7">
        <v>1892.5219999999999</v>
      </c>
      <c r="L31" s="7">
        <v>1743.5429999999999</v>
      </c>
      <c r="M31" s="7">
        <v>2235.078</v>
      </c>
      <c r="N31" s="7">
        <v>2334.415</v>
      </c>
      <c r="O31" s="7">
        <v>2344.4899999999998</v>
      </c>
      <c r="P31" s="7">
        <v>2305.085</v>
      </c>
      <c r="R31" s="5">
        <f t="shared" si="0"/>
        <v>2207.2102666666669</v>
      </c>
      <c r="S31" s="5">
        <f t="shared" si="1"/>
        <v>60.087206382094514</v>
      </c>
      <c r="U31" s="7">
        <v>26.25</v>
      </c>
      <c r="V31" s="7">
        <v>2257.2669999999998</v>
      </c>
      <c r="W31" s="7">
        <v>2078.2640000000001</v>
      </c>
      <c r="X31" s="7">
        <v>1961.883</v>
      </c>
      <c r="Y31" s="7">
        <v>2043.538</v>
      </c>
      <c r="Z31" s="7">
        <v>2438.3710000000001</v>
      </c>
      <c r="AA31" s="7">
        <v>2155.915</v>
      </c>
      <c r="AB31" s="7">
        <v>2355.3290000000002</v>
      </c>
      <c r="AC31" s="7">
        <v>2420.6419999999998</v>
      </c>
      <c r="AD31" s="7">
        <v>2433.451</v>
      </c>
      <c r="AE31" s="7">
        <v>2033.5920000000001</v>
      </c>
      <c r="AF31" s="7">
        <v>2353.0540000000001</v>
      </c>
      <c r="AG31" s="7">
        <v>2216.0529999999999</v>
      </c>
      <c r="AH31" s="7">
        <v>2494.623</v>
      </c>
      <c r="AI31" s="7">
        <v>2340.1489999999999</v>
      </c>
      <c r="AJ31" s="7">
        <v>2157.056</v>
      </c>
      <c r="AL31" s="6">
        <f t="shared" si="2"/>
        <v>2306.0774999999999</v>
      </c>
      <c r="AM31" s="6">
        <f t="shared" si="3"/>
        <v>55.553427175043446</v>
      </c>
    </row>
    <row r="32" spans="1:39" x14ac:dyDescent="0.2">
      <c r="A32" s="7">
        <v>27.5</v>
      </c>
      <c r="B32" s="7">
        <v>1891.8440000000001</v>
      </c>
      <c r="C32" s="7">
        <v>2205</v>
      </c>
      <c r="D32" s="7">
        <v>2502.6770000000001</v>
      </c>
      <c r="E32" s="7">
        <v>2474.3919999999998</v>
      </c>
      <c r="F32" s="7">
        <v>2366.7440000000001</v>
      </c>
      <c r="G32" s="7">
        <v>2311.4549999999999</v>
      </c>
      <c r="H32" s="7">
        <v>2156.7620000000002</v>
      </c>
      <c r="I32" s="7">
        <v>2460.9349999999999</v>
      </c>
      <c r="J32" s="7">
        <v>1987.424</v>
      </c>
      <c r="K32" s="7">
        <v>1906.9860000000001</v>
      </c>
      <c r="L32" s="7">
        <v>1757.4929999999999</v>
      </c>
      <c r="M32" s="7">
        <v>2248.3240000000001</v>
      </c>
      <c r="N32" s="7">
        <v>2351.9920000000002</v>
      </c>
      <c r="O32" s="7">
        <v>2346.9870000000001</v>
      </c>
      <c r="P32" s="7">
        <v>2311.4430000000002</v>
      </c>
      <c r="R32" s="5">
        <f t="shared" si="0"/>
        <v>2218.6972000000001</v>
      </c>
      <c r="S32" s="5">
        <f t="shared" si="1"/>
        <v>59.886708793330179</v>
      </c>
      <c r="U32" s="7">
        <v>27.5</v>
      </c>
      <c r="V32" s="7">
        <v>2272.817</v>
      </c>
      <c r="W32" s="7">
        <v>2080.7959999999998</v>
      </c>
      <c r="X32" s="7">
        <v>1970.1959999999999</v>
      </c>
      <c r="Y32" s="7">
        <v>2044.069</v>
      </c>
      <c r="Z32" s="7">
        <v>2454.38</v>
      </c>
      <c r="AA32" s="7">
        <v>2159.7489999999998</v>
      </c>
      <c r="AB32" s="7">
        <v>2372.5079999999998</v>
      </c>
      <c r="AC32" s="7">
        <v>2444.2750000000001</v>
      </c>
      <c r="AD32" s="7">
        <v>2445.16</v>
      </c>
      <c r="AE32" s="7">
        <v>2051.5929999999998</v>
      </c>
      <c r="AF32" s="7">
        <v>2363.6410000000001</v>
      </c>
      <c r="AG32" s="7">
        <v>2223.0520000000001</v>
      </c>
      <c r="AH32" s="7">
        <v>2514.232</v>
      </c>
      <c r="AI32" s="7">
        <v>2352.306</v>
      </c>
      <c r="AJ32" s="7">
        <v>2172.0309999999999</v>
      </c>
      <c r="AL32" s="6">
        <f t="shared" si="2"/>
        <v>2320.7862499999997</v>
      </c>
      <c r="AM32" s="6">
        <f t="shared" si="3"/>
        <v>55.920015801828832</v>
      </c>
    </row>
    <row r="33" spans="1:39" x14ac:dyDescent="0.2">
      <c r="A33" s="7">
        <v>28.75</v>
      </c>
      <c r="B33" s="7">
        <v>1899.616</v>
      </c>
      <c r="C33" s="7">
        <v>2213.1849999999999</v>
      </c>
      <c r="D33" s="7">
        <v>2525.88</v>
      </c>
      <c r="E33" s="7">
        <v>2478.5120000000002</v>
      </c>
      <c r="F33" s="7">
        <v>2374.3420000000001</v>
      </c>
      <c r="G33" s="7">
        <v>2320.288</v>
      </c>
      <c r="H33" s="7">
        <v>2158.6419999999998</v>
      </c>
      <c r="I33" s="7">
        <v>2476.768</v>
      </c>
      <c r="J33" s="7">
        <v>1983.675</v>
      </c>
      <c r="K33" s="7">
        <v>1925.3330000000001</v>
      </c>
      <c r="L33" s="7">
        <v>1759.3109999999999</v>
      </c>
      <c r="M33" s="7">
        <v>2258.16</v>
      </c>
      <c r="N33" s="7">
        <v>2359.9560000000001</v>
      </c>
      <c r="O33" s="7">
        <v>2345.1770000000001</v>
      </c>
      <c r="P33" s="7">
        <v>2314.7910000000002</v>
      </c>
      <c r="R33" s="5">
        <f t="shared" si="0"/>
        <v>2226.2424000000001</v>
      </c>
      <c r="S33" s="5">
        <f t="shared" si="1"/>
        <v>60.422464938275319</v>
      </c>
      <c r="U33" s="7">
        <v>28.75</v>
      </c>
      <c r="V33" s="7">
        <v>2286.2669999999998</v>
      </c>
      <c r="W33" s="7">
        <v>2085.25</v>
      </c>
      <c r="X33" s="7">
        <v>1972.3130000000001</v>
      </c>
      <c r="Y33" s="7">
        <v>2042.278</v>
      </c>
      <c r="Z33" s="7">
        <v>2460.8490000000002</v>
      </c>
      <c r="AA33" s="7">
        <v>2163.3910000000001</v>
      </c>
      <c r="AB33" s="7">
        <v>2371.085</v>
      </c>
      <c r="AC33" s="7">
        <v>2464.61</v>
      </c>
      <c r="AD33" s="7">
        <v>2455.7289999999998</v>
      </c>
      <c r="AE33" s="7">
        <v>2064.741</v>
      </c>
      <c r="AF33" s="7">
        <v>2366.2930000000001</v>
      </c>
      <c r="AG33" s="7">
        <v>2234.7840000000001</v>
      </c>
      <c r="AH33" s="7">
        <v>2526.1529999999998</v>
      </c>
      <c r="AI33" s="7">
        <v>2362.5050000000001</v>
      </c>
      <c r="AJ33" s="7">
        <v>2178.866</v>
      </c>
      <c r="AL33" s="6">
        <f t="shared" si="2"/>
        <v>2331.7101249999996</v>
      </c>
      <c r="AM33" s="6">
        <f t="shared" si="3"/>
        <v>56.224026272593967</v>
      </c>
    </row>
    <row r="34" spans="1:39" x14ac:dyDescent="0.2">
      <c r="A34" s="7">
        <v>30</v>
      </c>
      <c r="B34" s="7">
        <v>1912.7560000000001</v>
      </c>
      <c r="C34" s="7">
        <v>2229.4349999999999</v>
      </c>
      <c r="D34" s="7">
        <v>2551.4169999999999</v>
      </c>
      <c r="E34" s="7">
        <v>2493.982</v>
      </c>
      <c r="F34" s="7">
        <v>2390.7280000000001</v>
      </c>
      <c r="G34" s="7">
        <v>2340.9839999999999</v>
      </c>
      <c r="H34" s="7">
        <v>2168.8629999999998</v>
      </c>
      <c r="I34" s="7">
        <v>2499.384</v>
      </c>
      <c r="J34" s="7">
        <v>1991.68</v>
      </c>
      <c r="K34" s="7">
        <v>1938.98</v>
      </c>
      <c r="L34" s="7">
        <v>1768.7170000000001</v>
      </c>
      <c r="M34" s="7">
        <v>2269.1799999999998</v>
      </c>
      <c r="N34" s="7">
        <v>2371.0390000000002</v>
      </c>
      <c r="O34" s="7">
        <v>2363.7040000000002</v>
      </c>
      <c r="P34" s="7">
        <v>2325</v>
      </c>
      <c r="R34" s="5">
        <f t="shared" si="0"/>
        <v>2241.0566000000003</v>
      </c>
      <c r="S34" s="5">
        <f t="shared" si="1"/>
        <v>61.290178029700662</v>
      </c>
      <c r="U34" s="7">
        <v>30</v>
      </c>
      <c r="V34" s="7">
        <v>2304.761</v>
      </c>
      <c r="W34" s="7">
        <v>2106.864</v>
      </c>
      <c r="X34" s="7">
        <v>1994.4490000000001</v>
      </c>
      <c r="Y34" s="7">
        <v>2061.7049999999999</v>
      </c>
      <c r="Z34" s="7">
        <v>2470.8820000000001</v>
      </c>
      <c r="AA34" s="7">
        <v>2184.1640000000002</v>
      </c>
      <c r="AB34" s="7">
        <v>2388.8560000000002</v>
      </c>
      <c r="AC34" s="7">
        <v>2483.846</v>
      </c>
      <c r="AD34" s="7">
        <v>2483.33</v>
      </c>
      <c r="AE34" s="7">
        <v>2081.75</v>
      </c>
      <c r="AF34" s="7">
        <v>2382.96</v>
      </c>
      <c r="AG34" s="7">
        <v>2256.0369999999998</v>
      </c>
      <c r="AH34" s="7">
        <v>2543.8220000000001</v>
      </c>
      <c r="AI34" s="7">
        <v>2381.0619999999999</v>
      </c>
      <c r="AJ34" s="7">
        <v>2199.1680000000001</v>
      </c>
      <c r="AL34" s="6">
        <f t="shared" si="2"/>
        <v>2351.4968750000003</v>
      </c>
      <c r="AM34" s="6">
        <f t="shared" si="3"/>
        <v>56.510001131101156</v>
      </c>
    </row>
    <row r="35" spans="1:39" x14ac:dyDescent="0.2">
      <c r="A35" s="7">
        <v>31.25</v>
      </c>
      <c r="B35" s="7">
        <v>1924.7919999999999</v>
      </c>
      <c r="C35" s="7">
        <v>2236.163</v>
      </c>
      <c r="D35" s="7">
        <v>2569.7310000000002</v>
      </c>
      <c r="E35" s="7">
        <v>2495.35</v>
      </c>
      <c r="F35" s="7">
        <v>2402.7449999999999</v>
      </c>
      <c r="G35" s="7">
        <v>2345.7469999999998</v>
      </c>
      <c r="H35" s="7">
        <v>2176.971</v>
      </c>
      <c r="I35" s="7">
        <v>2503.6529999999998</v>
      </c>
      <c r="J35" s="7">
        <v>2008.4649999999999</v>
      </c>
      <c r="K35" s="7">
        <v>1947.1189999999999</v>
      </c>
      <c r="L35" s="7">
        <v>1775.2070000000001</v>
      </c>
      <c r="M35" s="7">
        <v>2276.9920000000002</v>
      </c>
      <c r="N35" s="7">
        <v>2373.7379999999998</v>
      </c>
      <c r="O35" s="7">
        <v>2370.8220000000001</v>
      </c>
      <c r="P35" s="7">
        <v>2331.42</v>
      </c>
      <c r="R35" s="5">
        <f t="shared" si="0"/>
        <v>2249.261</v>
      </c>
      <c r="S35" s="5">
        <f t="shared" si="1"/>
        <v>61.074152166112519</v>
      </c>
      <c r="U35" s="7">
        <v>31.25</v>
      </c>
      <c r="V35" s="7">
        <v>2317.0839999999998</v>
      </c>
      <c r="W35" s="7">
        <v>2123.8040000000001</v>
      </c>
      <c r="X35" s="7">
        <v>2011.4110000000001</v>
      </c>
      <c r="Y35" s="7">
        <v>2077.2069999999999</v>
      </c>
      <c r="Z35" s="7">
        <v>2484.6529999999998</v>
      </c>
      <c r="AA35" s="7">
        <v>2206.076</v>
      </c>
      <c r="AB35" s="7">
        <v>2413.62</v>
      </c>
      <c r="AC35" s="7">
        <v>2489.1480000000001</v>
      </c>
      <c r="AD35" s="7">
        <v>2502.518</v>
      </c>
      <c r="AE35" s="7">
        <v>2085.902</v>
      </c>
      <c r="AF35" s="7">
        <v>2406.2640000000001</v>
      </c>
      <c r="AG35" s="7">
        <v>2276.65</v>
      </c>
      <c r="AH35" s="7">
        <v>2560.5590000000002</v>
      </c>
      <c r="AI35" s="7">
        <v>2387.7669999999998</v>
      </c>
      <c r="AJ35" s="7">
        <v>2214.7350000000001</v>
      </c>
      <c r="AL35" s="6">
        <f t="shared" si="2"/>
        <v>2365.4428750000002</v>
      </c>
      <c r="AM35" s="6">
        <f t="shared" si="3"/>
        <v>57.175750341268397</v>
      </c>
    </row>
    <row r="36" spans="1:39" x14ac:dyDescent="0.2">
      <c r="A36" s="7">
        <v>32.5</v>
      </c>
      <c r="B36" s="7">
        <v>1926.896</v>
      </c>
      <c r="C36" s="7">
        <v>2235.2719999999999</v>
      </c>
      <c r="D36" s="7">
        <v>2571.5309999999999</v>
      </c>
      <c r="E36" s="7">
        <v>2501.047</v>
      </c>
      <c r="F36" s="7">
        <v>2403.9839999999999</v>
      </c>
      <c r="G36" s="7">
        <v>2337.1790000000001</v>
      </c>
      <c r="H36" s="7">
        <v>2187.6750000000002</v>
      </c>
      <c r="I36" s="7">
        <v>2495.933</v>
      </c>
      <c r="J36" s="7">
        <v>2022.221</v>
      </c>
      <c r="K36" s="7">
        <v>1948.1659999999999</v>
      </c>
      <c r="L36" s="7">
        <v>1779.462</v>
      </c>
      <c r="M36" s="7">
        <v>2279.0619999999999</v>
      </c>
      <c r="N36" s="7">
        <v>2372.674</v>
      </c>
      <c r="O36" s="7">
        <v>2370.0720000000001</v>
      </c>
      <c r="P36" s="7">
        <v>2331.1190000000001</v>
      </c>
      <c r="R36" s="5">
        <f t="shared" si="0"/>
        <v>2250.8195333333333</v>
      </c>
      <c r="S36" s="5">
        <f t="shared" si="1"/>
        <v>60.473238637069187</v>
      </c>
      <c r="U36" s="7">
        <v>32.5</v>
      </c>
      <c r="V36" s="7">
        <v>2324.6219999999998</v>
      </c>
      <c r="W36" s="7">
        <v>2132.8470000000002</v>
      </c>
      <c r="X36" s="7">
        <v>2018.337</v>
      </c>
      <c r="Y36" s="7">
        <v>2078.0070000000001</v>
      </c>
      <c r="Z36" s="7">
        <v>2490.3159999999998</v>
      </c>
      <c r="AA36" s="7">
        <v>2216.587</v>
      </c>
      <c r="AB36" s="7">
        <v>2418.2950000000001</v>
      </c>
      <c r="AC36" s="7">
        <v>2490.9749999999999</v>
      </c>
      <c r="AD36" s="7">
        <v>2512.1010000000001</v>
      </c>
      <c r="AE36" s="7">
        <v>2080.4499999999998</v>
      </c>
      <c r="AF36" s="7">
        <v>2430.5740000000001</v>
      </c>
      <c r="AG36" s="7">
        <v>2285.4459999999999</v>
      </c>
      <c r="AH36" s="7">
        <v>2572.6550000000002</v>
      </c>
      <c r="AI36" s="7">
        <v>2392.9479999999999</v>
      </c>
      <c r="AJ36" s="7">
        <v>2223.5740000000001</v>
      </c>
      <c r="AL36" s="6">
        <f t="shared" si="2"/>
        <v>2373.5903750000002</v>
      </c>
      <c r="AM36" s="6">
        <f t="shared" si="3"/>
        <v>58.617790842437685</v>
      </c>
    </row>
    <row r="37" spans="1:39" x14ac:dyDescent="0.2">
      <c r="A37" s="7">
        <v>33.75</v>
      </c>
      <c r="B37" s="7">
        <v>1923.7190000000001</v>
      </c>
      <c r="C37" s="7">
        <v>2244.3040000000001</v>
      </c>
      <c r="D37" s="7">
        <v>2569.7840000000001</v>
      </c>
      <c r="E37" s="7">
        <v>2481.5419999999999</v>
      </c>
      <c r="F37" s="7">
        <v>2405.308</v>
      </c>
      <c r="G37" s="7">
        <v>2334.4859999999999</v>
      </c>
      <c r="H37" s="7">
        <v>2192.0349999999999</v>
      </c>
      <c r="I37" s="7">
        <v>2507.5129999999999</v>
      </c>
      <c r="J37" s="7">
        <v>2017.4280000000001</v>
      </c>
      <c r="K37" s="7">
        <v>1947.27</v>
      </c>
      <c r="L37" s="7">
        <v>1781.9739999999999</v>
      </c>
      <c r="M37" s="7">
        <v>2270.8809999999999</v>
      </c>
      <c r="N37" s="7">
        <v>2364.2159999999999</v>
      </c>
      <c r="O37" s="7">
        <v>2359.2979999999998</v>
      </c>
      <c r="P37" s="7">
        <v>2333.4679999999998</v>
      </c>
      <c r="R37" s="5">
        <f t="shared" si="0"/>
        <v>2248.8817333333332</v>
      </c>
      <c r="S37" s="5">
        <f t="shared" si="1"/>
        <v>60.176550679405928</v>
      </c>
      <c r="U37" s="7">
        <v>33.75</v>
      </c>
      <c r="V37" s="7">
        <v>2323.248</v>
      </c>
      <c r="W37" s="7">
        <v>2138.5439999999999</v>
      </c>
      <c r="X37" s="7">
        <v>2012.0450000000001</v>
      </c>
      <c r="Y37" s="7">
        <v>2081.694</v>
      </c>
      <c r="Z37" s="7">
        <v>2497.1149999999998</v>
      </c>
      <c r="AA37" s="7">
        <v>2219.2950000000001</v>
      </c>
      <c r="AB37" s="7">
        <v>2410.6089999999999</v>
      </c>
      <c r="AC37" s="7">
        <v>2494.5630000000001</v>
      </c>
      <c r="AD37" s="7">
        <v>2508.7370000000001</v>
      </c>
      <c r="AE37" s="7">
        <v>2080.46</v>
      </c>
      <c r="AF37" s="7">
        <v>2439.873</v>
      </c>
      <c r="AG37" s="7">
        <v>2279.0680000000002</v>
      </c>
      <c r="AH37" s="7">
        <v>2577.1309999999999</v>
      </c>
      <c r="AI37" s="7">
        <v>2392.578</v>
      </c>
      <c r="AJ37" s="7">
        <v>2228.13</v>
      </c>
      <c r="AL37" s="6">
        <f t="shared" si="2"/>
        <v>2375.0675000000001</v>
      </c>
      <c r="AM37" s="6">
        <f t="shared" si="3"/>
        <v>59.022218907374175</v>
      </c>
    </row>
    <row r="38" spans="1:39" x14ac:dyDescent="0.2">
      <c r="A38" s="7">
        <v>35</v>
      </c>
      <c r="B38" s="7">
        <v>1895.104</v>
      </c>
      <c r="C38" s="7">
        <v>2220.2130000000002</v>
      </c>
      <c r="D38" s="7">
        <v>2527.6260000000002</v>
      </c>
      <c r="E38" s="7">
        <v>2431.3330000000001</v>
      </c>
      <c r="F38" s="7">
        <v>2366.7759999999998</v>
      </c>
      <c r="G38" s="7">
        <v>2293.7330000000002</v>
      </c>
      <c r="H38" s="7">
        <v>2155.2170000000001</v>
      </c>
      <c r="I38" s="7">
        <v>2477.2840000000001</v>
      </c>
      <c r="J38" s="7">
        <v>1981.82</v>
      </c>
      <c r="K38" s="7">
        <v>1914.1120000000001</v>
      </c>
      <c r="L38" s="7">
        <v>1752.595</v>
      </c>
      <c r="M38" s="7">
        <v>2226.3249999999998</v>
      </c>
      <c r="N38" s="7">
        <v>2322.85</v>
      </c>
      <c r="O38" s="7">
        <v>2323.8290000000002</v>
      </c>
      <c r="P38" s="7">
        <v>2297.373</v>
      </c>
      <c r="R38" s="5">
        <f t="shared" si="0"/>
        <v>2212.4126666666666</v>
      </c>
      <c r="S38" s="5">
        <f t="shared" si="1"/>
        <v>59.261758456196986</v>
      </c>
      <c r="U38" s="7">
        <v>35</v>
      </c>
      <c r="V38" s="7">
        <v>2285.694</v>
      </c>
      <c r="W38" s="7">
        <v>2114.0369999999998</v>
      </c>
      <c r="X38" s="7">
        <v>1986.701</v>
      </c>
      <c r="Y38" s="7">
        <v>2048.1309999999999</v>
      </c>
      <c r="Z38" s="7">
        <v>2461.529</v>
      </c>
      <c r="AA38" s="7">
        <v>2186.6909999999998</v>
      </c>
      <c r="AB38" s="7">
        <v>2370.7579999999998</v>
      </c>
      <c r="AC38" s="7">
        <v>2463.6509999999998</v>
      </c>
      <c r="AD38" s="7">
        <v>2473.2629999999999</v>
      </c>
      <c r="AE38" s="7">
        <v>2052.6089999999999</v>
      </c>
      <c r="AF38" s="7">
        <v>2403.346</v>
      </c>
      <c r="AG38" s="7">
        <v>2240.8939999999998</v>
      </c>
      <c r="AH38" s="7">
        <v>2535.819</v>
      </c>
      <c r="AI38" s="7">
        <v>2350.3429999999998</v>
      </c>
      <c r="AJ38" s="7">
        <v>2192.5949999999998</v>
      </c>
      <c r="AL38" s="6">
        <f t="shared" si="2"/>
        <v>2339.0650000000001</v>
      </c>
      <c r="AM38" s="6">
        <f t="shared" si="3"/>
        <v>58.194593121145843</v>
      </c>
    </row>
    <row r="39" spans="1:39" x14ac:dyDescent="0.2">
      <c r="A39" s="7">
        <v>36.25</v>
      </c>
      <c r="B39" s="7">
        <v>1808.954</v>
      </c>
      <c r="C39" s="7">
        <v>2119.0970000000002</v>
      </c>
      <c r="D39" s="7">
        <v>2415.1880000000001</v>
      </c>
      <c r="E39" s="7">
        <v>2329.1210000000001</v>
      </c>
      <c r="F39" s="7">
        <v>2255.9470000000001</v>
      </c>
      <c r="G39" s="7">
        <v>2189.0219999999999</v>
      </c>
      <c r="H39" s="7">
        <v>2065.489</v>
      </c>
      <c r="I39" s="7">
        <v>2367.5639999999999</v>
      </c>
      <c r="J39" s="7">
        <v>1894.6089999999999</v>
      </c>
      <c r="K39" s="7">
        <v>1828.1890000000001</v>
      </c>
      <c r="L39" s="7">
        <v>1683.357</v>
      </c>
      <c r="M39" s="7">
        <v>2126.9389999999999</v>
      </c>
      <c r="N39" s="7">
        <v>2224.9340000000002</v>
      </c>
      <c r="O39" s="7">
        <v>2223.4560000000001</v>
      </c>
      <c r="P39" s="7">
        <v>2183.7869999999998</v>
      </c>
      <c r="R39" s="5">
        <f t="shared" si="0"/>
        <v>2114.376866666667</v>
      </c>
      <c r="S39" s="5">
        <f t="shared" si="1"/>
        <v>56.361578479439061</v>
      </c>
      <c r="U39" s="7">
        <v>36.25</v>
      </c>
      <c r="V39" s="7">
        <v>2176.386</v>
      </c>
      <c r="W39" s="7">
        <v>2012.154</v>
      </c>
      <c r="X39" s="7">
        <v>1896.192</v>
      </c>
      <c r="Y39" s="7">
        <v>1948.924</v>
      </c>
      <c r="Z39" s="7">
        <v>2341.6959999999999</v>
      </c>
      <c r="AA39" s="7">
        <v>2082.5010000000002</v>
      </c>
      <c r="AB39" s="7">
        <v>2269.8139999999999</v>
      </c>
      <c r="AC39" s="7">
        <v>2353.0650000000001</v>
      </c>
      <c r="AD39" s="7">
        <v>2360.0129999999999</v>
      </c>
      <c r="AE39" s="7">
        <v>1957.0129999999999</v>
      </c>
      <c r="AF39" s="7">
        <v>2289.9</v>
      </c>
      <c r="AG39" s="7">
        <v>2141.0070000000001</v>
      </c>
      <c r="AH39" s="7">
        <v>2416.5250000000001</v>
      </c>
      <c r="AI39" s="7">
        <v>2240.2809999999999</v>
      </c>
      <c r="AJ39" s="7">
        <v>2092.4340000000002</v>
      </c>
      <c r="AL39" s="6">
        <f t="shared" si="2"/>
        <v>2231.2797500000001</v>
      </c>
      <c r="AM39" s="6">
        <f t="shared" si="3"/>
        <v>55.402201070493199</v>
      </c>
    </row>
    <row r="40" spans="1:39" x14ac:dyDescent="0.2">
      <c r="A40" s="7">
        <v>37.5</v>
      </c>
      <c r="B40" s="7">
        <v>1688.6010000000001</v>
      </c>
      <c r="C40" s="7">
        <v>1969.55</v>
      </c>
      <c r="D40" s="7">
        <v>2253.319</v>
      </c>
      <c r="E40" s="7">
        <v>2202.6190000000001</v>
      </c>
      <c r="F40" s="7">
        <v>2103.4340000000002</v>
      </c>
      <c r="G40" s="7">
        <v>2043.1769999999999</v>
      </c>
      <c r="H40" s="7">
        <v>1923.0340000000001</v>
      </c>
      <c r="I40" s="7">
        <v>2214.2089999999998</v>
      </c>
      <c r="J40" s="7">
        <v>1764.95</v>
      </c>
      <c r="K40" s="7">
        <v>1700.3119999999999</v>
      </c>
      <c r="L40" s="7">
        <v>1560.213</v>
      </c>
      <c r="M40" s="7">
        <v>1996.106</v>
      </c>
      <c r="N40" s="7">
        <v>2078.386</v>
      </c>
      <c r="O40" s="7">
        <v>2071.0039999999999</v>
      </c>
      <c r="P40" s="7">
        <v>2027.3489999999999</v>
      </c>
      <c r="R40" s="5">
        <f t="shared" si="0"/>
        <v>1973.0842</v>
      </c>
      <c r="S40" s="5">
        <f t="shared" si="1"/>
        <v>53.765353778839724</v>
      </c>
      <c r="U40" s="7">
        <v>37.5</v>
      </c>
      <c r="V40" s="7">
        <v>2027.865</v>
      </c>
      <c r="W40" s="7">
        <v>1862.9459999999999</v>
      </c>
      <c r="X40" s="7">
        <v>1752.6880000000001</v>
      </c>
      <c r="Y40" s="7">
        <v>1806.0550000000001</v>
      </c>
      <c r="Z40" s="7">
        <v>2170.3939999999998</v>
      </c>
      <c r="AA40" s="7">
        <v>1934.3620000000001</v>
      </c>
      <c r="AB40" s="7">
        <v>2113.2249999999999</v>
      </c>
      <c r="AC40" s="7">
        <v>2186.42</v>
      </c>
      <c r="AD40" s="7">
        <v>2210.0210000000002</v>
      </c>
      <c r="AE40" s="7">
        <v>1825.3119999999999</v>
      </c>
      <c r="AF40" s="7">
        <v>2131.569</v>
      </c>
      <c r="AG40" s="7">
        <v>1996.681</v>
      </c>
      <c r="AH40" s="7">
        <v>2252.4740000000002</v>
      </c>
      <c r="AI40" s="7">
        <v>2087.4940000000001</v>
      </c>
      <c r="AJ40" s="7">
        <v>1943.5730000000001</v>
      </c>
      <c r="AL40" s="6">
        <f t="shared" si="2"/>
        <v>2079.1930000000002</v>
      </c>
      <c r="AM40" s="6">
        <f t="shared" si="3"/>
        <v>51.945821493579821</v>
      </c>
    </row>
    <row r="41" spans="1:39" x14ac:dyDescent="0.2">
      <c r="A41" s="7">
        <v>38.75</v>
      </c>
      <c r="B41" s="7">
        <v>1572.136</v>
      </c>
      <c r="C41" s="7">
        <v>1838.335</v>
      </c>
      <c r="D41" s="7">
        <v>2107.5529999999999</v>
      </c>
      <c r="E41" s="7">
        <v>2073.62</v>
      </c>
      <c r="F41" s="7">
        <v>1980.202</v>
      </c>
      <c r="G41" s="7">
        <v>1913.41</v>
      </c>
      <c r="H41" s="7">
        <v>1792.136</v>
      </c>
      <c r="I41" s="7">
        <v>2068.4789999999998</v>
      </c>
      <c r="J41" s="7">
        <v>1645.018</v>
      </c>
      <c r="K41" s="7">
        <v>1588.598</v>
      </c>
      <c r="L41" s="7">
        <v>1453.4839999999999</v>
      </c>
      <c r="M41" s="7">
        <v>1880.4970000000001</v>
      </c>
      <c r="N41" s="7">
        <v>1946.1690000000001</v>
      </c>
      <c r="O41" s="7">
        <v>1935.1859999999999</v>
      </c>
      <c r="P41" s="7">
        <v>1900.8019999999999</v>
      </c>
      <c r="R41" s="5">
        <f t="shared" si="0"/>
        <v>1846.3750000000002</v>
      </c>
      <c r="S41" s="5">
        <f t="shared" si="1"/>
        <v>51.322098087887447</v>
      </c>
      <c r="U41" s="7">
        <v>38.75</v>
      </c>
      <c r="V41" s="7">
        <v>1903.4380000000001</v>
      </c>
      <c r="W41" s="7">
        <v>1743.2850000000001</v>
      </c>
      <c r="X41" s="7">
        <v>1634.4880000000001</v>
      </c>
      <c r="Y41" s="7">
        <v>1684.9649999999999</v>
      </c>
      <c r="Z41" s="7">
        <v>2023.71</v>
      </c>
      <c r="AA41" s="7">
        <v>1805.3820000000001</v>
      </c>
      <c r="AB41" s="7">
        <v>1974.556</v>
      </c>
      <c r="AC41" s="7">
        <v>2041.0419999999999</v>
      </c>
      <c r="AD41" s="7">
        <v>2064.857</v>
      </c>
      <c r="AE41" s="7">
        <v>1700.835</v>
      </c>
      <c r="AF41" s="7">
        <v>1994.279</v>
      </c>
      <c r="AG41" s="7">
        <v>1865.864</v>
      </c>
      <c r="AH41" s="7">
        <v>2102.038</v>
      </c>
      <c r="AI41" s="7">
        <v>1952.009</v>
      </c>
      <c r="AJ41" s="7">
        <v>1820.922</v>
      </c>
      <c r="AL41" s="6">
        <f t="shared" si="2"/>
        <v>1942.7307499999999</v>
      </c>
      <c r="AM41" s="6">
        <f t="shared" si="3"/>
        <v>48.543326269923178</v>
      </c>
    </row>
    <row r="42" spans="1:39" x14ac:dyDescent="0.2">
      <c r="A42" s="7">
        <v>40</v>
      </c>
      <c r="B42" s="7">
        <v>1495.2929999999999</v>
      </c>
      <c r="C42" s="7">
        <v>1756.8710000000001</v>
      </c>
      <c r="D42" s="7">
        <v>2012.877</v>
      </c>
      <c r="E42" s="7">
        <v>1995.838</v>
      </c>
      <c r="F42" s="7">
        <v>1888.134</v>
      </c>
      <c r="G42" s="7">
        <v>1821.675</v>
      </c>
      <c r="H42" s="7">
        <v>1717.3119999999999</v>
      </c>
      <c r="I42" s="7">
        <v>1977.107</v>
      </c>
      <c r="J42" s="7">
        <v>1569.777</v>
      </c>
      <c r="K42" s="7">
        <v>1516.953</v>
      </c>
      <c r="L42" s="7">
        <v>1382.671</v>
      </c>
      <c r="M42" s="7">
        <v>1800.9349999999999</v>
      </c>
      <c r="N42" s="7">
        <v>1857.21</v>
      </c>
      <c r="O42" s="7">
        <v>1846.9349999999999</v>
      </c>
      <c r="P42" s="7">
        <v>1815.3969999999999</v>
      </c>
      <c r="R42" s="5">
        <f t="shared" si="0"/>
        <v>1763.6656666666668</v>
      </c>
      <c r="S42" s="5">
        <f t="shared" si="1"/>
        <v>49.666027475592742</v>
      </c>
      <c r="U42" s="7">
        <v>40</v>
      </c>
      <c r="V42" s="7">
        <v>1815.8489999999999</v>
      </c>
      <c r="W42" s="7">
        <v>1662.7380000000001</v>
      </c>
      <c r="X42" s="7">
        <v>1560.6559999999999</v>
      </c>
      <c r="Y42" s="7">
        <v>1613.9269999999999</v>
      </c>
      <c r="Z42" s="7">
        <v>1930.046</v>
      </c>
      <c r="AA42" s="7">
        <v>1720.33</v>
      </c>
      <c r="AB42" s="7">
        <v>1887.077</v>
      </c>
      <c r="AC42" s="7">
        <v>1953.78</v>
      </c>
      <c r="AD42" s="7">
        <v>1964.325</v>
      </c>
      <c r="AE42" s="7">
        <v>1616.884</v>
      </c>
      <c r="AF42" s="7">
        <v>1900.711</v>
      </c>
      <c r="AG42" s="7">
        <v>1780.8440000000001</v>
      </c>
      <c r="AH42" s="7">
        <v>2012.3920000000001</v>
      </c>
      <c r="AI42" s="7">
        <v>1866.297</v>
      </c>
      <c r="AJ42" s="7">
        <v>1740.4290000000001</v>
      </c>
      <c r="AL42" s="6">
        <f t="shared" si="2"/>
        <v>1854.45775</v>
      </c>
      <c r="AM42" s="6">
        <f t="shared" si="3"/>
        <v>47.060240075031949</v>
      </c>
    </row>
    <row r="43" spans="1:39" x14ac:dyDescent="0.2">
      <c r="A43" s="7">
        <v>41.25</v>
      </c>
      <c r="B43" s="7">
        <v>1459.8</v>
      </c>
      <c r="C43" s="7">
        <v>1720.854</v>
      </c>
      <c r="D43" s="7">
        <v>1974.183</v>
      </c>
      <c r="E43" s="7">
        <v>1957.877</v>
      </c>
      <c r="F43" s="7">
        <v>1840.3330000000001</v>
      </c>
      <c r="G43" s="7">
        <v>1774.9880000000001</v>
      </c>
      <c r="H43" s="7">
        <v>1680.924</v>
      </c>
      <c r="I43" s="7">
        <v>1934.086</v>
      </c>
      <c r="J43" s="7">
        <v>1538.682</v>
      </c>
      <c r="K43" s="7">
        <v>1478.8810000000001</v>
      </c>
      <c r="L43" s="7">
        <v>1354.144</v>
      </c>
      <c r="M43" s="7">
        <v>1758.953</v>
      </c>
      <c r="N43" s="7">
        <v>1815.9849999999999</v>
      </c>
      <c r="O43" s="7">
        <v>1803.2529999999999</v>
      </c>
      <c r="P43" s="7">
        <v>1770.096</v>
      </c>
      <c r="R43" s="5">
        <f t="shared" si="0"/>
        <v>1724.2026000000003</v>
      </c>
      <c r="S43" s="5">
        <f t="shared" si="1"/>
        <v>48.723422357980802</v>
      </c>
      <c r="U43" s="7">
        <v>41.25</v>
      </c>
      <c r="V43" s="7">
        <v>1771.635</v>
      </c>
      <c r="W43" s="7">
        <v>1622.566</v>
      </c>
      <c r="X43" s="7">
        <v>1525.252</v>
      </c>
      <c r="Y43" s="7">
        <v>1572.308</v>
      </c>
      <c r="Z43" s="7">
        <v>1882.9349999999999</v>
      </c>
      <c r="AA43" s="7">
        <v>1677.585</v>
      </c>
      <c r="AB43" s="7">
        <v>1846.4839999999999</v>
      </c>
      <c r="AC43" s="7">
        <v>1908.8330000000001</v>
      </c>
      <c r="AD43" s="7">
        <v>1913.4829999999999</v>
      </c>
      <c r="AE43" s="7">
        <v>1577.6690000000001</v>
      </c>
      <c r="AF43" s="7">
        <v>1852.6479999999999</v>
      </c>
      <c r="AG43" s="7">
        <v>1740.2660000000001</v>
      </c>
      <c r="AH43" s="7">
        <v>1968.568</v>
      </c>
      <c r="AI43" s="7">
        <v>1823.7829999999999</v>
      </c>
      <c r="AJ43" s="7">
        <v>1696.5219999999999</v>
      </c>
      <c r="AL43" s="6">
        <f t="shared" si="2"/>
        <v>1810.2214999999997</v>
      </c>
      <c r="AM43" s="6">
        <f t="shared" si="3"/>
        <v>46.164827964974727</v>
      </c>
    </row>
    <row r="44" spans="1:39" x14ac:dyDescent="0.2">
      <c r="A44" s="7">
        <v>42.5</v>
      </c>
      <c r="B44" s="7">
        <v>1452.298</v>
      </c>
      <c r="C44" s="7">
        <v>1709.1</v>
      </c>
      <c r="D44" s="7">
        <v>1968.194</v>
      </c>
      <c r="E44" s="7">
        <v>1944.396</v>
      </c>
      <c r="F44" s="7">
        <v>1825.8879999999999</v>
      </c>
      <c r="G44" s="7">
        <v>1757.7950000000001</v>
      </c>
      <c r="H44" s="7">
        <v>1666.0509999999999</v>
      </c>
      <c r="I44" s="7">
        <v>1918.3340000000001</v>
      </c>
      <c r="J44" s="7">
        <v>1528.1210000000001</v>
      </c>
      <c r="K44" s="7">
        <v>1461.595</v>
      </c>
      <c r="L44" s="7">
        <v>1346.296</v>
      </c>
      <c r="M44" s="7">
        <v>1739.634</v>
      </c>
      <c r="N44" s="7">
        <v>1802.6880000000001</v>
      </c>
      <c r="O44" s="7">
        <v>1785.6959999999999</v>
      </c>
      <c r="P44" s="7">
        <v>1754.2860000000001</v>
      </c>
      <c r="R44" s="5">
        <f t="shared" si="0"/>
        <v>1710.6914666666667</v>
      </c>
      <c r="S44" s="5">
        <f t="shared" si="1"/>
        <v>48.466214736400609</v>
      </c>
      <c r="U44" s="7">
        <v>42.5</v>
      </c>
      <c r="V44" s="7">
        <v>1755.691</v>
      </c>
      <c r="W44" s="7">
        <v>1608.2919999999999</v>
      </c>
      <c r="X44" s="7">
        <v>1517.097</v>
      </c>
      <c r="Y44" s="7">
        <v>1558.549</v>
      </c>
      <c r="Z44" s="7">
        <v>1860.3810000000001</v>
      </c>
      <c r="AA44" s="7">
        <v>1661.93</v>
      </c>
      <c r="AB44" s="7">
        <v>1832.4090000000001</v>
      </c>
      <c r="AC44" s="7">
        <v>1889.5820000000001</v>
      </c>
      <c r="AD44" s="7">
        <v>1895.5260000000001</v>
      </c>
      <c r="AE44" s="7">
        <v>1559.499</v>
      </c>
      <c r="AF44" s="7">
        <v>1837.856</v>
      </c>
      <c r="AG44" s="7">
        <v>1726.92</v>
      </c>
      <c r="AH44" s="7">
        <v>1952.201</v>
      </c>
      <c r="AI44" s="7">
        <v>1807.721</v>
      </c>
      <c r="AJ44" s="7">
        <v>1676.7739999999999</v>
      </c>
      <c r="AL44" s="6">
        <f t="shared" si="2"/>
        <v>1793.2598749999997</v>
      </c>
      <c r="AM44" s="6">
        <f t="shared" si="3"/>
        <v>46.254462443962218</v>
      </c>
    </row>
    <row r="45" spans="1:39" x14ac:dyDescent="0.2">
      <c r="A45" s="7">
        <v>43.75</v>
      </c>
      <c r="B45" s="7">
        <v>1455.3420000000001</v>
      </c>
      <c r="C45" s="7">
        <v>1702.39</v>
      </c>
      <c r="D45" s="7">
        <v>1967.7349999999999</v>
      </c>
      <c r="E45" s="7">
        <v>1943.7139999999999</v>
      </c>
      <c r="F45" s="7">
        <v>1824.434</v>
      </c>
      <c r="G45" s="7">
        <v>1753.998</v>
      </c>
      <c r="H45" s="7">
        <v>1660.3910000000001</v>
      </c>
      <c r="I45" s="7">
        <v>1918.4380000000001</v>
      </c>
      <c r="J45" s="7">
        <v>1525.1379999999999</v>
      </c>
      <c r="K45" s="7">
        <v>1453.098</v>
      </c>
      <c r="L45" s="7">
        <v>1345.954</v>
      </c>
      <c r="M45" s="7">
        <v>1734.087</v>
      </c>
      <c r="N45" s="7">
        <v>1796.58</v>
      </c>
      <c r="O45" s="7">
        <v>1782.355</v>
      </c>
      <c r="P45" s="7">
        <v>1747.2950000000001</v>
      </c>
      <c r="R45" s="5">
        <f t="shared" si="0"/>
        <v>1707.3966</v>
      </c>
      <c r="S45" s="5">
        <f t="shared" si="1"/>
        <v>48.511140329756515</v>
      </c>
      <c r="U45" s="7">
        <v>43.75</v>
      </c>
      <c r="V45" s="7">
        <v>1754.4749999999999</v>
      </c>
      <c r="W45" s="7">
        <v>1607.085</v>
      </c>
      <c r="X45" s="7">
        <v>1513.0170000000001</v>
      </c>
      <c r="Y45" s="7">
        <v>1550.029</v>
      </c>
      <c r="Z45" s="7">
        <v>1852.17</v>
      </c>
      <c r="AA45" s="7">
        <v>1655.4269999999999</v>
      </c>
      <c r="AB45" s="7">
        <v>1828.47</v>
      </c>
      <c r="AC45" s="7">
        <v>1888.1880000000001</v>
      </c>
      <c r="AD45" s="7">
        <v>1899.319</v>
      </c>
      <c r="AE45" s="7">
        <v>1554.0550000000001</v>
      </c>
      <c r="AF45" s="7">
        <v>1837.4359999999999</v>
      </c>
      <c r="AG45" s="7">
        <v>1721.431</v>
      </c>
      <c r="AH45" s="7">
        <v>1951.3050000000001</v>
      </c>
      <c r="AI45" s="7">
        <v>1807.665</v>
      </c>
      <c r="AJ45" s="7">
        <v>1675.2739999999999</v>
      </c>
      <c r="AL45" s="6">
        <f t="shared" si="2"/>
        <v>1791.8341250000001</v>
      </c>
      <c r="AM45" s="6">
        <f t="shared" si="3"/>
        <v>46.995431046325244</v>
      </c>
    </row>
    <row r="46" spans="1:39" x14ac:dyDescent="0.2">
      <c r="A46" s="7">
        <v>45</v>
      </c>
      <c r="B46" s="7">
        <v>1458.2260000000001</v>
      </c>
      <c r="C46" s="7">
        <v>1711.4870000000001</v>
      </c>
      <c r="D46" s="7">
        <v>1970.425</v>
      </c>
      <c r="E46" s="7">
        <v>1959.2149999999999</v>
      </c>
      <c r="F46" s="7">
        <v>1827.4960000000001</v>
      </c>
      <c r="G46" s="7">
        <v>1759.575</v>
      </c>
      <c r="H46" s="7">
        <v>1664.3889999999999</v>
      </c>
      <c r="I46" s="7">
        <v>1927.1189999999999</v>
      </c>
      <c r="J46" s="7">
        <v>1532.6030000000001</v>
      </c>
      <c r="K46" s="7">
        <v>1454.671</v>
      </c>
      <c r="L46" s="7">
        <v>1354.729</v>
      </c>
      <c r="M46" s="7">
        <v>1742.06</v>
      </c>
      <c r="N46" s="7">
        <v>1800.6790000000001</v>
      </c>
      <c r="O46" s="7">
        <v>1787.6759999999999</v>
      </c>
      <c r="P46" s="7">
        <v>1747.326</v>
      </c>
      <c r="R46" s="5">
        <f t="shared" si="0"/>
        <v>1713.1784</v>
      </c>
      <c r="S46" s="5">
        <f t="shared" si="1"/>
        <v>48.707657020207002</v>
      </c>
      <c r="U46" s="7">
        <v>45</v>
      </c>
      <c r="V46" s="7">
        <v>1759.8920000000001</v>
      </c>
      <c r="W46" s="7">
        <v>1605.6510000000001</v>
      </c>
      <c r="X46" s="7">
        <v>1512.7429999999999</v>
      </c>
      <c r="Y46" s="7">
        <v>1551.4459999999999</v>
      </c>
      <c r="Z46" s="7">
        <v>1851.992</v>
      </c>
      <c r="AA46" s="7">
        <v>1658.6469999999999</v>
      </c>
      <c r="AB46" s="7">
        <v>1832.1990000000001</v>
      </c>
      <c r="AC46" s="7">
        <v>1900.18</v>
      </c>
      <c r="AD46" s="7">
        <v>1903.8810000000001</v>
      </c>
      <c r="AE46" s="7">
        <v>1559.297</v>
      </c>
      <c r="AF46" s="7">
        <v>1842.627</v>
      </c>
      <c r="AG46" s="7">
        <v>1724.645</v>
      </c>
      <c r="AH46" s="7">
        <v>1951.7750000000001</v>
      </c>
      <c r="AI46" s="7">
        <v>1814.5309999999999</v>
      </c>
      <c r="AJ46" s="7">
        <v>1683.8150000000001</v>
      </c>
      <c r="AL46" s="6">
        <f t="shared" si="2"/>
        <v>1797.5938750000003</v>
      </c>
      <c r="AM46" s="6">
        <f t="shared" si="3"/>
        <v>46.858469510948417</v>
      </c>
    </row>
    <row r="47" spans="1:39" x14ac:dyDescent="0.2">
      <c r="A47" s="7">
        <v>46.25</v>
      </c>
      <c r="B47" s="7">
        <v>1468.9649999999999</v>
      </c>
      <c r="C47" s="7">
        <v>1730.885</v>
      </c>
      <c r="D47" s="7">
        <v>1984.64</v>
      </c>
      <c r="E47" s="7">
        <v>2009.1320000000001</v>
      </c>
      <c r="F47" s="7">
        <v>1840.577</v>
      </c>
      <c r="G47" s="7">
        <v>1782.8679999999999</v>
      </c>
      <c r="H47" s="7">
        <v>1693.8140000000001</v>
      </c>
      <c r="I47" s="7">
        <v>1959.229</v>
      </c>
      <c r="J47" s="7">
        <v>1550.425</v>
      </c>
      <c r="K47" s="7">
        <v>1477.0830000000001</v>
      </c>
      <c r="L47" s="7">
        <v>1387.3879999999999</v>
      </c>
      <c r="M47" s="7">
        <v>1767.76</v>
      </c>
      <c r="N47" s="7">
        <v>1819.14</v>
      </c>
      <c r="O47" s="7">
        <v>1806.3820000000001</v>
      </c>
      <c r="P47" s="7">
        <v>1770.403</v>
      </c>
      <c r="R47" s="5">
        <f t="shared" si="0"/>
        <v>1736.5793999999996</v>
      </c>
      <c r="S47" s="5">
        <f t="shared" si="1"/>
        <v>49.259281498617909</v>
      </c>
      <c r="U47" s="7">
        <v>46.25</v>
      </c>
      <c r="V47" s="7">
        <v>1775.441</v>
      </c>
      <c r="W47" s="7">
        <v>1620.9849999999999</v>
      </c>
      <c r="X47" s="7">
        <v>1526.3979999999999</v>
      </c>
      <c r="Y47" s="7">
        <v>1573.7439999999999</v>
      </c>
      <c r="Z47" s="7">
        <v>1867.519</v>
      </c>
      <c r="AA47" s="7">
        <v>1674.829</v>
      </c>
      <c r="AB47" s="7">
        <v>1850.9280000000001</v>
      </c>
      <c r="AC47" s="7">
        <v>1925.1590000000001</v>
      </c>
      <c r="AD47" s="7">
        <v>1930.9490000000001</v>
      </c>
      <c r="AE47" s="7">
        <v>1590.452</v>
      </c>
      <c r="AF47" s="7">
        <v>1869.0619999999999</v>
      </c>
      <c r="AG47" s="7">
        <v>1750.3589999999999</v>
      </c>
      <c r="AH47" s="7">
        <v>1966.886</v>
      </c>
      <c r="AI47" s="7">
        <v>1831.1410000000001</v>
      </c>
      <c r="AJ47" s="7">
        <v>1704.1590000000001</v>
      </c>
      <c r="AL47" s="6">
        <f t="shared" si="2"/>
        <v>1821.0208749999999</v>
      </c>
      <c r="AM47" s="6">
        <f t="shared" si="3"/>
        <v>45.986750340038739</v>
      </c>
    </row>
    <row r="48" spans="1:39" x14ac:dyDescent="0.2">
      <c r="A48" s="7">
        <v>47.5</v>
      </c>
      <c r="B48" s="7">
        <v>1504.414</v>
      </c>
      <c r="C48" s="7">
        <v>1782.232</v>
      </c>
      <c r="D48" s="7">
        <v>2034.558</v>
      </c>
      <c r="E48" s="7">
        <v>2082.895</v>
      </c>
      <c r="F48" s="7">
        <v>1888.8630000000001</v>
      </c>
      <c r="G48" s="7">
        <v>1842.182</v>
      </c>
      <c r="H48" s="7">
        <v>1752.1559999999999</v>
      </c>
      <c r="I48" s="7">
        <v>2022.982</v>
      </c>
      <c r="J48" s="7">
        <v>1587.231</v>
      </c>
      <c r="K48" s="7">
        <v>1522.239</v>
      </c>
      <c r="L48" s="7">
        <v>1445.001</v>
      </c>
      <c r="M48" s="7">
        <v>1813.454</v>
      </c>
      <c r="N48" s="7">
        <v>1862.6410000000001</v>
      </c>
      <c r="O48" s="7">
        <v>1861.2139999999999</v>
      </c>
      <c r="P48" s="7">
        <v>1828.6579999999999</v>
      </c>
      <c r="R48" s="5">
        <f t="shared" si="0"/>
        <v>1788.7146666666667</v>
      </c>
      <c r="S48" s="5">
        <f t="shared" si="1"/>
        <v>50.691826389859564</v>
      </c>
      <c r="U48" s="7">
        <v>47.5</v>
      </c>
      <c r="V48" s="7">
        <v>1816.2360000000001</v>
      </c>
      <c r="W48" s="7">
        <v>1655.07</v>
      </c>
      <c r="X48" s="7">
        <v>1568.0429999999999</v>
      </c>
      <c r="Y48" s="7">
        <v>1624.3510000000001</v>
      </c>
      <c r="Z48" s="7">
        <v>1913.902</v>
      </c>
      <c r="AA48" s="7">
        <v>1712.095</v>
      </c>
      <c r="AB48" s="7">
        <v>1906.9390000000001</v>
      </c>
      <c r="AC48" s="7">
        <v>1982.655</v>
      </c>
      <c r="AD48" s="7">
        <v>1996.885</v>
      </c>
      <c r="AE48" s="7">
        <v>1646.373</v>
      </c>
      <c r="AF48" s="7">
        <v>1919.46</v>
      </c>
      <c r="AG48" s="7">
        <v>1803.125</v>
      </c>
      <c r="AH48" s="7">
        <v>2020.2270000000001</v>
      </c>
      <c r="AI48" s="7">
        <v>1882.2380000000001</v>
      </c>
      <c r="AJ48" s="7">
        <v>1749.5630000000001</v>
      </c>
      <c r="AL48" s="6">
        <f t="shared" si="2"/>
        <v>1875.06575</v>
      </c>
      <c r="AM48" s="6">
        <f t="shared" si="3"/>
        <v>46.815794259732925</v>
      </c>
    </row>
    <row r="49" spans="1:39" x14ac:dyDescent="0.2">
      <c r="A49" s="7">
        <v>48.75</v>
      </c>
      <c r="B49" s="7">
        <v>1571.8030000000001</v>
      </c>
      <c r="C49" s="7">
        <v>1862.9949999999999</v>
      </c>
      <c r="D49" s="7">
        <v>2125.587</v>
      </c>
      <c r="E49" s="7">
        <v>2180.7539999999999</v>
      </c>
      <c r="F49" s="7">
        <v>1973.8630000000001</v>
      </c>
      <c r="G49" s="7">
        <v>1933.232</v>
      </c>
      <c r="H49" s="7">
        <v>1834.6590000000001</v>
      </c>
      <c r="I49" s="7">
        <v>2122.6129999999998</v>
      </c>
      <c r="J49" s="7">
        <v>1658.4949999999999</v>
      </c>
      <c r="K49" s="7">
        <v>1598.3440000000001</v>
      </c>
      <c r="L49" s="7">
        <v>1512.0840000000001</v>
      </c>
      <c r="M49" s="7">
        <v>1884.3209999999999</v>
      </c>
      <c r="N49" s="7">
        <v>1944.1320000000001</v>
      </c>
      <c r="O49" s="7">
        <v>1955.864</v>
      </c>
      <c r="P49" s="7">
        <v>1922.4749999999999</v>
      </c>
      <c r="R49" s="5">
        <f t="shared" si="0"/>
        <v>1872.0814</v>
      </c>
      <c r="S49" s="5">
        <f t="shared" si="1"/>
        <v>53.14439137076905</v>
      </c>
      <c r="U49" s="7">
        <v>48.75</v>
      </c>
      <c r="V49" s="7">
        <v>1893.6079999999999</v>
      </c>
      <c r="W49" s="7">
        <v>1728.652</v>
      </c>
      <c r="X49" s="7">
        <v>1647.165</v>
      </c>
      <c r="Y49" s="7">
        <v>1716.5530000000001</v>
      </c>
      <c r="Z49" s="7">
        <v>2002.502</v>
      </c>
      <c r="AA49" s="7">
        <v>1788.96</v>
      </c>
      <c r="AB49" s="7">
        <v>1993.799</v>
      </c>
      <c r="AC49" s="7">
        <v>2076.5410000000002</v>
      </c>
      <c r="AD49" s="7">
        <v>2100.3760000000002</v>
      </c>
      <c r="AE49" s="7">
        <v>1723.5360000000001</v>
      </c>
      <c r="AF49" s="7">
        <v>2005.1030000000001</v>
      </c>
      <c r="AG49" s="7">
        <v>1884.325</v>
      </c>
      <c r="AH49" s="7">
        <v>2111.549</v>
      </c>
      <c r="AI49" s="7">
        <v>1967.953</v>
      </c>
      <c r="AJ49" s="7">
        <v>1830.001</v>
      </c>
      <c r="AL49" s="6">
        <f t="shared" si="2"/>
        <v>1962.423</v>
      </c>
      <c r="AM49" s="6">
        <f t="shared" si="3"/>
        <v>49.433678110532249</v>
      </c>
    </row>
    <row r="50" spans="1:39" x14ac:dyDescent="0.2">
      <c r="A50" s="7">
        <v>50</v>
      </c>
      <c r="B50" s="7">
        <v>1647.806</v>
      </c>
      <c r="C50" s="7">
        <v>1964.8409999999999</v>
      </c>
      <c r="D50" s="7">
        <v>2232.7289999999998</v>
      </c>
      <c r="E50" s="7">
        <v>2262.623</v>
      </c>
      <c r="F50" s="7">
        <v>2072.0320000000002</v>
      </c>
      <c r="G50" s="7">
        <v>2028.0229999999999</v>
      </c>
      <c r="H50" s="7">
        <v>1918.623</v>
      </c>
      <c r="I50" s="7">
        <v>2226.8519999999999</v>
      </c>
      <c r="J50" s="7">
        <v>1745.8820000000001</v>
      </c>
      <c r="K50" s="7">
        <v>1686.66</v>
      </c>
      <c r="L50" s="7">
        <v>1575.442</v>
      </c>
      <c r="M50" s="7">
        <v>1966.0989999999999</v>
      </c>
      <c r="N50" s="7">
        <v>2043.3789999999999</v>
      </c>
      <c r="O50" s="7">
        <v>2056.6120000000001</v>
      </c>
      <c r="P50" s="7">
        <v>2025.2170000000001</v>
      </c>
      <c r="R50" s="5">
        <f t="shared" si="0"/>
        <v>1963.5213333333334</v>
      </c>
      <c r="S50" s="5">
        <f t="shared" si="1"/>
        <v>55.308105976530513</v>
      </c>
      <c r="U50" s="7">
        <v>50</v>
      </c>
      <c r="V50" s="7">
        <v>1977.0309999999999</v>
      </c>
      <c r="W50" s="7">
        <v>1813.6130000000001</v>
      </c>
      <c r="X50" s="7">
        <v>1731.4269999999999</v>
      </c>
      <c r="Y50" s="7">
        <v>1796.8620000000001</v>
      </c>
      <c r="Z50" s="7">
        <v>2108.1979999999999</v>
      </c>
      <c r="AA50" s="7">
        <v>1888.308</v>
      </c>
      <c r="AB50" s="7">
        <v>2090.91</v>
      </c>
      <c r="AC50" s="7">
        <v>2183.625</v>
      </c>
      <c r="AD50" s="7">
        <v>2191.732</v>
      </c>
      <c r="AE50" s="7">
        <v>1802.192</v>
      </c>
      <c r="AF50" s="7">
        <v>2108.4189999999999</v>
      </c>
      <c r="AG50" s="7">
        <v>1970.857</v>
      </c>
      <c r="AH50" s="7">
        <v>2221.2930000000001</v>
      </c>
      <c r="AI50" s="7">
        <v>2061.297</v>
      </c>
      <c r="AJ50" s="7">
        <v>1912.001</v>
      </c>
      <c r="AL50" s="6">
        <f t="shared" si="2"/>
        <v>2056.4270000000001</v>
      </c>
      <c r="AM50" s="6">
        <f t="shared" si="3"/>
        <v>52.984328334962811</v>
      </c>
    </row>
    <row r="51" spans="1:39" x14ac:dyDescent="0.2">
      <c r="A51" s="7">
        <v>51.25</v>
      </c>
      <c r="B51" s="7">
        <v>1711.1220000000001</v>
      </c>
      <c r="C51" s="7">
        <v>2050.3530000000001</v>
      </c>
      <c r="D51" s="7">
        <v>2318.5549999999998</v>
      </c>
      <c r="E51" s="7">
        <v>2319.6370000000002</v>
      </c>
      <c r="F51" s="7">
        <v>2154.1039999999998</v>
      </c>
      <c r="G51" s="7">
        <v>2103.1889999999999</v>
      </c>
      <c r="H51" s="7">
        <v>1976.6379999999999</v>
      </c>
      <c r="I51" s="7">
        <v>2287.2530000000002</v>
      </c>
      <c r="J51" s="7">
        <v>1819.771</v>
      </c>
      <c r="K51" s="7">
        <v>1754.51</v>
      </c>
      <c r="L51" s="7">
        <v>1625.1010000000001</v>
      </c>
      <c r="M51" s="7">
        <v>2035.912</v>
      </c>
      <c r="N51" s="7">
        <v>2126.2310000000002</v>
      </c>
      <c r="O51" s="7">
        <v>2128.9569999999999</v>
      </c>
      <c r="P51" s="7">
        <v>2097.4340000000002</v>
      </c>
      <c r="R51" s="5">
        <f t="shared" si="0"/>
        <v>2033.9177999999999</v>
      </c>
      <c r="S51" s="5">
        <f t="shared" si="1"/>
        <v>56.335524171672873</v>
      </c>
      <c r="U51" s="7">
        <v>51.25</v>
      </c>
      <c r="V51" s="7">
        <v>2055.453</v>
      </c>
      <c r="W51" s="7">
        <v>1888.4580000000001</v>
      </c>
      <c r="X51" s="7">
        <v>1785.3019999999999</v>
      </c>
      <c r="Y51" s="7">
        <v>1851.0139999999999</v>
      </c>
      <c r="Z51" s="7">
        <v>2185.509</v>
      </c>
      <c r="AA51" s="7">
        <v>1957.45</v>
      </c>
      <c r="AB51" s="7">
        <v>2156.5189999999998</v>
      </c>
      <c r="AC51" s="7">
        <v>2256.7860000000001</v>
      </c>
      <c r="AD51" s="7">
        <v>2263.1550000000002</v>
      </c>
      <c r="AE51" s="7">
        <v>1853.6369999999999</v>
      </c>
      <c r="AF51" s="7">
        <v>2184.674</v>
      </c>
      <c r="AG51" s="7">
        <v>2035.0909999999999</v>
      </c>
      <c r="AH51" s="7">
        <v>2297.0729999999999</v>
      </c>
      <c r="AI51" s="7">
        <v>2133.991</v>
      </c>
      <c r="AJ51" s="7">
        <v>1977.1189999999999</v>
      </c>
      <c r="AL51" s="6">
        <f t="shared" si="2"/>
        <v>2125.1907500000002</v>
      </c>
      <c r="AM51" s="6">
        <f t="shared" si="3"/>
        <v>55.62876000670812</v>
      </c>
    </row>
    <row r="52" spans="1:39" x14ac:dyDescent="0.2">
      <c r="A52" s="7">
        <v>52.5</v>
      </c>
      <c r="B52" s="7">
        <v>1740.319</v>
      </c>
      <c r="C52" s="7">
        <v>2090.7530000000002</v>
      </c>
      <c r="D52" s="7">
        <v>2356.9940000000001</v>
      </c>
      <c r="E52" s="7">
        <v>2330.0340000000001</v>
      </c>
      <c r="F52" s="7">
        <v>2200.0540000000001</v>
      </c>
      <c r="G52" s="7">
        <v>2140.8510000000001</v>
      </c>
      <c r="H52" s="7">
        <v>2002.607</v>
      </c>
      <c r="I52" s="7">
        <v>2305.0729999999999</v>
      </c>
      <c r="J52" s="7">
        <v>1855.7439999999999</v>
      </c>
      <c r="K52" s="7">
        <v>1785.1079999999999</v>
      </c>
      <c r="L52" s="7">
        <v>1645.095</v>
      </c>
      <c r="M52" s="7">
        <v>2063.8380000000002</v>
      </c>
      <c r="N52" s="7">
        <v>2163.5079999999998</v>
      </c>
      <c r="O52" s="7">
        <v>2149.7049999999999</v>
      </c>
      <c r="P52" s="7">
        <v>2125.0079999999998</v>
      </c>
      <c r="R52" s="5">
        <f t="shared" si="0"/>
        <v>2063.6460666666671</v>
      </c>
      <c r="S52" s="5">
        <f t="shared" si="1"/>
        <v>56.315724161573087</v>
      </c>
      <c r="U52" s="7">
        <v>52.5</v>
      </c>
      <c r="V52" s="7">
        <v>2097.4470000000001</v>
      </c>
      <c r="W52" s="7">
        <v>1927.614</v>
      </c>
      <c r="X52" s="7">
        <v>1808.239</v>
      </c>
      <c r="Y52" s="7">
        <v>1865.9780000000001</v>
      </c>
      <c r="Z52" s="7">
        <v>2220.364</v>
      </c>
      <c r="AA52" s="7">
        <v>1990.8589999999999</v>
      </c>
      <c r="AB52" s="7">
        <v>2182.9189999999999</v>
      </c>
      <c r="AC52" s="7">
        <v>2280.6779999999999</v>
      </c>
      <c r="AD52" s="7">
        <v>2287.5070000000001</v>
      </c>
      <c r="AE52" s="7">
        <v>1871.3620000000001</v>
      </c>
      <c r="AF52" s="7">
        <v>2218.2429999999999</v>
      </c>
      <c r="AG52" s="7">
        <v>2059.8000000000002</v>
      </c>
      <c r="AH52" s="7">
        <v>2331.2420000000002</v>
      </c>
      <c r="AI52" s="7">
        <v>2156.8359999999998</v>
      </c>
      <c r="AJ52" s="7">
        <v>2007.915</v>
      </c>
      <c r="AL52" s="6">
        <f t="shared" si="2"/>
        <v>2151.6978749999998</v>
      </c>
      <c r="AM52" s="6">
        <f t="shared" si="3"/>
        <v>56.612352777917103</v>
      </c>
    </row>
    <row r="53" spans="1:39" x14ac:dyDescent="0.2">
      <c r="A53" s="7">
        <v>53.75</v>
      </c>
      <c r="B53" s="7">
        <v>1721.9649999999999</v>
      </c>
      <c r="C53" s="7">
        <v>2072.3560000000002</v>
      </c>
      <c r="D53" s="7">
        <v>2337.163</v>
      </c>
      <c r="E53" s="7">
        <v>2299.9319999999998</v>
      </c>
      <c r="F53" s="7">
        <v>2185.5740000000001</v>
      </c>
      <c r="G53" s="7">
        <v>2116.7820000000002</v>
      </c>
      <c r="H53" s="7">
        <v>1983.2149999999999</v>
      </c>
      <c r="I53" s="7">
        <v>2283.33</v>
      </c>
      <c r="J53" s="7">
        <v>1840.297</v>
      </c>
      <c r="K53" s="7">
        <v>1771.328</v>
      </c>
      <c r="L53" s="7">
        <v>1631.136</v>
      </c>
      <c r="M53" s="7">
        <v>2039.4</v>
      </c>
      <c r="N53" s="7">
        <v>2140.5369999999998</v>
      </c>
      <c r="O53" s="7">
        <v>2118.7660000000001</v>
      </c>
      <c r="P53" s="7">
        <v>2096.0390000000002</v>
      </c>
      <c r="R53" s="5">
        <f t="shared" si="0"/>
        <v>2042.5213333333336</v>
      </c>
      <c r="S53" s="5">
        <f t="shared" si="1"/>
        <v>55.471047848975644</v>
      </c>
      <c r="U53" s="7">
        <v>53.75</v>
      </c>
      <c r="V53" s="7">
        <v>2082.654</v>
      </c>
      <c r="W53" s="7">
        <v>1920.35</v>
      </c>
      <c r="X53" s="7">
        <v>1801.769</v>
      </c>
      <c r="Y53" s="7">
        <v>1842.6189999999999</v>
      </c>
      <c r="Z53" s="7">
        <v>2198.79</v>
      </c>
      <c r="AA53" s="7">
        <v>1973.961</v>
      </c>
      <c r="AB53" s="7">
        <v>2161.9670000000001</v>
      </c>
      <c r="AC53" s="7">
        <v>2261.6550000000002</v>
      </c>
      <c r="AD53" s="7">
        <v>2266.4780000000001</v>
      </c>
      <c r="AE53" s="7">
        <v>1854.3630000000001</v>
      </c>
      <c r="AF53" s="7">
        <v>2200.027</v>
      </c>
      <c r="AG53" s="7">
        <v>2038.3879999999999</v>
      </c>
      <c r="AH53" s="7">
        <v>2317.5419999999999</v>
      </c>
      <c r="AI53" s="7">
        <v>2130.3040000000001</v>
      </c>
      <c r="AJ53" s="7">
        <v>1986.886</v>
      </c>
      <c r="AL53" s="6">
        <f t="shared" si="2"/>
        <v>2131.955375</v>
      </c>
      <c r="AM53" s="6">
        <f t="shared" si="3"/>
        <v>56.829114425221427</v>
      </c>
    </row>
    <row r="54" spans="1:39" x14ac:dyDescent="0.2">
      <c r="A54" s="7">
        <v>55</v>
      </c>
      <c r="B54" s="7">
        <v>1666.9490000000001</v>
      </c>
      <c r="C54" s="7">
        <v>1998.1089999999999</v>
      </c>
      <c r="D54" s="7">
        <v>2257.7730000000001</v>
      </c>
      <c r="E54" s="7">
        <v>2221.85</v>
      </c>
      <c r="F54" s="7">
        <v>2103.8670000000002</v>
      </c>
      <c r="G54" s="7">
        <v>2045.171</v>
      </c>
      <c r="H54" s="7">
        <v>1914.0809999999999</v>
      </c>
      <c r="I54" s="7">
        <v>2215.4389999999999</v>
      </c>
      <c r="J54" s="7">
        <v>1771.145</v>
      </c>
      <c r="K54" s="7">
        <v>1714.771</v>
      </c>
      <c r="L54" s="7">
        <v>1586.537</v>
      </c>
      <c r="M54" s="7">
        <v>1960.3430000000001</v>
      </c>
      <c r="N54" s="7">
        <v>2052.2849999999999</v>
      </c>
      <c r="O54" s="7">
        <v>2041.049</v>
      </c>
      <c r="P54" s="7">
        <v>2027.769</v>
      </c>
      <c r="R54" s="5">
        <f t="shared" si="0"/>
        <v>1971.8092000000001</v>
      </c>
      <c r="S54" s="5">
        <f t="shared" si="1"/>
        <v>53.127844960210517</v>
      </c>
      <c r="U54" s="7">
        <v>55</v>
      </c>
      <c r="V54" s="7">
        <v>2007.7249999999999</v>
      </c>
      <c r="W54" s="7">
        <v>1854.567</v>
      </c>
      <c r="X54" s="7">
        <v>1747.5540000000001</v>
      </c>
      <c r="Y54" s="7">
        <v>1780.5409999999999</v>
      </c>
      <c r="Z54" s="7">
        <v>2117.7860000000001</v>
      </c>
      <c r="AA54" s="7">
        <v>1912.096</v>
      </c>
      <c r="AB54" s="7">
        <v>2091.471</v>
      </c>
      <c r="AC54" s="7">
        <v>2185.9029999999998</v>
      </c>
      <c r="AD54" s="7">
        <v>2198.0349999999999</v>
      </c>
      <c r="AE54" s="7">
        <v>1798.59</v>
      </c>
      <c r="AF54" s="7">
        <v>2128.8919999999998</v>
      </c>
      <c r="AG54" s="7">
        <v>1968.086</v>
      </c>
      <c r="AH54" s="7">
        <v>2235.8449999999998</v>
      </c>
      <c r="AI54" s="7">
        <v>2054.6660000000002</v>
      </c>
      <c r="AJ54" s="7">
        <v>1908.125</v>
      </c>
      <c r="AL54" s="6">
        <f t="shared" si="2"/>
        <v>2059.76775</v>
      </c>
      <c r="AM54" s="6">
        <f t="shared" si="3"/>
        <v>55.170224480935204</v>
      </c>
    </row>
    <row r="55" spans="1:39" x14ac:dyDescent="0.2">
      <c r="A55" s="7">
        <v>56.25</v>
      </c>
      <c r="B55" s="7">
        <v>1562.8430000000001</v>
      </c>
      <c r="C55" s="7">
        <v>1867.616</v>
      </c>
      <c r="D55" s="7">
        <v>2122.3040000000001</v>
      </c>
      <c r="E55" s="7">
        <v>2111.0970000000002</v>
      </c>
      <c r="F55" s="7">
        <v>1967.7940000000001</v>
      </c>
      <c r="G55" s="7">
        <v>1917.3440000000001</v>
      </c>
      <c r="H55" s="7">
        <v>1803.44</v>
      </c>
      <c r="I55" s="7">
        <v>2098.924</v>
      </c>
      <c r="J55" s="7">
        <v>1657.1679999999999</v>
      </c>
      <c r="K55" s="7">
        <v>1612.4380000000001</v>
      </c>
      <c r="L55" s="7">
        <v>1507.771</v>
      </c>
      <c r="M55" s="7">
        <v>1819.7860000000001</v>
      </c>
      <c r="N55" s="7">
        <v>1912.117</v>
      </c>
      <c r="O55" s="7">
        <v>1917.46</v>
      </c>
      <c r="P55" s="7">
        <v>1913.171</v>
      </c>
      <c r="R55" s="5">
        <f t="shared" si="0"/>
        <v>1852.7515333333331</v>
      </c>
      <c r="S55" s="5">
        <f t="shared" si="1"/>
        <v>50.311981573915325</v>
      </c>
      <c r="U55" s="7">
        <v>56.25</v>
      </c>
      <c r="V55" s="7">
        <v>1879.518</v>
      </c>
      <c r="W55" s="7">
        <v>1724.502</v>
      </c>
      <c r="X55" s="7">
        <v>1638.4780000000001</v>
      </c>
      <c r="Y55" s="7">
        <v>1678.7719999999999</v>
      </c>
      <c r="Z55" s="7">
        <v>1992.154</v>
      </c>
      <c r="AA55" s="7">
        <v>1782.5250000000001</v>
      </c>
      <c r="AB55" s="7">
        <v>1965.723</v>
      </c>
      <c r="AC55" s="7">
        <v>2053.1770000000001</v>
      </c>
      <c r="AD55" s="7">
        <v>2070.9920000000002</v>
      </c>
      <c r="AE55" s="7">
        <v>1693.405</v>
      </c>
      <c r="AF55" s="7">
        <v>1998.5719999999999</v>
      </c>
      <c r="AG55" s="7">
        <v>1841.9280000000001</v>
      </c>
      <c r="AH55" s="7">
        <v>2099.58</v>
      </c>
      <c r="AI55" s="7">
        <v>1932.0650000000001</v>
      </c>
      <c r="AJ55" s="7">
        <v>1782.463</v>
      </c>
      <c r="AL55" s="6">
        <f t="shared" si="2"/>
        <v>1934.0227500000001</v>
      </c>
      <c r="AM55" s="6">
        <f t="shared" si="3"/>
        <v>52.421140541821082</v>
      </c>
    </row>
    <row r="56" spans="1:39" x14ac:dyDescent="0.2">
      <c r="A56" s="7">
        <v>57.5</v>
      </c>
      <c r="B56" s="7">
        <v>1433.787</v>
      </c>
      <c r="C56" s="7">
        <v>1705.076</v>
      </c>
      <c r="D56" s="7">
        <v>1958.9659999999999</v>
      </c>
      <c r="E56" s="7">
        <v>1978.4469999999999</v>
      </c>
      <c r="F56" s="7">
        <v>1794.76</v>
      </c>
      <c r="G56" s="7">
        <v>1760.5150000000001</v>
      </c>
      <c r="H56" s="7">
        <v>1678.8230000000001</v>
      </c>
      <c r="I56" s="7">
        <v>1956.5840000000001</v>
      </c>
      <c r="J56" s="7">
        <v>1514.6489999999999</v>
      </c>
      <c r="K56" s="7">
        <v>1481.537</v>
      </c>
      <c r="L56" s="7">
        <v>1421.7360000000001</v>
      </c>
      <c r="M56" s="7">
        <v>1654.96</v>
      </c>
      <c r="N56" s="7">
        <v>1751.403</v>
      </c>
      <c r="O56" s="7">
        <v>1768.3119999999999</v>
      </c>
      <c r="P56" s="7">
        <v>1764.1790000000001</v>
      </c>
      <c r="R56" s="5">
        <f t="shared" si="0"/>
        <v>1708.2489333333333</v>
      </c>
      <c r="S56" s="5">
        <f t="shared" si="1"/>
        <v>47.125171944257978</v>
      </c>
      <c r="U56" s="7">
        <v>57.5</v>
      </c>
      <c r="V56" s="7">
        <v>1721.694</v>
      </c>
      <c r="W56" s="7">
        <v>1590.0809999999999</v>
      </c>
      <c r="X56" s="7">
        <v>1509.4359999999999</v>
      </c>
      <c r="Y56" s="7">
        <v>1558.0519999999999</v>
      </c>
      <c r="Z56" s="7">
        <v>1815.729</v>
      </c>
      <c r="AA56" s="7">
        <v>1628.9929999999999</v>
      </c>
      <c r="AB56" s="7">
        <v>1816.2070000000001</v>
      </c>
      <c r="AC56" s="7">
        <v>1896.3130000000001</v>
      </c>
      <c r="AD56" s="7">
        <v>1918.106</v>
      </c>
      <c r="AE56" s="7">
        <v>1563.4380000000001</v>
      </c>
      <c r="AF56" s="7">
        <v>1845.134</v>
      </c>
      <c r="AG56" s="7">
        <v>1697.6969999999999</v>
      </c>
      <c r="AH56" s="7">
        <v>1922.434</v>
      </c>
      <c r="AI56" s="7">
        <v>1777.614</v>
      </c>
      <c r="AJ56" s="7">
        <v>1632.883</v>
      </c>
      <c r="AL56" s="6">
        <f t="shared" si="2"/>
        <v>1781.7023749999998</v>
      </c>
      <c r="AM56" s="6">
        <f t="shared" si="3"/>
        <v>48.629552157443129</v>
      </c>
    </row>
    <row r="57" spans="1:39" x14ac:dyDescent="0.2">
      <c r="A57" s="7">
        <v>58.75</v>
      </c>
      <c r="B57" s="7">
        <v>1297.0530000000001</v>
      </c>
      <c r="C57" s="7">
        <v>1534.643</v>
      </c>
      <c r="D57" s="7">
        <v>1773.7090000000001</v>
      </c>
      <c r="E57" s="7">
        <v>1829.98</v>
      </c>
      <c r="F57" s="7">
        <v>1590.528</v>
      </c>
      <c r="G57" s="7">
        <v>1568.0509999999999</v>
      </c>
      <c r="H57" s="7">
        <v>1542.7349999999999</v>
      </c>
      <c r="I57" s="7">
        <v>1809.0530000000001</v>
      </c>
      <c r="J57" s="7">
        <v>1357.2940000000001</v>
      </c>
      <c r="K57" s="7">
        <v>1333.241</v>
      </c>
      <c r="L57" s="7">
        <v>1337.3589999999999</v>
      </c>
      <c r="M57" s="7">
        <v>1461.4190000000001</v>
      </c>
      <c r="N57" s="7">
        <v>1568.9659999999999</v>
      </c>
      <c r="O57" s="7">
        <v>1593.7149999999999</v>
      </c>
      <c r="P57" s="7">
        <v>1589.2739999999999</v>
      </c>
      <c r="R57" s="5">
        <f t="shared" si="0"/>
        <v>1545.8013333333336</v>
      </c>
      <c r="S57" s="5">
        <f t="shared" si="1"/>
        <v>43.780497623143852</v>
      </c>
      <c r="U57" s="7">
        <v>58.75</v>
      </c>
      <c r="V57" s="7">
        <v>1534.377</v>
      </c>
      <c r="W57" s="7">
        <v>1429.4590000000001</v>
      </c>
      <c r="X57" s="7">
        <v>1360.33</v>
      </c>
      <c r="Y57" s="7">
        <v>1434.8489999999999</v>
      </c>
      <c r="Z57" s="7">
        <v>1615.8530000000001</v>
      </c>
      <c r="AA57" s="7">
        <v>1471.3779999999999</v>
      </c>
      <c r="AB57" s="7">
        <v>1644.4069999999999</v>
      </c>
      <c r="AC57" s="7">
        <v>1729.9659999999999</v>
      </c>
      <c r="AD57" s="7">
        <v>1761.396</v>
      </c>
      <c r="AE57" s="7">
        <v>1433.3779999999999</v>
      </c>
      <c r="AF57" s="7">
        <v>1674.6020000000001</v>
      </c>
      <c r="AG57" s="7">
        <v>1537.7719999999999</v>
      </c>
      <c r="AH57" s="7">
        <v>1742.55</v>
      </c>
      <c r="AI57" s="7">
        <v>1614.7049999999999</v>
      </c>
      <c r="AJ57" s="7">
        <v>1466.604</v>
      </c>
      <c r="AL57" s="6">
        <f t="shared" si="2"/>
        <v>1620.1216249999998</v>
      </c>
      <c r="AM57" s="6">
        <f t="shared" si="3"/>
        <v>45.362172969311857</v>
      </c>
    </row>
    <row r="58" spans="1:39" x14ac:dyDescent="0.2">
      <c r="A58" s="7">
        <v>60</v>
      </c>
      <c r="B58" s="7">
        <v>1218.0899999999999</v>
      </c>
      <c r="C58" s="7">
        <v>1436.0070000000001</v>
      </c>
      <c r="D58" s="7">
        <v>1670.9110000000001</v>
      </c>
      <c r="E58" s="7">
        <v>1746.3019999999999</v>
      </c>
      <c r="F58" s="7">
        <v>1493.326</v>
      </c>
      <c r="G58" s="7">
        <v>1466.9090000000001</v>
      </c>
      <c r="H58" s="7">
        <v>1457.3320000000001</v>
      </c>
      <c r="I58" s="7">
        <v>1714.1279999999999</v>
      </c>
      <c r="J58" s="7">
        <v>1271.4939999999999</v>
      </c>
      <c r="K58" s="7">
        <v>1250.712</v>
      </c>
      <c r="L58" s="7">
        <v>1270.252</v>
      </c>
      <c r="M58" s="7">
        <v>1368.433</v>
      </c>
      <c r="N58" s="7">
        <v>1464.443</v>
      </c>
      <c r="O58" s="7">
        <v>1492.0730000000001</v>
      </c>
      <c r="P58" s="7">
        <v>1491.0029999999999</v>
      </c>
      <c r="R58" s="5">
        <f t="shared" si="0"/>
        <v>1454.0943333333335</v>
      </c>
      <c r="S58" s="5">
        <f t="shared" si="1"/>
        <v>42.342490227358596</v>
      </c>
      <c r="U58" s="7">
        <v>60</v>
      </c>
      <c r="V58" s="7">
        <v>1441.9069999999999</v>
      </c>
      <c r="W58" s="7">
        <v>1333.2760000000001</v>
      </c>
      <c r="X58" s="7">
        <v>1280.1189999999999</v>
      </c>
      <c r="Y58" s="7">
        <v>1343.7280000000001</v>
      </c>
      <c r="Z58" s="7">
        <v>1513.425</v>
      </c>
      <c r="AA58" s="7">
        <v>1371.482</v>
      </c>
      <c r="AB58" s="7">
        <v>1548.163</v>
      </c>
      <c r="AC58" s="7">
        <v>1624.307</v>
      </c>
      <c r="AD58" s="7">
        <v>1660.5</v>
      </c>
      <c r="AE58" s="7">
        <v>1354.682</v>
      </c>
      <c r="AF58" s="7">
        <v>1569.83</v>
      </c>
      <c r="AG58" s="7">
        <v>1444.7629999999999</v>
      </c>
      <c r="AH58" s="7">
        <v>1639.8620000000001</v>
      </c>
      <c r="AI58" s="7">
        <v>1510.1310000000001</v>
      </c>
      <c r="AJ58" s="7">
        <v>1374.874</v>
      </c>
      <c r="AL58" s="6">
        <f t="shared" si="2"/>
        <v>1522.3686249999998</v>
      </c>
      <c r="AM58" s="6">
        <f t="shared" si="3"/>
        <v>42.589159722339097</v>
      </c>
    </row>
    <row r="59" spans="1:39" x14ac:dyDescent="0.2">
      <c r="A59" s="7">
        <v>61.25</v>
      </c>
      <c r="B59" s="7">
        <v>1178.55</v>
      </c>
      <c r="C59" s="7">
        <v>1384.3230000000001</v>
      </c>
      <c r="D59" s="7">
        <v>1623.9090000000001</v>
      </c>
      <c r="E59" s="7">
        <v>1687.5540000000001</v>
      </c>
      <c r="F59" s="7">
        <v>1452.5340000000001</v>
      </c>
      <c r="G59" s="7">
        <v>1422.49</v>
      </c>
      <c r="H59" s="7">
        <v>1404.8789999999999</v>
      </c>
      <c r="I59" s="7">
        <v>1654.6210000000001</v>
      </c>
      <c r="J59" s="7">
        <v>1231.8710000000001</v>
      </c>
      <c r="K59" s="7">
        <v>1207.25</v>
      </c>
      <c r="L59" s="7">
        <v>1227.0830000000001</v>
      </c>
      <c r="M59" s="7">
        <v>1327.1120000000001</v>
      </c>
      <c r="N59" s="7">
        <v>1417.675</v>
      </c>
      <c r="O59" s="7">
        <v>1437.712</v>
      </c>
      <c r="P59" s="7">
        <v>1441.35</v>
      </c>
      <c r="R59" s="5">
        <f t="shared" si="0"/>
        <v>1406.5941999999998</v>
      </c>
      <c r="S59" s="5">
        <f t="shared" si="1"/>
        <v>41.037424098963022</v>
      </c>
      <c r="U59" s="7">
        <v>61.25</v>
      </c>
      <c r="V59" s="7">
        <v>1390.865</v>
      </c>
      <c r="W59" s="7">
        <v>1295.3320000000001</v>
      </c>
      <c r="X59" s="7">
        <v>1246.537</v>
      </c>
      <c r="Y59" s="7">
        <v>1283.2829999999999</v>
      </c>
      <c r="Z59" s="7">
        <v>1465.8230000000001</v>
      </c>
      <c r="AA59" s="7">
        <v>1322.0509999999999</v>
      </c>
      <c r="AB59" s="7">
        <v>1488.5039999999999</v>
      </c>
      <c r="AC59" s="7">
        <v>1577.154</v>
      </c>
      <c r="AD59" s="7">
        <v>1608.173</v>
      </c>
      <c r="AE59" s="7">
        <v>1296.7090000000001</v>
      </c>
      <c r="AF59" s="7">
        <v>1524.0820000000001</v>
      </c>
      <c r="AG59" s="7">
        <v>1390.02</v>
      </c>
      <c r="AH59" s="7">
        <v>1587.3009999999999</v>
      </c>
      <c r="AI59" s="7">
        <v>1455.5840000000001</v>
      </c>
      <c r="AJ59" s="7">
        <v>1333.4860000000001</v>
      </c>
      <c r="AL59" s="6">
        <f t="shared" si="2"/>
        <v>1471.5636250000002</v>
      </c>
      <c r="AM59" s="6">
        <f t="shared" si="3"/>
        <v>42.784562035078501</v>
      </c>
    </row>
    <row r="60" spans="1:39" x14ac:dyDescent="0.2">
      <c r="A60" s="7">
        <v>62.5</v>
      </c>
      <c r="B60" s="7">
        <v>1160.2670000000001</v>
      </c>
      <c r="C60" s="7">
        <v>1361.569</v>
      </c>
      <c r="D60" s="7">
        <v>1601.3879999999999</v>
      </c>
      <c r="E60" s="7">
        <v>1646.587</v>
      </c>
      <c r="F60" s="7">
        <v>1429.124</v>
      </c>
      <c r="G60" s="7">
        <v>1398.7560000000001</v>
      </c>
      <c r="H60" s="7">
        <v>1374.3620000000001</v>
      </c>
      <c r="I60" s="7">
        <v>1619.038</v>
      </c>
      <c r="J60" s="7">
        <v>1207.2560000000001</v>
      </c>
      <c r="K60" s="7">
        <v>1184.7660000000001</v>
      </c>
      <c r="L60" s="7">
        <v>1196.8050000000001</v>
      </c>
      <c r="M60" s="7">
        <v>1321.211</v>
      </c>
      <c r="N60" s="7">
        <v>1389.633</v>
      </c>
      <c r="O60" s="7">
        <v>1404.4549999999999</v>
      </c>
      <c r="P60" s="7">
        <v>1409.201</v>
      </c>
      <c r="R60" s="5">
        <f t="shared" si="0"/>
        <v>1380.2945333333337</v>
      </c>
      <c r="S60" s="5">
        <f t="shared" si="1"/>
        <v>39.949675084662658</v>
      </c>
      <c r="U60" s="7">
        <v>62.5</v>
      </c>
      <c r="V60" s="7">
        <v>1371.806</v>
      </c>
      <c r="W60" s="7">
        <v>1269.453</v>
      </c>
      <c r="X60" s="7">
        <v>1228.0730000000001</v>
      </c>
      <c r="Y60" s="7">
        <v>1251.8440000000001</v>
      </c>
      <c r="Z60" s="7">
        <v>1439.1210000000001</v>
      </c>
      <c r="AA60" s="7">
        <v>1300.835</v>
      </c>
      <c r="AB60" s="7">
        <v>1462.1179999999999</v>
      </c>
      <c r="AC60" s="7">
        <v>1538.8340000000001</v>
      </c>
      <c r="AD60" s="7">
        <v>1574.7619999999999</v>
      </c>
      <c r="AE60" s="7">
        <v>1257.0029999999999</v>
      </c>
      <c r="AF60" s="7">
        <v>1491.1010000000001</v>
      </c>
      <c r="AG60" s="7">
        <v>1365.443</v>
      </c>
      <c r="AH60" s="7">
        <v>1565.694</v>
      </c>
      <c r="AI60" s="7">
        <v>1430.9010000000001</v>
      </c>
      <c r="AJ60" s="7">
        <v>1309.0920000000001</v>
      </c>
      <c r="AL60" s="6">
        <f t="shared" si="2"/>
        <v>1441.6037500000002</v>
      </c>
      <c r="AM60" s="6">
        <f t="shared" si="3"/>
        <v>42.800412724875009</v>
      </c>
    </row>
    <row r="61" spans="1:39" x14ac:dyDescent="0.2">
      <c r="A61" s="7">
        <v>63.75</v>
      </c>
      <c r="B61" s="7">
        <v>1143.48</v>
      </c>
      <c r="C61" s="7">
        <v>1357.0519999999999</v>
      </c>
      <c r="D61" s="7">
        <v>1584.124</v>
      </c>
      <c r="E61" s="7">
        <v>1625.33</v>
      </c>
      <c r="F61" s="7">
        <v>1414.443</v>
      </c>
      <c r="G61" s="7">
        <v>1377.9739999999999</v>
      </c>
      <c r="H61" s="7">
        <v>1351.424</v>
      </c>
      <c r="I61" s="7">
        <v>1603.521</v>
      </c>
      <c r="J61" s="7">
        <v>1198.4449999999999</v>
      </c>
      <c r="K61" s="7">
        <v>1164.18</v>
      </c>
      <c r="L61" s="7">
        <v>1168.8499999999999</v>
      </c>
      <c r="M61" s="7">
        <v>1309.175</v>
      </c>
      <c r="N61" s="7">
        <v>1377.2429999999999</v>
      </c>
      <c r="O61" s="7">
        <v>1388.3040000000001</v>
      </c>
      <c r="P61" s="7">
        <v>1390.6990000000001</v>
      </c>
      <c r="R61" s="5">
        <f t="shared" si="0"/>
        <v>1363.6162666666669</v>
      </c>
      <c r="S61" s="5">
        <f t="shared" si="1"/>
        <v>39.975945527334311</v>
      </c>
      <c r="U61" s="7">
        <v>63.75</v>
      </c>
      <c r="V61" s="7">
        <v>1366.1559999999999</v>
      </c>
      <c r="W61" s="7">
        <v>1261.1210000000001</v>
      </c>
      <c r="X61" s="7">
        <v>1200.7829999999999</v>
      </c>
      <c r="Y61" s="7">
        <v>1241.605</v>
      </c>
      <c r="Z61" s="7">
        <v>1425.0360000000001</v>
      </c>
      <c r="AA61" s="7">
        <v>1290.3979999999999</v>
      </c>
      <c r="AB61" s="7">
        <v>1452.319</v>
      </c>
      <c r="AC61" s="7">
        <v>1525.5930000000001</v>
      </c>
      <c r="AD61" s="7">
        <v>1548.7270000000001</v>
      </c>
      <c r="AE61" s="7">
        <v>1240.6420000000001</v>
      </c>
      <c r="AF61" s="7">
        <v>1473.43</v>
      </c>
      <c r="AG61" s="7">
        <v>1357.0070000000001</v>
      </c>
      <c r="AH61" s="7">
        <v>1543.4490000000001</v>
      </c>
      <c r="AI61" s="7">
        <v>1416.175</v>
      </c>
      <c r="AJ61" s="7">
        <v>1294.1669999999999</v>
      </c>
      <c r="AL61" s="6">
        <f t="shared" si="2"/>
        <v>1424.8987500000001</v>
      </c>
      <c r="AM61" s="6">
        <f t="shared" si="3"/>
        <v>41.749453673392978</v>
      </c>
    </row>
    <row r="62" spans="1:39" x14ac:dyDescent="0.2">
      <c r="A62" s="7">
        <v>65</v>
      </c>
      <c r="B62" s="7">
        <v>1135.2819999999999</v>
      </c>
      <c r="C62" s="7">
        <v>1346.866</v>
      </c>
      <c r="D62" s="7">
        <v>1577.914</v>
      </c>
      <c r="E62" s="7">
        <v>1617.1769999999999</v>
      </c>
      <c r="F62" s="7">
        <v>1407.913</v>
      </c>
      <c r="G62" s="7">
        <v>1365.7339999999999</v>
      </c>
      <c r="H62" s="7">
        <v>1337.654</v>
      </c>
      <c r="I62" s="7">
        <v>1579.808</v>
      </c>
      <c r="J62" s="7">
        <v>1204.8009999999999</v>
      </c>
      <c r="K62" s="7">
        <v>1156.364</v>
      </c>
      <c r="L62" s="7">
        <v>1149.98</v>
      </c>
      <c r="M62" s="7">
        <v>1306.239</v>
      </c>
      <c r="N62" s="7">
        <v>1378.4110000000001</v>
      </c>
      <c r="O62" s="7">
        <v>1382.4369999999999</v>
      </c>
      <c r="P62" s="7">
        <v>1382.9970000000001</v>
      </c>
      <c r="R62" s="5">
        <f t="shared" si="0"/>
        <v>1355.3051333333335</v>
      </c>
      <c r="S62" s="5">
        <f t="shared" si="1"/>
        <v>39.583200623239904</v>
      </c>
      <c r="U62" s="7">
        <v>65</v>
      </c>
      <c r="V62" s="7">
        <v>1360.854</v>
      </c>
      <c r="W62" s="7">
        <v>1254.595</v>
      </c>
      <c r="X62" s="7">
        <v>1195.296</v>
      </c>
      <c r="Y62" s="7">
        <v>1229.6759999999999</v>
      </c>
      <c r="Z62" s="7">
        <v>1416.404</v>
      </c>
      <c r="AA62" s="7">
        <v>1285.7380000000001</v>
      </c>
      <c r="AB62" s="7">
        <v>1446.0909999999999</v>
      </c>
      <c r="AC62" s="7">
        <v>1524.306</v>
      </c>
      <c r="AD62" s="7">
        <v>1534.2090000000001</v>
      </c>
      <c r="AE62" s="7">
        <v>1224.0540000000001</v>
      </c>
      <c r="AF62" s="7">
        <v>1471.2080000000001</v>
      </c>
      <c r="AG62" s="7">
        <v>1344.6079999999999</v>
      </c>
      <c r="AH62" s="7">
        <v>1534.6410000000001</v>
      </c>
      <c r="AI62" s="7">
        <v>1412.4690000000001</v>
      </c>
      <c r="AJ62" s="7">
        <v>1297.2370000000001</v>
      </c>
      <c r="AL62" s="6">
        <f t="shared" si="2"/>
        <v>1417.8415</v>
      </c>
      <c r="AM62" s="6">
        <f t="shared" si="3"/>
        <v>42.01556709678313</v>
      </c>
    </row>
    <row r="63" spans="1:39" x14ac:dyDescent="0.2">
      <c r="A63" s="7">
        <v>66.25</v>
      </c>
      <c r="B63" s="7">
        <v>1132.2940000000001</v>
      </c>
      <c r="C63" s="7">
        <v>1349.5340000000001</v>
      </c>
      <c r="D63" s="7">
        <v>1572.547</v>
      </c>
      <c r="E63" s="7">
        <v>1605.3389999999999</v>
      </c>
      <c r="F63" s="7">
        <v>1417.6569999999999</v>
      </c>
      <c r="G63" s="7">
        <v>1368.5920000000001</v>
      </c>
      <c r="H63" s="7">
        <v>1332.0350000000001</v>
      </c>
      <c r="I63" s="7">
        <v>1575.65</v>
      </c>
      <c r="J63" s="7">
        <v>1202.0060000000001</v>
      </c>
      <c r="K63" s="7">
        <v>1148.7629999999999</v>
      </c>
      <c r="L63" s="7">
        <v>1131.5360000000001</v>
      </c>
      <c r="M63" s="7">
        <v>1322.4079999999999</v>
      </c>
      <c r="N63" s="7">
        <v>1380.4580000000001</v>
      </c>
      <c r="O63" s="7">
        <v>1379.175</v>
      </c>
      <c r="P63" s="7">
        <v>1373.2819999999999</v>
      </c>
      <c r="R63" s="5">
        <f t="shared" si="0"/>
        <v>1352.751733333333</v>
      </c>
      <c r="S63" s="5">
        <f t="shared" si="1"/>
        <v>39.723977459521251</v>
      </c>
      <c r="U63" s="7">
        <v>66.25</v>
      </c>
      <c r="V63" s="7">
        <v>1369.529</v>
      </c>
      <c r="W63" s="7">
        <v>1255.8679999999999</v>
      </c>
      <c r="X63" s="7">
        <v>1196.673</v>
      </c>
      <c r="Y63" s="7">
        <v>1220.7070000000001</v>
      </c>
      <c r="Z63" s="7">
        <v>1412.2840000000001</v>
      </c>
      <c r="AA63" s="7">
        <v>1275.8399999999999</v>
      </c>
      <c r="AB63" s="7">
        <v>1450.74</v>
      </c>
      <c r="AC63" s="7">
        <v>1520.191</v>
      </c>
      <c r="AD63" s="7">
        <v>1529.354</v>
      </c>
      <c r="AE63" s="7">
        <v>1221.616</v>
      </c>
      <c r="AF63" s="7">
        <v>1467.7929999999999</v>
      </c>
      <c r="AG63" s="7">
        <v>1350.6969999999999</v>
      </c>
      <c r="AH63" s="7">
        <v>1536.7429999999999</v>
      </c>
      <c r="AI63" s="7">
        <v>1411.729</v>
      </c>
      <c r="AJ63" s="7">
        <v>1297.9469999999999</v>
      </c>
      <c r="AL63" s="6">
        <f t="shared" si="2"/>
        <v>1417.00875</v>
      </c>
      <c r="AM63" s="6">
        <f t="shared" si="3"/>
        <v>41.610977603250497</v>
      </c>
    </row>
    <row r="64" spans="1:39" x14ac:dyDescent="0.2">
      <c r="A64" s="7">
        <v>67.5</v>
      </c>
      <c r="B64" s="7">
        <v>1133.258</v>
      </c>
      <c r="C64" s="7">
        <v>1354.521</v>
      </c>
      <c r="D64" s="7">
        <v>1575.8979999999999</v>
      </c>
      <c r="E64" s="7">
        <v>1591.1410000000001</v>
      </c>
      <c r="F64" s="7">
        <v>1435.8420000000001</v>
      </c>
      <c r="G64" s="7">
        <v>1368.905</v>
      </c>
      <c r="H64" s="7">
        <v>1331.4639999999999</v>
      </c>
      <c r="I64" s="7">
        <v>1569.7560000000001</v>
      </c>
      <c r="J64" s="7">
        <v>1207.5219999999999</v>
      </c>
      <c r="K64" s="7">
        <v>1147.29</v>
      </c>
      <c r="L64" s="7">
        <v>1118.078</v>
      </c>
      <c r="M64" s="7">
        <v>1335.4670000000001</v>
      </c>
      <c r="N64" s="7">
        <v>1389.261</v>
      </c>
      <c r="O64" s="7">
        <v>1378.0419999999999</v>
      </c>
      <c r="P64" s="7">
        <v>1369.8130000000001</v>
      </c>
      <c r="R64" s="5">
        <f t="shared" si="0"/>
        <v>1353.7505333333334</v>
      </c>
      <c r="S64" s="5">
        <f t="shared" si="1"/>
        <v>39.667585256534238</v>
      </c>
      <c r="U64" s="7">
        <v>67.5</v>
      </c>
      <c r="V64" s="7">
        <v>1368.6790000000001</v>
      </c>
      <c r="W64" s="7">
        <v>1257.2460000000001</v>
      </c>
      <c r="X64" s="7">
        <v>1194.0940000000001</v>
      </c>
      <c r="Y64" s="7">
        <v>1213.742</v>
      </c>
      <c r="Z64" s="7">
        <v>1421.4269999999999</v>
      </c>
      <c r="AA64" s="7">
        <v>1284.934</v>
      </c>
      <c r="AB64" s="7">
        <v>1449.5039999999999</v>
      </c>
      <c r="AC64" s="7">
        <v>1522.364</v>
      </c>
      <c r="AD64" s="7">
        <v>1533.6569999999999</v>
      </c>
      <c r="AE64" s="7">
        <v>1221.3879999999999</v>
      </c>
      <c r="AF64" s="7">
        <v>1470.9159999999999</v>
      </c>
      <c r="AG64" s="7">
        <v>1362.9760000000001</v>
      </c>
      <c r="AH64" s="7">
        <v>1546.8389999999999</v>
      </c>
      <c r="AI64" s="7">
        <v>1417.5740000000001</v>
      </c>
      <c r="AJ64" s="7">
        <v>1306.0129999999999</v>
      </c>
      <c r="AL64" s="6">
        <f t="shared" si="2"/>
        <v>1422.7158749999999</v>
      </c>
      <c r="AM64" s="6">
        <f t="shared" si="3"/>
        <v>41.772181889830136</v>
      </c>
    </row>
    <row r="65" spans="1:39" x14ac:dyDescent="0.2">
      <c r="A65" s="7">
        <v>68.75</v>
      </c>
      <c r="B65" s="7">
        <v>1138.932</v>
      </c>
      <c r="C65" s="7">
        <v>1365.1510000000001</v>
      </c>
      <c r="D65" s="7">
        <v>1584.451</v>
      </c>
      <c r="E65" s="7">
        <v>1574.0139999999999</v>
      </c>
      <c r="F65" s="7">
        <v>1446.818</v>
      </c>
      <c r="G65" s="7">
        <v>1374.6130000000001</v>
      </c>
      <c r="H65" s="7">
        <v>1330.44</v>
      </c>
      <c r="I65" s="7">
        <v>1561.3430000000001</v>
      </c>
      <c r="J65" s="7">
        <v>1227.915</v>
      </c>
      <c r="K65" s="7">
        <v>1155.7439999999999</v>
      </c>
      <c r="L65" s="7">
        <v>1096.4280000000001</v>
      </c>
      <c r="M65" s="7">
        <v>1361.9680000000001</v>
      </c>
      <c r="N65" s="7">
        <v>1408.7</v>
      </c>
      <c r="O65" s="7">
        <v>1391.509</v>
      </c>
      <c r="P65" s="7">
        <v>1368.2260000000001</v>
      </c>
      <c r="R65" s="5">
        <f t="shared" si="0"/>
        <v>1359.0834666666665</v>
      </c>
      <c r="S65" s="5">
        <f t="shared" si="1"/>
        <v>39.418520290035197</v>
      </c>
      <c r="U65" s="7">
        <v>68.75</v>
      </c>
      <c r="V65" s="7">
        <v>1380.204</v>
      </c>
      <c r="W65" s="7">
        <v>1270.5429999999999</v>
      </c>
      <c r="X65" s="7">
        <v>1192.097</v>
      </c>
      <c r="Y65" s="7">
        <v>1209.6420000000001</v>
      </c>
      <c r="Z65" s="7">
        <v>1439.865</v>
      </c>
      <c r="AA65" s="7">
        <v>1304.4190000000001</v>
      </c>
      <c r="AB65" s="7">
        <v>1463.123</v>
      </c>
      <c r="AC65" s="7">
        <v>1531.829</v>
      </c>
      <c r="AD65" s="7">
        <v>1534.3430000000001</v>
      </c>
      <c r="AE65" s="7">
        <v>1228.7539999999999</v>
      </c>
      <c r="AF65" s="7">
        <v>1480.162</v>
      </c>
      <c r="AG65" s="7">
        <v>1371.269</v>
      </c>
      <c r="AH65" s="7">
        <v>1562.41</v>
      </c>
      <c r="AI65" s="7">
        <v>1425.8979999999999</v>
      </c>
      <c r="AJ65" s="7">
        <v>1321.154</v>
      </c>
      <c r="AL65" s="6">
        <f t="shared" si="2"/>
        <v>1431.9773749999999</v>
      </c>
      <c r="AM65" s="6">
        <f t="shared" si="3"/>
        <v>41.637792357740821</v>
      </c>
    </row>
    <row r="66" spans="1:39" x14ac:dyDescent="0.2">
      <c r="A66" s="7">
        <v>70</v>
      </c>
      <c r="B66" s="7">
        <v>1142.4179999999999</v>
      </c>
      <c r="C66" s="7">
        <v>1375.713</v>
      </c>
      <c r="D66" s="7">
        <v>1592.087</v>
      </c>
      <c r="E66" s="7">
        <v>1544.5530000000001</v>
      </c>
      <c r="F66" s="7">
        <v>1457.21</v>
      </c>
      <c r="G66" s="7">
        <v>1385.12</v>
      </c>
      <c r="H66" s="7">
        <v>1318.7729999999999</v>
      </c>
      <c r="I66" s="7">
        <v>1550.7070000000001</v>
      </c>
      <c r="J66" s="7">
        <v>1238.905</v>
      </c>
      <c r="K66" s="7">
        <v>1156.7729999999999</v>
      </c>
      <c r="L66" s="7">
        <v>1071.27</v>
      </c>
      <c r="M66" s="7">
        <v>1374.5060000000001</v>
      </c>
      <c r="N66" s="7">
        <v>1423.424</v>
      </c>
      <c r="O66" s="7">
        <v>1396.7660000000001</v>
      </c>
      <c r="P66" s="7">
        <v>1365.04</v>
      </c>
      <c r="R66" s="5">
        <f t="shared" si="0"/>
        <v>1359.5509999999999</v>
      </c>
      <c r="S66" s="5">
        <f t="shared" si="1"/>
        <v>39.557071726810406</v>
      </c>
      <c r="U66" s="7">
        <v>70</v>
      </c>
      <c r="V66" s="7">
        <v>1391.076</v>
      </c>
      <c r="W66" s="7">
        <v>1275.9090000000001</v>
      </c>
      <c r="X66" s="7">
        <v>1199.191</v>
      </c>
      <c r="Y66" s="7">
        <v>1204.33</v>
      </c>
      <c r="Z66" s="7">
        <v>1450.508</v>
      </c>
      <c r="AA66" s="7">
        <v>1310.877</v>
      </c>
      <c r="AB66" s="7">
        <v>1472.865</v>
      </c>
      <c r="AC66" s="7">
        <v>1532.836</v>
      </c>
      <c r="AD66" s="7">
        <v>1534.3219999999999</v>
      </c>
      <c r="AE66" s="7">
        <v>1218.903</v>
      </c>
      <c r="AF66" s="7">
        <v>1488.9090000000001</v>
      </c>
      <c r="AG66" s="7">
        <v>1370.883</v>
      </c>
      <c r="AH66" s="7">
        <v>1561.473</v>
      </c>
      <c r="AI66" s="7">
        <v>1427.2239999999999</v>
      </c>
      <c r="AJ66" s="7">
        <v>1321.3679999999999</v>
      </c>
      <c r="AL66" s="6">
        <f t="shared" si="2"/>
        <v>1431.98975</v>
      </c>
      <c r="AM66" s="6">
        <f t="shared" si="3"/>
        <v>42.688123651060302</v>
      </c>
    </row>
    <row r="67" spans="1:39" x14ac:dyDescent="0.2">
      <c r="A67" s="7">
        <v>71.25</v>
      </c>
      <c r="B67" s="7">
        <v>1133.3430000000001</v>
      </c>
      <c r="C67" s="7">
        <v>1367.7760000000001</v>
      </c>
      <c r="D67" s="7">
        <v>1582.7280000000001</v>
      </c>
      <c r="E67" s="7">
        <v>1526.4570000000001</v>
      </c>
      <c r="F67" s="7">
        <v>1460.7650000000001</v>
      </c>
      <c r="G67" s="7">
        <v>1383.123</v>
      </c>
      <c r="H67" s="7">
        <v>1301.5719999999999</v>
      </c>
      <c r="I67" s="7">
        <v>1533.442</v>
      </c>
      <c r="J67" s="7">
        <v>1232.569</v>
      </c>
      <c r="K67" s="7">
        <v>1145.396</v>
      </c>
      <c r="L67" s="7">
        <v>1059.146</v>
      </c>
      <c r="M67" s="7">
        <v>1364.9069999999999</v>
      </c>
      <c r="N67" s="7">
        <v>1414.241</v>
      </c>
      <c r="O67" s="7">
        <v>1382.1980000000001</v>
      </c>
      <c r="P67" s="7">
        <v>1351.6289999999999</v>
      </c>
      <c r="R67" s="5">
        <f t="shared" si="0"/>
        <v>1349.2861333333337</v>
      </c>
      <c r="S67" s="5">
        <f t="shared" si="1"/>
        <v>39.493677911409094</v>
      </c>
      <c r="U67" s="7">
        <v>71.25</v>
      </c>
      <c r="V67" s="7">
        <v>1387.597</v>
      </c>
      <c r="W67" s="7">
        <v>1269.0519999999999</v>
      </c>
      <c r="X67" s="7">
        <v>1184.279</v>
      </c>
      <c r="Y67" s="7">
        <v>1190.145</v>
      </c>
      <c r="Z67" s="7">
        <v>1439.711</v>
      </c>
      <c r="AA67" s="7">
        <v>1298.3789999999999</v>
      </c>
      <c r="AB67" s="7">
        <v>1469.825</v>
      </c>
      <c r="AC67" s="7">
        <v>1520.885</v>
      </c>
      <c r="AD67" s="7">
        <v>1519.973</v>
      </c>
      <c r="AE67" s="7">
        <v>1198.7909999999999</v>
      </c>
      <c r="AF67" s="7">
        <v>1478.2739999999999</v>
      </c>
      <c r="AG67" s="7">
        <v>1364.7550000000001</v>
      </c>
      <c r="AH67" s="7">
        <v>1549.096</v>
      </c>
      <c r="AI67" s="7">
        <v>1420.6859999999999</v>
      </c>
      <c r="AJ67" s="7">
        <v>1323.0050000000001</v>
      </c>
      <c r="AL67" s="6">
        <f t="shared" si="2"/>
        <v>1421.933125</v>
      </c>
      <c r="AM67" s="6">
        <f t="shared" si="3"/>
        <v>42.594025569253205</v>
      </c>
    </row>
    <row r="68" spans="1:39" x14ac:dyDescent="0.2">
      <c r="A68" s="7">
        <v>72.5</v>
      </c>
      <c r="B68" s="7">
        <v>1117.33</v>
      </c>
      <c r="C68" s="7">
        <v>1355.7750000000001</v>
      </c>
      <c r="D68" s="7">
        <v>1567.211</v>
      </c>
      <c r="E68" s="7">
        <v>1516.107</v>
      </c>
      <c r="F68" s="7">
        <v>1440.963</v>
      </c>
      <c r="G68" s="7">
        <v>1372.1279999999999</v>
      </c>
      <c r="H68" s="7">
        <v>1279.028</v>
      </c>
      <c r="I68" s="7">
        <v>1502.0989999999999</v>
      </c>
      <c r="J68" s="7">
        <v>1215.8879999999999</v>
      </c>
      <c r="K68" s="7">
        <v>1131.8689999999999</v>
      </c>
      <c r="L68" s="7">
        <v>1040.6110000000001</v>
      </c>
      <c r="M68" s="7">
        <v>1351.2670000000001</v>
      </c>
      <c r="N68" s="7">
        <v>1392.7850000000001</v>
      </c>
      <c r="O68" s="7">
        <v>1360.095</v>
      </c>
      <c r="P68" s="7">
        <v>1331.825</v>
      </c>
      <c r="R68" s="5">
        <f t="shared" si="0"/>
        <v>1331.6654000000003</v>
      </c>
      <c r="S68" s="5">
        <f t="shared" si="1"/>
        <v>39.302649411821321</v>
      </c>
      <c r="U68" s="7">
        <v>72.5</v>
      </c>
      <c r="V68" s="7">
        <v>1367.7940000000001</v>
      </c>
      <c r="W68" s="7">
        <v>1252.527</v>
      </c>
      <c r="X68" s="7">
        <v>1163.1310000000001</v>
      </c>
      <c r="Y68" s="7">
        <v>1175.1089999999999</v>
      </c>
      <c r="Z68" s="7">
        <v>1413.884</v>
      </c>
      <c r="AA68" s="7">
        <v>1282.625</v>
      </c>
      <c r="AB68" s="7">
        <v>1449.8389999999999</v>
      </c>
      <c r="AC68" s="7">
        <v>1502.329</v>
      </c>
      <c r="AD68" s="7">
        <v>1500.8720000000001</v>
      </c>
      <c r="AE68" s="7">
        <v>1171.3489999999999</v>
      </c>
      <c r="AF68" s="7">
        <v>1462.4280000000001</v>
      </c>
      <c r="AG68" s="7">
        <v>1350.422</v>
      </c>
      <c r="AH68" s="7">
        <v>1535.8050000000001</v>
      </c>
      <c r="AI68" s="7">
        <v>1400.241</v>
      </c>
      <c r="AJ68" s="7">
        <v>1311.14</v>
      </c>
      <c r="AL68" s="6">
        <f t="shared" si="2"/>
        <v>1404.3232499999999</v>
      </c>
      <c r="AM68" s="6">
        <f t="shared" si="3"/>
        <v>43.398594750846648</v>
      </c>
    </row>
    <row r="69" spans="1:39" x14ac:dyDescent="0.2">
      <c r="A69" s="7">
        <v>73.75</v>
      </c>
      <c r="B69" s="7">
        <v>1097.4079999999999</v>
      </c>
      <c r="C69" s="7">
        <v>1345.029</v>
      </c>
      <c r="D69" s="7">
        <v>1551.569</v>
      </c>
      <c r="E69" s="7">
        <v>1540.1</v>
      </c>
      <c r="F69" s="7">
        <v>1424.8240000000001</v>
      </c>
      <c r="G69" s="7">
        <v>1356.9469999999999</v>
      </c>
      <c r="H69" s="7">
        <v>1258.1990000000001</v>
      </c>
      <c r="I69" s="7">
        <v>1484.4559999999999</v>
      </c>
      <c r="J69" s="7">
        <v>1198.528</v>
      </c>
      <c r="K69" s="7">
        <v>1119.08</v>
      </c>
      <c r="L69" s="7">
        <v>1035.4870000000001</v>
      </c>
      <c r="M69" s="7">
        <v>1360.69</v>
      </c>
      <c r="N69" s="7">
        <v>1379.038</v>
      </c>
      <c r="O69" s="7">
        <v>1344.3019999999999</v>
      </c>
      <c r="P69" s="7">
        <v>1314.356</v>
      </c>
      <c r="R69" s="5">
        <f t="shared" ref="R69:R96" si="4">AVERAGE(B69:P69)</f>
        <v>1320.6675333333333</v>
      </c>
      <c r="S69" s="5">
        <f t="shared" ref="S69:S96" si="5">STDEV(B69:P69)/SQRT(COUNT(B69:P69))</f>
        <v>40.076653470552039</v>
      </c>
      <c r="U69" s="7">
        <v>73.75</v>
      </c>
      <c r="V69" s="7">
        <v>1353.546</v>
      </c>
      <c r="W69" s="7">
        <v>1238.4280000000001</v>
      </c>
      <c r="X69" s="7">
        <v>1144.7539999999999</v>
      </c>
      <c r="Y69" s="7">
        <v>1165.8150000000001</v>
      </c>
      <c r="Z69" s="7">
        <v>1391.1079999999999</v>
      </c>
      <c r="AA69" s="7">
        <v>1273.038</v>
      </c>
      <c r="AB69" s="7">
        <v>1435.8330000000001</v>
      </c>
      <c r="AC69" s="7">
        <v>1488.222</v>
      </c>
      <c r="AD69" s="7">
        <v>1476.9390000000001</v>
      </c>
      <c r="AE69" s="7">
        <v>1159.422</v>
      </c>
      <c r="AF69" s="7">
        <v>1448.0909999999999</v>
      </c>
      <c r="AG69" s="7">
        <v>1342.174</v>
      </c>
      <c r="AH69" s="7">
        <v>1517.904</v>
      </c>
      <c r="AI69" s="7">
        <v>1381.653</v>
      </c>
      <c r="AJ69" s="7">
        <v>1295.9829999999999</v>
      </c>
      <c r="AL69" s="6">
        <f t="shared" ref="AL69:AL96" si="6">AVERAGE(AC69:AJ69)</f>
        <v>1388.7985000000001</v>
      </c>
      <c r="AM69" s="6">
        <f t="shared" ref="AM69:AM96" si="7">STDEV(AC69:AJ69)/SQRT(COUNT(AC69:AJ69))</f>
        <v>42.529571380645592</v>
      </c>
    </row>
    <row r="70" spans="1:39" x14ac:dyDescent="0.2">
      <c r="A70" s="7">
        <v>75</v>
      </c>
      <c r="B70" s="7">
        <v>1119.078</v>
      </c>
      <c r="C70" s="7">
        <v>1375.5509999999999</v>
      </c>
      <c r="D70" s="7">
        <v>1574.2090000000001</v>
      </c>
      <c r="E70" s="7">
        <v>1609.62</v>
      </c>
      <c r="F70" s="7">
        <v>1450.0989999999999</v>
      </c>
      <c r="G70" s="7">
        <v>1378.74</v>
      </c>
      <c r="H70" s="7">
        <v>1292.3969999999999</v>
      </c>
      <c r="I70" s="7">
        <v>1526.17</v>
      </c>
      <c r="J70" s="7">
        <v>1229.903</v>
      </c>
      <c r="K70" s="7">
        <v>1135.4090000000001</v>
      </c>
      <c r="L70" s="7">
        <v>1062.6890000000001</v>
      </c>
      <c r="M70" s="7">
        <v>1407.694</v>
      </c>
      <c r="N70" s="7">
        <v>1409.191</v>
      </c>
      <c r="O70" s="7">
        <v>1363.4839999999999</v>
      </c>
      <c r="P70" s="7">
        <v>1345.008</v>
      </c>
      <c r="R70" s="5">
        <f t="shared" si="4"/>
        <v>1351.9494666666667</v>
      </c>
      <c r="S70" s="5">
        <f t="shared" si="5"/>
        <v>41.796098998859897</v>
      </c>
      <c r="U70" s="7">
        <v>75</v>
      </c>
      <c r="V70" s="7">
        <v>1382.2059999999999</v>
      </c>
      <c r="W70" s="7">
        <v>1256.9390000000001</v>
      </c>
      <c r="X70" s="7">
        <v>1173.9390000000001</v>
      </c>
      <c r="Y70" s="7">
        <v>1193.9970000000001</v>
      </c>
      <c r="Z70" s="7">
        <v>1415.7460000000001</v>
      </c>
      <c r="AA70" s="7">
        <v>1299.654</v>
      </c>
      <c r="AB70" s="7">
        <v>1466.21</v>
      </c>
      <c r="AC70" s="7">
        <v>1523.144</v>
      </c>
      <c r="AD70" s="7">
        <v>1513.53</v>
      </c>
      <c r="AE70" s="7">
        <v>1186.3610000000001</v>
      </c>
      <c r="AF70" s="7">
        <v>1471.087</v>
      </c>
      <c r="AG70" s="7">
        <v>1380.3420000000001</v>
      </c>
      <c r="AH70" s="7">
        <v>1544.74</v>
      </c>
      <c r="AI70" s="7">
        <v>1410.0070000000001</v>
      </c>
      <c r="AJ70" s="7">
        <v>1330.3620000000001</v>
      </c>
      <c r="AL70" s="6">
        <f t="shared" si="6"/>
        <v>1419.946625</v>
      </c>
      <c r="AM70" s="6">
        <f t="shared" si="7"/>
        <v>42.647065380506483</v>
      </c>
    </row>
    <row r="71" spans="1:39" x14ac:dyDescent="0.2">
      <c r="A71" s="7">
        <v>76.25</v>
      </c>
      <c r="B71" s="7">
        <v>1222.8869999999999</v>
      </c>
      <c r="C71" s="7">
        <v>1494.6289999999999</v>
      </c>
      <c r="D71" s="7">
        <v>1693.598</v>
      </c>
      <c r="E71" s="7">
        <v>1698.7380000000001</v>
      </c>
      <c r="F71" s="7">
        <v>1557.6610000000001</v>
      </c>
      <c r="G71" s="7">
        <v>1496.2809999999999</v>
      </c>
      <c r="H71" s="7">
        <v>1393.4349999999999</v>
      </c>
      <c r="I71" s="7">
        <v>1634.999</v>
      </c>
      <c r="J71" s="7">
        <v>1330.527</v>
      </c>
      <c r="K71" s="7">
        <v>1241.6379999999999</v>
      </c>
      <c r="L71" s="7">
        <v>1161.798</v>
      </c>
      <c r="M71" s="7">
        <v>1488.3710000000001</v>
      </c>
      <c r="N71" s="7">
        <v>1518.6389999999999</v>
      </c>
      <c r="O71" s="7">
        <v>1483.106</v>
      </c>
      <c r="P71" s="7">
        <v>1471.047</v>
      </c>
      <c r="R71" s="5">
        <f t="shared" si="4"/>
        <v>1459.1569333333332</v>
      </c>
      <c r="S71" s="5">
        <f t="shared" si="5"/>
        <v>42.153545483203146</v>
      </c>
      <c r="U71" s="7">
        <v>76.25</v>
      </c>
      <c r="V71" s="7">
        <v>1484.62</v>
      </c>
      <c r="W71" s="7">
        <v>1363.7429999999999</v>
      </c>
      <c r="X71" s="7">
        <v>1287.7139999999999</v>
      </c>
      <c r="Y71" s="7">
        <v>1314.1990000000001</v>
      </c>
      <c r="Z71" s="7">
        <v>1545.99</v>
      </c>
      <c r="AA71" s="7">
        <v>1401.4380000000001</v>
      </c>
      <c r="AB71" s="7">
        <v>1590.5170000000001</v>
      </c>
      <c r="AC71" s="7">
        <v>1658.2829999999999</v>
      </c>
      <c r="AD71" s="7">
        <v>1657.4179999999999</v>
      </c>
      <c r="AE71" s="7">
        <v>1307.0029999999999</v>
      </c>
      <c r="AF71" s="7">
        <v>1608.2070000000001</v>
      </c>
      <c r="AG71" s="7">
        <v>1484.9870000000001</v>
      </c>
      <c r="AH71" s="7">
        <v>1678.087</v>
      </c>
      <c r="AI71" s="7">
        <v>1534.2159999999999</v>
      </c>
      <c r="AJ71" s="7">
        <v>1437.0889999999999</v>
      </c>
      <c r="AL71" s="6">
        <f t="shared" si="6"/>
        <v>1545.6612500000001</v>
      </c>
      <c r="AM71" s="6">
        <f t="shared" si="7"/>
        <v>46.132540416078008</v>
      </c>
    </row>
    <row r="72" spans="1:39" x14ac:dyDescent="0.2">
      <c r="A72" s="7">
        <v>77.5</v>
      </c>
      <c r="B72" s="7">
        <v>1279.664</v>
      </c>
      <c r="C72" s="7">
        <v>1553.7570000000001</v>
      </c>
      <c r="D72" s="7">
        <v>1760.876</v>
      </c>
      <c r="E72" s="7">
        <v>1708.4829999999999</v>
      </c>
      <c r="F72" s="7">
        <v>1626.231</v>
      </c>
      <c r="G72" s="7">
        <v>1562.443</v>
      </c>
      <c r="H72" s="7">
        <v>1445.8209999999999</v>
      </c>
      <c r="I72" s="7">
        <v>1705.2170000000001</v>
      </c>
      <c r="J72" s="7">
        <v>1387.538</v>
      </c>
      <c r="K72" s="7">
        <v>1299.396</v>
      </c>
      <c r="L72" s="7">
        <v>1229.4010000000001</v>
      </c>
      <c r="M72" s="7">
        <v>1518.3789999999999</v>
      </c>
      <c r="N72" s="7">
        <v>1578.7840000000001</v>
      </c>
      <c r="O72" s="7">
        <v>1554.511</v>
      </c>
      <c r="P72" s="7">
        <v>1556.848</v>
      </c>
      <c r="R72" s="5">
        <f t="shared" si="4"/>
        <v>1517.8232666666668</v>
      </c>
      <c r="S72" s="5">
        <f t="shared" si="5"/>
        <v>41.515246448511348</v>
      </c>
      <c r="U72" s="7">
        <v>77.5</v>
      </c>
      <c r="V72" s="7">
        <v>1545.1769999999999</v>
      </c>
      <c r="W72" s="7">
        <v>1427.4259999999999</v>
      </c>
      <c r="X72" s="7">
        <v>1347.934</v>
      </c>
      <c r="Y72" s="7">
        <v>1384.9749999999999</v>
      </c>
      <c r="Z72" s="7">
        <v>1624.403</v>
      </c>
      <c r="AA72" s="7">
        <v>1464.9549999999999</v>
      </c>
      <c r="AB72" s="7">
        <v>1667.201</v>
      </c>
      <c r="AC72" s="7">
        <v>1734.4780000000001</v>
      </c>
      <c r="AD72" s="7">
        <v>1747.0039999999999</v>
      </c>
      <c r="AE72" s="7">
        <v>1381.4649999999999</v>
      </c>
      <c r="AF72" s="7">
        <v>1683.181</v>
      </c>
      <c r="AG72" s="7">
        <v>1550.846</v>
      </c>
      <c r="AH72" s="7">
        <v>1767.356</v>
      </c>
      <c r="AI72" s="7">
        <v>1602.8520000000001</v>
      </c>
      <c r="AJ72" s="7">
        <v>1508.817</v>
      </c>
      <c r="AL72" s="6">
        <f t="shared" si="6"/>
        <v>1621.999875</v>
      </c>
      <c r="AM72" s="6">
        <f t="shared" si="7"/>
        <v>48.041239228633238</v>
      </c>
    </row>
    <row r="73" spans="1:39" x14ac:dyDescent="0.2">
      <c r="A73" s="7">
        <v>78.75</v>
      </c>
      <c r="B73" s="7">
        <v>1242.182</v>
      </c>
      <c r="C73" s="7">
        <v>1518.8889999999999</v>
      </c>
      <c r="D73" s="7">
        <v>1724.2380000000001</v>
      </c>
      <c r="E73" s="7">
        <v>1716.84</v>
      </c>
      <c r="F73" s="7">
        <v>1594.9090000000001</v>
      </c>
      <c r="G73" s="7">
        <v>1531.8150000000001</v>
      </c>
      <c r="H73" s="7">
        <v>1410.5350000000001</v>
      </c>
      <c r="I73" s="7">
        <v>1666.2919999999999</v>
      </c>
      <c r="J73" s="7">
        <v>1354.578</v>
      </c>
      <c r="K73" s="7">
        <v>1268.546</v>
      </c>
      <c r="L73" s="7">
        <v>1187.779</v>
      </c>
      <c r="M73" s="7">
        <v>1544.1220000000001</v>
      </c>
      <c r="N73" s="7">
        <v>1546.319</v>
      </c>
      <c r="O73" s="7">
        <v>1515.223</v>
      </c>
      <c r="P73" s="7">
        <v>1514.4259999999999</v>
      </c>
      <c r="R73" s="5">
        <f t="shared" si="4"/>
        <v>1489.1128666666666</v>
      </c>
      <c r="S73" s="5">
        <f t="shared" si="5"/>
        <v>42.804131948509273</v>
      </c>
      <c r="U73" s="7">
        <v>78.75</v>
      </c>
      <c r="V73" s="7">
        <v>1514.5429999999999</v>
      </c>
      <c r="W73" s="7">
        <v>1384.8720000000001</v>
      </c>
      <c r="X73" s="7">
        <v>1314.941</v>
      </c>
      <c r="Y73" s="7">
        <v>1350.854</v>
      </c>
      <c r="Z73" s="7">
        <v>1581.434</v>
      </c>
      <c r="AA73" s="7">
        <v>1440.874</v>
      </c>
      <c r="AB73" s="7">
        <v>1633.2339999999999</v>
      </c>
      <c r="AC73" s="7">
        <v>1693.3209999999999</v>
      </c>
      <c r="AD73" s="7">
        <v>1706.991</v>
      </c>
      <c r="AE73" s="7">
        <v>1337.0440000000001</v>
      </c>
      <c r="AF73" s="7">
        <v>1648.471</v>
      </c>
      <c r="AG73" s="7">
        <v>1521.915</v>
      </c>
      <c r="AH73" s="7">
        <v>1731.7180000000001</v>
      </c>
      <c r="AI73" s="7">
        <v>1565.9939999999999</v>
      </c>
      <c r="AJ73" s="7">
        <v>1482.4259999999999</v>
      </c>
      <c r="AL73" s="6">
        <f t="shared" si="6"/>
        <v>1585.9849999999999</v>
      </c>
      <c r="AM73" s="6">
        <f t="shared" si="7"/>
        <v>47.903692327120545</v>
      </c>
    </row>
    <row r="74" spans="1:39" x14ac:dyDescent="0.2">
      <c r="A74" s="7">
        <v>80</v>
      </c>
      <c r="B74" s="7">
        <v>1200.982</v>
      </c>
      <c r="C74" s="7">
        <v>1483.5</v>
      </c>
      <c r="D74" s="7">
        <v>1681.771</v>
      </c>
      <c r="E74" s="7">
        <v>1831.548</v>
      </c>
      <c r="F74" s="7">
        <v>1562.7639999999999</v>
      </c>
      <c r="G74" s="7">
        <v>1514.069</v>
      </c>
      <c r="H74" s="7">
        <v>1364.473</v>
      </c>
      <c r="I74" s="7">
        <v>1632.8240000000001</v>
      </c>
      <c r="J74" s="7">
        <v>1339.998</v>
      </c>
      <c r="K74" s="7">
        <v>1229.5170000000001</v>
      </c>
      <c r="L74" s="7">
        <v>1133.5930000000001</v>
      </c>
      <c r="M74" s="7">
        <v>1683.655</v>
      </c>
      <c r="N74" s="7">
        <v>1525.598</v>
      </c>
      <c r="O74" s="7">
        <v>1464.559</v>
      </c>
      <c r="P74" s="7">
        <v>1462.9949999999999</v>
      </c>
      <c r="R74" s="5">
        <f t="shared" si="4"/>
        <v>1474.1230666666668</v>
      </c>
      <c r="S74" s="5">
        <f t="shared" si="5"/>
        <v>50.368982572276877</v>
      </c>
      <c r="U74" s="7">
        <v>80</v>
      </c>
      <c r="V74" s="7">
        <v>1491.1790000000001</v>
      </c>
      <c r="W74" s="7">
        <v>1349.91</v>
      </c>
      <c r="X74" s="7">
        <v>1269.3710000000001</v>
      </c>
      <c r="Y74" s="7">
        <v>1301.123</v>
      </c>
      <c r="Z74" s="7">
        <v>1541.6179999999999</v>
      </c>
      <c r="AA74" s="7">
        <v>1425.13</v>
      </c>
      <c r="AB74" s="7">
        <v>1613.076</v>
      </c>
      <c r="AC74" s="7">
        <v>1656.913</v>
      </c>
      <c r="AD74" s="7">
        <v>1659.0060000000001</v>
      </c>
      <c r="AE74" s="7">
        <v>1285.191</v>
      </c>
      <c r="AF74" s="7">
        <v>1602.9</v>
      </c>
      <c r="AG74" s="7">
        <v>1501.175</v>
      </c>
      <c r="AH74" s="7">
        <v>1695.838</v>
      </c>
      <c r="AI74" s="7">
        <v>1533.2049999999999</v>
      </c>
      <c r="AJ74" s="7">
        <v>1471.5809999999999</v>
      </c>
      <c r="AL74" s="6">
        <f t="shared" si="6"/>
        <v>1550.7261250000001</v>
      </c>
      <c r="AM74" s="6">
        <f t="shared" si="7"/>
        <v>47.493403767725439</v>
      </c>
    </row>
    <row r="75" spans="1:39" x14ac:dyDescent="0.2">
      <c r="A75" s="7">
        <v>81.25</v>
      </c>
      <c r="B75" s="7">
        <v>1292.8510000000001</v>
      </c>
      <c r="C75" s="7">
        <v>1626.8610000000001</v>
      </c>
      <c r="D75" s="7">
        <v>1793.4280000000001</v>
      </c>
      <c r="E75" s="7">
        <v>2103.3020000000001</v>
      </c>
      <c r="F75" s="7">
        <v>1697.328</v>
      </c>
      <c r="G75" s="7">
        <v>1737.4929999999999</v>
      </c>
      <c r="H75" s="7">
        <v>1475.617</v>
      </c>
      <c r="I75" s="7">
        <v>1783.5409999999999</v>
      </c>
      <c r="J75" s="7">
        <v>1533.931</v>
      </c>
      <c r="K75" s="7">
        <v>1340.24</v>
      </c>
      <c r="L75" s="7">
        <v>1214.4949999999999</v>
      </c>
      <c r="M75" s="7">
        <v>1996.193</v>
      </c>
      <c r="N75" s="7">
        <v>1701.5830000000001</v>
      </c>
      <c r="O75" s="7">
        <v>1583.3820000000001</v>
      </c>
      <c r="P75" s="7">
        <v>1638.8510000000001</v>
      </c>
      <c r="R75" s="5">
        <f t="shared" si="4"/>
        <v>1634.6063999999999</v>
      </c>
      <c r="S75" s="5">
        <f t="shared" si="5"/>
        <v>63.052842492763801</v>
      </c>
      <c r="U75" s="7">
        <v>81.25</v>
      </c>
      <c r="V75" s="7">
        <v>1650.711</v>
      </c>
      <c r="W75" s="7">
        <v>1473.578</v>
      </c>
      <c r="X75" s="7">
        <v>1378.376</v>
      </c>
      <c r="Y75" s="7">
        <v>1448.2460000000001</v>
      </c>
      <c r="Z75" s="7">
        <v>1719.5619999999999</v>
      </c>
      <c r="AA75" s="7">
        <v>1643.4580000000001</v>
      </c>
      <c r="AB75" s="7">
        <v>1862.624</v>
      </c>
      <c r="AC75" s="7">
        <v>1857.56</v>
      </c>
      <c r="AD75" s="7">
        <v>1839.4169999999999</v>
      </c>
      <c r="AE75" s="7">
        <v>1490.9770000000001</v>
      </c>
      <c r="AF75" s="7">
        <v>1792.038</v>
      </c>
      <c r="AG75" s="7">
        <v>1698.684</v>
      </c>
      <c r="AH75" s="7">
        <v>1891.7349999999999</v>
      </c>
      <c r="AI75" s="7">
        <v>1731.577</v>
      </c>
      <c r="AJ75" s="7">
        <v>1698.809</v>
      </c>
      <c r="AL75" s="6">
        <f t="shared" si="6"/>
        <v>1750.0996249999998</v>
      </c>
      <c r="AM75" s="6">
        <f t="shared" si="7"/>
        <v>45.139990496208192</v>
      </c>
    </row>
    <row r="76" spans="1:39" x14ac:dyDescent="0.2">
      <c r="A76" s="7">
        <v>82.5</v>
      </c>
      <c r="B76" s="7">
        <v>1692.463</v>
      </c>
      <c r="C76" s="7">
        <v>2126.7249999999999</v>
      </c>
      <c r="D76" s="7">
        <v>2280.5610000000001</v>
      </c>
      <c r="E76" s="7">
        <v>2485.683</v>
      </c>
      <c r="F76" s="7">
        <v>2201.2710000000002</v>
      </c>
      <c r="G76" s="7">
        <v>2355.1089999999999</v>
      </c>
      <c r="H76" s="7">
        <v>1969.8109999999999</v>
      </c>
      <c r="I76" s="7">
        <v>2330.181</v>
      </c>
      <c r="J76" s="7">
        <v>2091.9090000000001</v>
      </c>
      <c r="K76" s="7">
        <v>1812.3720000000001</v>
      </c>
      <c r="L76" s="7">
        <v>1642.3920000000001</v>
      </c>
      <c r="M76" s="7">
        <v>2424.2739999999999</v>
      </c>
      <c r="N76" s="7">
        <v>2239.12</v>
      </c>
      <c r="O76" s="7">
        <v>2115.19</v>
      </c>
      <c r="P76" s="7">
        <v>2270.6880000000001</v>
      </c>
      <c r="R76" s="5">
        <f t="shared" si="4"/>
        <v>2135.849933333333</v>
      </c>
      <c r="S76" s="5">
        <f t="shared" si="5"/>
        <v>66.196620776108887</v>
      </c>
      <c r="U76" s="7">
        <v>82.5</v>
      </c>
      <c r="V76" s="7">
        <v>2133.2449999999999</v>
      </c>
      <c r="W76" s="7">
        <v>1939.7170000000001</v>
      </c>
      <c r="X76" s="7">
        <v>1848.261</v>
      </c>
      <c r="Y76" s="7">
        <v>2044.5070000000001</v>
      </c>
      <c r="Z76" s="7">
        <v>2375.2510000000002</v>
      </c>
      <c r="AA76" s="7">
        <v>2248.078</v>
      </c>
      <c r="AB76" s="7">
        <v>2538.3389999999999</v>
      </c>
      <c r="AC76" s="7">
        <v>2529.9009999999998</v>
      </c>
      <c r="AD76" s="7">
        <v>2567.6080000000002</v>
      </c>
      <c r="AE76" s="7">
        <v>2157.2600000000002</v>
      </c>
      <c r="AF76" s="7">
        <v>2445.4270000000001</v>
      </c>
      <c r="AG76" s="7">
        <v>2311.7840000000001</v>
      </c>
      <c r="AH76" s="7">
        <v>2545.1509999999998</v>
      </c>
      <c r="AI76" s="7">
        <v>2362.6869999999999</v>
      </c>
      <c r="AJ76" s="7">
        <v>2323.0419999999999</v>
      </c>
      <c r="AL76" s="6">
        <f t="shared" si="6"/>
        <v>2405.3575000000001</v>
      </c>
      <c r="AM76" s="6">
        <f t="shared" si="7"/>
        <v>50.336205042763602</v>
      </c>
    </row>
    <row r="77" spans="1:39" x14ac:dyDescent="0.2">
      <c r="A77" s="7">
        <v>83.75</v>
      </c>
      <c r="B77" s="7">
        <v>2261.6970000000001</v>
      </c>
      <c r="C77" s="7">
        <v>2862.5749999999998</v>
      </c>
      <c r="D77" s="7">
        <v>3007.6660000000002</v>
      </c>
      <c r="E77" s="7">
        <v>2788.0819999999999</v>
      </c>
      <c r="F77" s="7">
        <v>2906.864</v>
      </c>
      <c r="G77" s="7">
        <v>3129.4270000000001</v>
      </c>
      <c r="H77" s="7">
        <v>2674.5949999999998</v>
      </c>
      <c r="I77" s="7">
        <v>3065.5189999999998</v>
      </c>
      <c r="J77" s="7">
        <v>2774.4050000000002</v>
      </c>
      <c r="K77" s="7">
        <v>2494.3339999999998</v>
      </c>
      <c r="L77" s="7">
        <v>2254.8679999999999</v>
      </c>
      <c r="M77" s="7">
        <v>2776.7339999999999</v>
      </c>
      <c r="N77" s="7">
        <v>2928.029</v>
      </c>
      <c r="O77" s="7">
        <v>2888.1709999999998</v>
      </c>
      <c r="P77" s="7">
        <v>3145.8629999999998</v>
      </c>
      <c r="R77" s="5">
        <f t="shared" si="4"/>
        <v>2797.2552666666666</v>
      </c>
      <c r="S77" s="5">
        <f t="shared" si="5"/>
        <v>71.666972738690831</v>
      </c>
      <c r="U77" s="7">
        <v>83.75</v>
      </c>
      <c r="V77" s="7">
        <v>2789.27</v>
      </c>
      <c r="W77" s="7">
        <v>2593.875</v>
      </c>
      <c r="X77" s="7">
        <v>2494.6689999999999</v>
      </c>
      <c r="Y77" s="7">
        <v>2823.7710000000002</v>
      </c>
      <c r="Z77" s="7">
        <v>3222.2339999999999</v>
      </c>
      <c r="AA77" s="7">
        <v>3018.3510000000001</v>
      </c>
      <c r="AB77" s="7">
        <v>3366.502</v>
      </c>
      <c r="AC77" s="7">
        <v>3416.6439999999998</v>
      </c>
      <c r="AD77" s="7">
        <v>3498.8470000000002</v>
      </c>
      <c r="AE77" s="7">
        <v>2955.0439999999999</v>
      </c>
      <c r="AF77" s="7">
        <v>3280.3249999999998</v>
      </c>
      <c r="AG77" s="7">
        <v>3100.9270000000001</v>
      </c>
      <c r="AH77" s="7">
        <v>3395.105</v>
      </c>
      <c r="AI77" s="7">
        <v>3144.6689999999999</v>
      </c>
      <c r="AJ77" s="7">
        <v>3018.9360000000001</v>
      </c>
      <c r="AL77" s="6">
        <f t="shared" si="6"/>
        <v>3226.3121250000004</v>
      </c>
      <c r="AM77" s="6">
        <f t="shared" si="7"/>
        <v>70.822740035154339</v>
      </c>
    </row>
    <row r="78" spans="1:39" x14ac:dyDescent="0.2">
      <c r="A78" s="7">
        <v>85</v>
      </c>
      <c r="B78" s="7">
        <v>2713.2190000000001</v>
      </c>
      <c r="C78" s="7">
        <v>3410.3539999999998</v>
      </c>
      <c r="D78" s="7">
        <v>3584.3009999999999</v>
      </c>
      <c r="E78" s="7">
        <v>2901.7249999999999</v>
      </c>
      <c r="F78" s="7">
        <v>3423.0250000000001</v>
      </c>
      <c r="G78" s="7">
        <v>3700.7370000000001</v>
      </c>
      <c r="H78" s="7">
        <v>3170.1489999999999</v>
      </c>
      <c r="I78" s="7">
        <v>3587.125</v>
      </c>
      <c r="J78" s="7">
        <v>3249.922</v>
      </c>
      <c r="K78" s="7">
        <v>3020.846</v>
      </c>
      <c r="L78" s="7">
        <v>2784.498</v>
      </c>
      <c r="M78" s="7">
        <v>2938.4389999999999</v>
      </c>
      <c r="N78" s="7">
        <v>3411.73</v>
      </c>
      <c r="O78" s="7">
        <v>3498.8780000000002</v>
      </c>
      <c r="P78" s="7">
        <v>3838.6280000000002</v>
      </c>
      <c r="R78" s="5">
        <f t="shared" si="4"/>
        <v>3282.2384000000002</v>
      </c>
      <c r="S78" s="5">
        <f t="shared" si="5"/>
        <v>89.583555338752916</v>
      </c>
      <c r="U78" s="7">
        <v>85</v>
      </c>
      <c r="V78" s="7">
        <v>3260.114</v>
      </c>
      <c r="W78" s="7">
        <v>3098.2190000000001</v>
      </c>
      <c r="X78" s="7">
        <v>2964.0540000000001</v>
      </c>
      <c r="Y78" s="7">
        <v>3436.732</v>
      </c>
      <c r="Z78" s="7">
        <v>3892.0160000000001</v>
      </c>
      <c r="AA78" s="7">
        <v>3553.1840000000002</v>
      </c>
      <c r="AB78" s="7">
        <v>3953.38</v>
      </c>
      <c r="AC78" s="7">
        <v>4076.0810000000001</v>
      </c>
      <c r="AD78" s="7">
        <v>4231.3329999999996</v>
      </c>
      <c r="AE78" s="7">
        <v>3558.105</v>
      </c>
      <c r="AF78" s="7">
        <v>3874.6860000000001</v>
      </c>
      <c r="AG78" s="7">
        <v>3691.3119999999999</v>
      </c>
      <c r="AH78" s="7">
        <v>4030.7139999999999</v>
      </c>
      <c r="AI78" s="7">
        <v>3729.6509999999998</v>
      </c>
      <c r="AJ78" s="7">
        <v>3505.5790000000002</v>
      </c>
      <c r="AL78" s="6">
        <f t="shared" si="6"/>
        <v>3837.1826249999999</v>
      </c>
      <c r="AM78" s="6">
        <f t="shared" si="7"/>
        <v>91.804763963481861</v>
      </c>
    </row>
    <row r="79" spans="1:39" x14ac:dyDescent="0.2">
      <c r="A79" s="7">
        <v>86.25</v>
      </c>
      <c r="B79" s="7">
        <v>2804.5929999999998</v>
      </c>
      <c r="C79" s="7">
        <v>3520.1779999999999</v>
      </c>
      <c r="D79" s="7">
        <v>3687.9769999999999</v>
      </c>
      <c r="E79" s="7">
        <v>2814.16</v>
      </c>
      <c r="F79" s="7">
        <v>3537.4569999999999</v>
      </c>
      <c r="G79" s="7">
        <v>3831.299</v>
      </c>
      <c r="H79" s="7">
        <v>3219.1439999999998</v>
      </c>
      <c r="I79" s="7">
        <v>3656.712</v>
      </c>
      <c r="J79" s="7">
        <v>3319.2350000000001</v>
      </c>
      <c r="K79" s="7">
        <v>3160.8780000000002</v>
      </c>
      <c r="L79" s="7">
        <v>2947.4360000000001</v>
      </c>
      <c r="M79" s="7">
        <v>2874.7860000000001</v>
      </c>
      <c r="N79" s="7">
        <v>3520.268</v>
      </c>
      <c r="O79" s="7">
        <v>3656.1410000000001</v>
      </c>
      <c r="P79" s="7">
        <v>4062.8069999999998</v>
      </c>
      <c r="R79" s="5">
        <f t="shared" si="4"/>
        <v>3374.2047333333339</v>
      </c>
      <c r="S79" s="5">
        <f t="shared" si="5"/>
        <v>101.23959618766905</v>
      </c>
      <c r="U79" s="7">
        <v>86.25</v>
      </c>
      <c r="V79" s="7">
        <v>3353.8</v>
      </c>
      <c r="W79" s="7">
        <v>3187.0160000000001</v>
      </c>
      <c r="X79" s="7">
        <v>3044.8969999999999</v>
      </c>
      <c r="Y79" s="7">
        <v>3620.261</v>
      </c>
      <c r="Z79" s="7">
        <v>4067.7510000000002</v>
      </c>
      <c r="AA79" s="7">
        <v>3668.886</v>
      </c>
      <c r="AB79" s="7">
        <v>4039.7269999999999</v>
      </c>
      <c r="AC79" s="7">
        <v>4267.3530000000001</v>
      </c>
      <c r="AD79" s="7">
        <v>4428.2539999999999</v>
      </c>
      <c r="AE79" s="7">
        <v>3708.7649999999999</v>
      </c>
      <c r="AF79" s="7">
        <v>4017.1179999999999</v>
      </c>
      <c r="AG79" s="7">
        <v>3852.877</v>
      </c>
      <c r="AH79" s="7">
        <v>4171.4030000000002</v>
      </c>
      <c r="AI79" s="7">
        <v>3845.2910000000002</v>
      </c>
      <c r="AJ79" s="7">
        <v>3600.4789999999998</v>
      </c>
      <c r="AL79" s="6">
        <f t="shared" si="6"/>
        <v>3986.4424999999997</v>
      </c>
      <c r="AM79" s="6">
        <f t="shared" si="7"/>
        <v>101.16249212140976</v>
      </c>
    </row>
    <row r="80" spans="1:39" x14ac:dyDescent="0.2">
      <c r="A80" s="7">
        <v>87.5</v>
      </c>
      <c r="B80" s="7">
        <v>2544.2289999999998</v>
      </c>
      <c r="C80" s="7">
        <v>3173.9029999999998</v>
      </c>
      <c r="D80" s="7">
        <v>3333.3389999999999</v>
      </c>
      <c r="E80" s="7">
        <v>2572.855</v>
      </c>
      <c r="F80" s="7">
        <v>3242.06</v>
      </c>
      <c r="G80" s="7">
        <v>3494.768</v>
      </c>
      <c r="H80" s="7">
        <v>2903.6439999999998</v>
      </c>
      <c r="I80" s="7">
        <v>3312.3029999999999</v>
      </c>
      <c r="J80" s="7">
        <v>2980.9090000000001</v>
      </c>
      <c r="K80" s="7">
        <v>2875.8580000000002</v>
      </c>
      <c r="L80" s="7">
        <v>2671.623</v>
      </c>
      <c r="M80" s="7">
        <v>2645.1350000000002</v>
      </c>
      <c r="N80" s="7">
        <v>3244.5520000000001</v>
      </c>
      <c r="O80" s="7">
        <v>3343.971</v>
      </c>
      <c r="P80" s="7">
        <v>3747.393</v>
      </c>
      <c r="R80" s="5">
        <f t="shared" si="4"/>
        <v>3072.4361333333336</v>
      </c>
      <c r="S80" s="5">
        <f t="shared" si="5"/>
        <v>93.841119715180042</v>
      </c>
      <c r="U80" s="7">
        <v>87.5</v>
      </c>
      <c r="V80" s="7">
        <v>3058.1210000000001</v>
      </c>
      <c r="W80" s="7">
        <v>2871.99</v>
      </c>
      <c r="X80" s="7">
        <v>2756.0590000000002</v>
      </c>
      <c r="Y80" s="7">
        <v>3333.8159999999998</v>
      </c>
      <c r="Z80" s="7">
        <v>3724.1239999999998</v>
      </c>
      <c r="AA80" s="7">
        <v>3349.4589999999998</v>
      </c>
      <c r="AB80" s="7">
        <v>3646.2660000000001</v>
      </c>
      <c r="AC80" s="7">
        <v>3894.962</v>
      </c>
      <c r="AD80" s="7">
        <v>4046.8339999999998</v>
      </c>
      <c r="AE80" s="7">
        <v>3402.7179999999998</v>
      </c>
      <c r="AF80" s="7">
        <v>3671.922</v>
      </c>
      <c r="AG80" s="7">
        <v>3571.538</v>
      </c>
      <c r="AH80" s="7">
        <v>3817.3310000000001</v>
      </c>
      <c r="AI80" s="7">
        <v>3490.857</v>
      </c>
      <c r="AJ80" s="7">
        <v>3325.8760000000002</v>
      </c>
      <c r="AL80" s="6">
        <f t="shared" si="6"/>
        <v>3652.7547500000001</v>
      </c>
      <c r="AM80" s="6">
        <f t="shared" si="7"/>
        <v>89.001471522495848</v>
      </c>
    </row>
    <row r="81" spans="1:39" x14ac:dyDescent="0.2">
      <c r="A81" s="7">
        <v>88.75</v>
      </c>
      <c r="B81" s="7">
        <v>2186.5569999999998</v>
      </c>
      <c r="C81" s="7">
        <v>2693.732</v>
      </c>
      <c r="D81" s="7">
        <v>2853.7959999999998</v>
      </c>
      <c r="E81" s="7">
        <v>2348.951</v>
      </c>
      <c r="F81" s="7">
        <v>2793.1239999999998</v>
      </c>
      <c r="G81" s="7">
        <v>2976.7240000000002</v>
      </c>
      <c r="H81" s="7">
        <v>2532.0010000000002</v>
      </c>
      <c r="I81" s="7">
        <v>2879.1750000000002</v>
      </c>
      <c r="J81" s="7">
        <v>2539.377</v>
      </c>
      <c r="K81" s="7">
        <v>2450.13</v>
      </c>
      <c r="L81" s="7">
        <v>2258.8000000000002</v>
      </c>
      <c r="M81" s="7">
        <v>2366.5479999999998</v>
      </c>
      <c r="N81" s="7">
        <v>2789.9810000000002</v>
      </c>
      <c r="O81" s="7">
        <v>2862.3180000000002</v>
      </c>
      <c r="P81" s="7">
        <v>3173.2469999999998</v>
      </c>
      <c r="R81" s="5">
        <f t="shared" si="4"/>
        <v>2646.9640666666669</v>
      </c>
      <c r="S81" s="5">
        <f t="shared" si="5"/>
        <v>74.527844995357256</v>
      </c>
      <c r="U81" s="7">
        <v>88.75</v>
      </c>
      <c r="V81" s="7">
        <v>2652.0210000000002</v>
      </c>
      <c r="W81" s="7">
        <v>2440.223</v>
      </c>
      <c r="X81" s="7">
        <v>2365.049</v>
      </c>
      <c r="Y81" s="7">
        <v>2811.6979999999999</v>
      </c>
      <c r="Z81" s="7">
        <v>3137.018</v>
      </c>
      <c r="AA81" s="7">
        <v>2850.0410000000002</v>
      </c>
      <c r="AB81" s="7">
        <v>3107.8560000000002</v>
      </c>
      <c r="AC81" s="7">
        <v>3318.395</v>
      </c>
      <c r="AD81" s="7">
        <v>3398.2449999999999</v>
      </c>
      <c r="AE81" s="7">
        <v>2883.05</v>
      </c>
      <c r="AF81" s="7">
        <v>3150.5590000000002</v>
      </c>
      <c r="AG81" s="7">
        <v>3075.9459999999999</v>
      </c>
      <c r="AH81" s="7">
        <v>3261.2730000000001</v>
      </c>
      <c r="AI81" s="7">
        <v>2983.6149999999998</v>
      </c>
      <c r="AJ81" s="7">
        <v>2910.7040000000002</v>
      </c>
      <c r="AL81" s="6">
        <f t="shared" si="6"/>
        <v>3122.723375</v>
      </c>
      <c r="AM81" s="6">
        <f t="shared" si="7"/>
        <v>67.889770971810677</v>
      </c>
    </row>
    <row r="82" spans="1:39" x14ac:dyDescent="0.2">
      <c r="A82" s="7">
        <v>90</v>
      </c>
      <c r="B82" s="7">
        <v>2069.2330000000002</v>
      </c>
      <c r="C82" s="7">
        <v>2527.308</v>
      </c>
      <c r="D82" s="7">
        <v>2646.2959999999998</v>
      </c>
      <c r="E82" s="7">
        <v>2226.268</v>
      </c>
      <c r="F82" s="7">
        <v>2569.6779999999999</v>
      </c>
      <c r="G82" s="7">
        <v>2817.5740000000001</v>
      </c>
      <c r="H82" s="7">
        <v>2430.4340000000002</v>
      </c>
      <c r="I82" s="7">
        <v>2711.6370000000002</v>
      </c>
      <c r="J82" s="7">
        <v>2434.4940000000001</v>
      </c>
      <c r="K82" s="7">
        <v>2261.0859999999998</v>
      </c>
      <c r="L82" s="7">
        <v>2140.011</v>
      </c>
      <c r="M82" s="7">
        <v>2194.1930000000002</v>
      </c>
      <c r="N82" s="7">
        <v>2558.6</v>
      </c>
      <c r="O82" s="7">
        <v>2641.1379999999999</v>
      </c>
      <c r="P82" s="7">
        <v>2878.0880000000002</v>
      </c>
      <c r="R82" s="5">
        <f t="shared" si="4"/>
        <v>2473.7358666666669</v>
      </c>
      <c r="S82" s="5">
        <f t="shared" si="5"/>
        <v>64.675522600709783</v>
      </c>
      <c r="U82" s="7">
        <v>90</v>
      </c>
      <c r="V82" s="7">
        <v>2483.9569999999999</v>
      </c>
      <c r="W82" s="7">
        <v>2296.0320000000002</v>
      </c>
      <c r="X82" s="7">
        <v>2214.7719999999999</v>
      </c>
      <c r="Y82" s="7">
        <v>2575.6590000000001</v>
      </c>
      <c r="Z82" s="7">
        <v>2904.127</v>
      </c>
      <c r="AA82" s="7">
        <v>2689.203</v>
      </c>
      <c r="AB82" s="7">
        <v>2938.1770000000001</v>
      </c>
      <c r="AC82" s="7">
        <v>3091.54</v>
      </c>
      <c r="AD82" s="7">
        <v>3153.1970000000001</v>
      </c>
      <c r="AE82" s="7">
        <v>2630.63</v>
      </c>
      <c r="AF82" s="7">
        <v>2905.0129999999999</v>
      </c>
      <c r="AG82" s="7">
        <v>2825.1819999999998</v>
      </c>
      <c r="AH82" s="7">
        <v>3009.0320000000002</v>
      </c>
      <c r="AI82" s="7">
        <v>2787.335</v>
      </c>
      <c r="AJ82" s="7">
        <v>2722.2620000000002</v>
      </c>
      <c r="AL82" s="6">
        <f t="shared" si="6"/>
        <v>2890.5238749999999</v>
      </c>
      <c r="AM82" s="6">
        <f t="shared" si="7"/>
        <v>64.701671558070913</v>
      </c>
    </row>
    <row r="83" spans="1:39" x14ac:dyDescent="0.2">
      <c r="A83" s="7">
        <v>91.25</v>
      </c>
      <c r="B83" s="7">
        <v>2184.058</v>
      </c>
      <c r="C83" s="7">
        <v>2652.049</v>
      </c>
      <c r="D83" s="7">
        <v>2724.9470000000001</v>
      </c>
      <c r="E83" s="7">
        <v>2268.9609999999998</v>
      </c>
      <c r="F83" s="7">
        <v>2644.1880000000001</v>
      </c>
      <c r="G83" s="7">
        <v>3023.51</v>
      </c>
      <c r="H83" s="7">
        <v>2582.9740000000002</v>
      </c>
      <c r="I83" s="7">
        <v>2814.3330000000001</v>
      </c>
      <c r="J83" s="7">
        <v>2622.4989999999998</v>
      </c>
      <c r="K83" s="7">
        <v>2407.4960000000001</v>
      </c>
      <c r="L83" s="7">
        <v>2334.7719999999999</v>
      </c>
      <c r="M83" s="7">
        <v>2184.4989999999998</v>
      </c>
      <c r="N83" s="7">
        <v>2637.8890000000001</v>
      </c>
      <c r="O83" s="7">
        <v>2783.4459999999999</v>
      </c>
      <c r="P83" s="7">
        <v>3203.7559999999999</v>
      </c>
      <c r="R83" s="5">
        <f t="shared" si="4"/>
        <v>2604.6251333333335</v>
      </c>
      <c r="S83" s="5">
        <f t="shared" si="5"/>
        <v>75.853764259914954</v>
      </c>
      <c r="U83" s="7">
        <v>91.25</v>
      </c>
      <c r="V83" s="7">
        <v>2574.6480000000001</v>
      </c>
      <c r="W83" s="7">
        <v>2398.665</v>
      </c>
      <c r="X83" s="7">
        <v>2328.2890000000002</v>
      </c>
      <c r="Y83" s="7">
        <v>2809.1109999999999</v>
      </c>
      <c r="Z83" s="7">
        <v>3104.6419999999998</v>
      </c>
      <c r="AA83" s="7">
        <v>2881.241</v>
      </c>
      <c r="AB83" s="7">
        <v>3161.1689999999999</v>
      </c>
      <c r="AC83" s="7">
        <v>3325.598</v>
      </c>
      <c r="AD83" s="7">
        <v>3419.3240000000001</v>
      </c>
      <c r="AE83" s="7">
        <v>2888.9740000000002</v>
      </c>
      <c r="AF83" s="7">
        <v>3038.1109999999999</v>
      </c>
      <c r="AG83" s="7">
        <v>2992.8519999999999</v>
      </c>
      <c r="AH83" s="7">
        <v>3138.3719999999998</v>
      </c>
      <c r="AI83" s="7">
        <v>2959.9270000000001</v>
      </c>
      <c r="AJ83" s="7">
        <v>2865.3690000000001</v>
      </c>
      <c r="AL83" s="6">
        <f t="shared" si="6"/>
        <v>3078.5658749999998</v>
      </c>
      <c r="AM83" s="6">
        <f t="shared" si="7"/>
        <v>71.361051006092922</v>
      </c>
    </row>
    <row r="84" spans="1:39" x14ac:dyDescent="0.2">
      <c r="A84" s="7">
        <v>92.5</v>
      </c>
      <c r="B84" s="7">
        <v>2337.0790000000002</v>
      </c>
      <c r="C84" s="7">
        <v>2851.239</v>
      </c>
      <c r="D84" s="7">
        <v>2869.0129999999999</v>
      </c>
      <c r="E84" s="7">
        <v>2496.681</v>
      </c>
      <c r="F84" s="7">
        <v>2794.7269999999999</v>
      </c>
      <c r="G84" s="7">
        <v>3279.2979999999998</v>
      </c>
      <c r="H84" s="7">
        <v>2739.009</v>
      </c>
      <c r="I84" s="7">
        <v>2960.4389999999999</v>
      </c>
      <c r="J84" s="7">
        <v>2822.1149999999998</v>
      </c>
      <c r="K84" s="7">
        <v>2644.0410000000002</v>
      </c>
      <c r="L84" s="7">
        <v>2569.799</v>
      </c>
      <c r="M84" s="7">
        <v>2286.9670000000001</v>
      </c>
      <c r="N84" s="7">
        <v>2813.0729999999999</v>
      </c>
      <c r="O84" s="7">
        <v>3030.6590000000001</v>
      </c>
      <c r="P84" s="7">
        <v>3622.9580000000001</v>
      </c>
      <c r="R84" s="5">
        <f t="shared" si="4"/>
        <v>2807.8064666666664</v>
      </c>
      <c r="S84" s="5">
        <f t="shared" si="5"/>
        <v>88.469239350661155</v>
      </c>
      <c r="U84" s="7">
        <v>92.5</v>
      </c>
      <c r="V84" s="7">
        <v>2740.087</v>
      </c>
      <c r="W84" s="7">
        <v>2565.0540000000001</v>
      </c>
      <c r="X84" s="7">
        <v>2507.7669999999998</v>
      </c>
      <c r="Y84" s="7">
        <v>3178.8229999999999</v>
      </c>
      <c r="Z84" s="7">
        <v>3425.5410000000002</v>
      </c>
      <c r="AA84" s="7">
        <v>3154.085</v>
      </c>
      <c r="AB84" s="7">
        <v>3433.645</v>
      </c>
      <c r="AC84" s="7">
        <v>3651.4690000000001</v>
      </c>
      <c r="AD84" s="7">
        <v>3824.1880000000001</v>
      </c>
      <c r="AE84" s="7">
        <v>3278.88</v>
      </c>
      <c r="AF84" s="7">
        <v>3287.752</v>
      </c>
      <c r="AG84" s="7">
        <v>3308.2660000000001</v>
      </c>
      <c r="AH84" s="7">
        <v>3391.7359999999999</v>
      </c>
      <c r="AI84" s="7">
        <v>3218.4659999999999</v>
      </c>
      <c r="AJ84" s="7">
        <v>3055.5650000000001</v>
      </c>
      <c r="AL84" s="6">
        <f t="shared" si="6"/>
        <v>3377.04025</v>
      </c>
      <c r="AM84" s="6">
        <f t="shared" si="7"/>
        <v>87.249444030310102</v>
      </c>
    </row>
    <row r="85" spans="1:39" x14ac:dyDescent="0.2">
      <c r="A85" s="7">
        <v>93.75</v>
      </c>
      <c r="B85" s="7">
        <v>2449.0100000000002</v>
      </c>
      <c r="C85" s="7">
        <v>3001.3739999999998</v>
      </c>
      <c r="D85" s="7">
        <v>3017.4969999999998</v>
      </c>
      <c r="E85" s="7">
        <v>2876.2280000000001</v>
      </c>
      <c r="F85" s="7">
        <v>2948.39</v>
      </c>
      <c r="G85" s="7">
        <v>3441.8530000000001</v>
      </c>
      <c r="H85" s="7">
        <v>2815.2539999999999</v>
      </c>
      <c r="I85" s="7">
        <v>3075.06</v>
      </c>
      <c r="J85" s="7">
        <v>2915.7249999999999</v>
      </c>
      <c r="K85" s="7">
        <v>2796.8820000000001</v>
      </c>
      <c r="L85" s="7">
        <v>2685.348</v>
      </c>
      <c r="M85" s="7">
        <v>2504.7049999999999</v>
      </c>
      <c r="N85" s="7">
        <v>2989.5369999999998</v>
      </c>
      <c r="O85" s="7">
        <v>3197.556</v>
      </c>
      <c r="P85" s="7">
        <v>3876.8440000000001</v>
      </c>
      <c r="R85" s="5">
        <f t="shared" si="4"/>
        <v>2972.7508666666663</v>
      </c>
      <c r="S85" s="5">
        <f t="shared" si="5"/>
        <v>91.193619484974491</v>
      </c>
      <c r="U85" s="7">
        <v>93.75</v>
      </c>
      <c r="V85" s="7">
        <v>2904.1509999999998</v>
      </c>
      <c r="W85" s="7">
        <v>2679.7469999999998</v>
      </c>
      <c r="X85" s="7">
        <v>2630.4319999999998</v>
      </c>
      <c r="Y85" s="7">
        <v>3418.7359999999999</v>
      </c>
      <c r="Z85" s="7">
        <v>3631.9369999999999</v>
      </c>
      <c r="AA85" s="7">
        <v>3300.8809999999999</v>
      </c>
      <c r="AB85" s="7">
        <v>3604.7109999999998</v>
      </c>
      <c r="AC85" s="7">
        <v>3831.3919999999998</v>
      </c>
      <c r="AD85" s="7">
        <v>4075.1750000000002</v>
      </c>
      <c r="AE85" s="7">
        <v>3517.232</v>
      </c>
      <c r="AF85" s="7">
        <v>3454.12</v>
      </c>
      <c r="AG85" s="7">
        <v>3513.0720000000001</v>
      </c>
      <c r="AH85" s="7">
        <v>3569.7139999999999</v>
      </c>
      <c r="AI85" s="7">
        <v>3379.8989999999999</v>
      </c>
      <c r="AJ85" s="7">
        <v>3160.9560000000001</v>
      </c>
      <c r="AL85" s="6">
        <f t="shared" si="6"/>
        <v>3562.6949999999997</v>
      </c>
      <c r="AM85" s="6">
        <f t="shared" si="7"/>
        <v>98.742952138186979</v>
      </c>
    </row>
    <row r="86" spans="1:39" x14ac:dyDescent="0.2">
      <c r="A86" s="7">
        <v>95</v>
      </c>
      <c r="B86" s="7">
        <v>2576.0309999999999</v>
      </c>
      <c r="C86" s="7">
        <v>3158.4850000000001</v>
      </c>
      <c r="D86" s="7">
        <v>3264.5880000000002</v>
      </c>
      <c r="E86" s="7">
        <v>3325.5430000000001</v>
      </c>
      <c r="F86" s="7">
        <v>3140.491</v>
      </c>
      <c r="G86" s="7">
        <v>3467.0439999999999</v>
      </c>
      <c r="H86" s="7">
        <v>2918.1790000000001</v>
      </c>
      <c r="I86" s="7">
        <v>3271.5189999999998</v>
      </c>
      <c r="J86" s="7">
        <v>2943.1350000000002</v>
      </c>
      <c r="K86" s="7">
        <v>2838.1869999999999</v>
      </c>
      <c r="L86" s="7">
        <v>2669.4070000000002</v>
      </c>
      <c r="M86" s="7">
        <v>2846.28</v>
      </c>
      <c r="N86" s="7">
        <v>3177.424</v>
      </c>
      <c r="O86" s="7">
        <v>3280.6590000000001</v>
      </c>
      <c r="P86" s="7">
        <v>3865.7269999999999</v>
      </c>
      <c r="R86" s="5">
        <f t="shared" si="4"/>
        <v>3116.1799333333329</v>
      </c>
      <c r="S86" s="5">
        <f t="shared" si="5"/>
        <v>85.041763000444448</v>
      </c>
      <c r="U86" s="7">
        <v>95</v>
      </c>
      <c r="V86" s="7">
        <v>3085.355</v>
      </c>
      <c r="W86" s="7">
        <v>2786.4740000000002</v>
      </c>
      <c r="X86" s="7">
        <v>2703.837</v>
      </c>
      <c r="Y86" s="7">
        <v>3415.19</v>
      </c>
      <c r="Z86" s="7">
        <v>3684.3890000000001</v>
      </c>
      <c r="AA86" s="7">
        <v>3322.7359999999999</v>
      </c>
      <c r="AB86" s="7">
        <v>3671.1660000000002</v>
      </c>
      <c r="AC86" s="7">
        <v>3849.4169999999999</v>
      </c>
      <c r="AD86" s="7">
        <v>4050.7809999999999</v>
      </c>
      <c r="AE86" s="7">
        <v>3514.8040000000001</v>
      </c>
      <c r="AF86" s="7">
        <v>3514.5970000000002</v>
      </c>
      <c r="AG86" s="7">
        <v>3557.0639999999999</v>
      </c>
      <c r="AH86" s="7">
        <v>3669.0259999999998</v>
      </c>
      <c r="AI86" s="7">
        <v>3441.616</v>
      </c>
      <c r="AJ86" s="7">
        <v>3216.7759999999998</v>
      </c>
      <c r="AL86" s="6">
        <f t="shared" si="6"/>
        <v>3601.7601249999998</v>
      </c>
      <c r="AM86" s="6">
        <f t="shared" si="7"/>
        <v>90.484194629985254</v>
      </c>
    </row>
    <row r="87" spans="1:39" x14ac:dyDescent="0.2">
      <c r="A87" s="7">
        <v>96.25</v>
      </c>
      <c r="B87" s="7">
        <v>2767.91</v>
      </c>
      <c r="C87" s="7">
        <v>3386.9409999999998</v>
      </c>
      <c r="D87" s="7">
        <v>3619.5169999999998</v>
      </c>
      <c r="E87" s="7">
        <v>3734.9830000000002</v>
      </c>
      <c r="F87" s="7">
        <v>3423.915</v>
      </c>
      <c r="G87" s="7">
        <v>3502.3470000000002</v>
      </c>
      <c r="H87" s="7">
        <v>3127.819</v>
      </c>
      <c r="I87" s="7">
        <v>3589.087</v>
      </c>
      <c r="J87" s="7">
        <v>3059.886</v>
      </c>
      <c r="K87" s="7">
        <v>2885.0889999999999</v>
      </c>
      <c r="L87" s="7">
        <v>2689.7350000000001</v>
      </c>
      <c r="M87" s="7">
        <v>3167.3739999999998</v>
      </c>
      <c r="N87" s="7">
        <v>3419.9630000000002</v>
      </c>
      <c r="O87" s="7">
        <v>3403.5819999999999</v>
      </c>
      <c r="P87" s="7">
        <v>3759.7339999999999</v>
      </c>
      <c r="R87" s="5">
        <f t="shared" si="4"/>
        <v>3302.5254666666669</v>
      </c>
      <c r="S87" s="5">
        <f t="shared" si="5"/>
        <v>87.49681858874132</v>
      </c>
      <c r="U87" s="7">
        <v>96.25</v>
      </c>
      <c r="V87" s="7">
        <v>3321.6509999999998</v>
      </c>
      <c r="W87" s="7">
        <v>3009.4229999999998</v>
      </c>
      <c r="X87" s="7">
        <v>2866.0619999999999</v>
      </c>
      <c r="Y87" s="7">
        <v>3280.748</v>
      </c>
      <c r="Z87" s="7">
        <v>3713.2710000000002</v>
      </c>
      <c r="AA87" s="7">
        <v>3349.7869999999998</v>
      </c>
      <c r="AB87" s="7">
        <v>3763.4830000000002</v>
      </c>
      <c r="AC87" s="7">
        <v>3873.4989999999998</v>
      </c>
      <c r="AD87" s="7">
        <v>3994.4090000000001</v>
      </c>
      <c r="AE87" s="7">
        <v>3393.047</v>
      </c>
      <c r="AF87" s="7">
        <v>3639.8960000000002</v>
      </c>
      <c r="AG87" s="7">
        <v>3572.125</v>
      </c>
      <c r="AH87" s="7">
        <v>3828.9029999999998</v>
      </c>
      <c r="AI87" s="7">
        <v>3536.0239999999999</v>
      </c>
      <c r="AJ87" s="7">
        <v>3326.136</v>
      </c>
      <c r="AL87" s="6">
        <f t="shared" si="6"/>
        <v>3645.5048750000001</v>
      </c>
      <c r="AM87" s="6">
        <f t="shared" si="7"/>
        <v>83.504048899148216</v>
      </c>
    </row>
    <row r="88" spans="1:39" x14ac:dyDescent="0.2">
      <c r="A88" s="7">
        <v>97.5</v>
      </c>
      <c r="B88" s="7">
        <v>2959.212</v>
      </c>
      <c r="C88" s="7">
        <v>3623.9</v>
      </c>
      <c r="D88" s="7">
        <v>3975.6410000000001</v>
      </c>
      <c r="E88" s="7">
        <v>4034.402</v>
      </c>
      <c r="F88" s="7">
        <v>3683.0059999999999</v>
      </c>
      <c r="G88" s="7">
        <v>3586.99</v>
      </c>
      <c r="H88" s="7">
        <v>3337.605</v>
      </c>
      <c r="I88" s="7">
        <v>3842.1030000000001</v>
      </c>
      <c r="J88" s="7">
        <v>3214.5680000000002</v>
      </c>
      <c r="K88" s="7">
        <v>2974.51</v>
      </c>
      <c r="L88" s="7">
        <v>2787.2649999999999</v>
      </c>
      <c r="M88" s="7">
        <v>3453.0340000000001</v>
      </c>
      <c r="N88" s="7">
        <v>3647.308</v>
      </c>
      <c r="O88" s="7">
        <v>3564.8710000000001</v>
      </c>
      <c r="P88" s="7">
        <v>3698.1080000000002</v>
      </c>
      <c r="R88" s="5">
        <f t="shared" si="4"/>
        <v>3492.1681999999996</v>
      </c>
      <c r="S88" s="5">
        <f t="shared" si="5"/>
        <v>96.019109038240771</v>
      </c>
      <c r="U88" s="7">
        <v>97.5</v>
      </c>
      <c r="V88" s="7">
        <v>3547.1819999999998</v>
      </c>
      <c r="W88" s="7">
        <v>3243.2539999999999</v>
      </c>
      <c r="X88" s="7">
        <v>3068.9929999999999</v>
      </c>
      <c r="Y88" s="7">
        <v>3218.3440000000001</v>
      </c>
      <c r="Z88" s="7">
        <v>3799.8110000000001</v>
      </c>
      <c r="AA88" s="7">
        <v>3434.7379999999998</v>
      </c>
      <c r="AB88" s="7">
        <v>3903.451</v>
      </c>
      <c r="AC88" s="7">
        <v>4003.116</v>
      </c>
      <c r="AD88" s="7">
        <v>4061.866</v>
      </c>
      <c r="AE88" s="7">
        <v>3325.2559999999999</v>
      </c>
      <c r="AF88" s="7">
        <v>3851.239</v>
      </c>
      <c r="AG88" s="7">
        <v>3628.6329999999998</v>
      </c>
      <c r="AH88" s="7">
        <v>4047.58</v>
      </c>
      <c r="AI88" s="7">
        <v>3685.0079999999998</v>
      </c>
      <c r="AJ88" s="7">
        <v>3477.34</v>
      </c>
      <c r="AL88" s="6">
        <f t="shared" si="6"/>
        <v>3760.0047500000005</v>
      </c>
      <c r="AM88" s="6">
        <f t="shared" si="7"/>
        <v>97.562744704689919</v>
      </c>
    </row>
    <row r="89" spans="1:39" x14ac:dyDescent="0.2">
      <c r="A89" s="7">
        <v>98.75</v>
      </c>
      <c r="B89" s="7">
        <v>3081.2440000000001</v>
      </c>
      <c r="C89" s="7">
        <v>3787.777</v>
      </c>
      <c r="D89" s="7">
        <v>4183.3819999999996</v>
      </c>
      <c r="E89" s="7">
        <v>4183.7420000000002</v>
      </c>
      <c r="F89" s="7">
        <v>3878.5439999999999</v>
      </c>
      <c r="G89" s="7">
        <v>3691.3270000000002</v>
      </c>
      <c r="H89" s="7">
        <v>3466.748</v>
      </c>
      <c r="I89" s="7">
        <v>4010.9389999999999</v>
      </c>
      <c r="J89" s="7">
        <v>3337.0189999999998</v>
      </c>
      <c r="K89" s="7">
        <v>3070.9050000000002</v>
      </c>
      <c r="L89" s="7">
        <v>2886.3069999999998</v>
      </c>
      <c r="M89" s="7">
        <v>3624.5239999999999</v>
      </c>
      <c r="N89" s="7">
        <v>3793.8760000000002</v>
      </c>
      <c r="O89" s="7">
        <v>3702.1619999999998</v>
      </c>
      <c r="P89" s="7">
        <v>3716.2420000000002</v>
      </c>
      <c r="R89" s="5">
        <f t="shared" si="4"/>
        <v>3627.6491999999989</v>
      </c>
      <c r="S89" s="5">
        <f t="shared" si="5"/>
        <v>101.58602416831943</v>
      </c>
      <c r="U89" s="7">
        <v>98.75</v>
      </c>
      <c r="V89" s="7">
        <v>3687.8969999999999</v>
      </c>
      <c r="W89" s="7">
        <v>3402.7220000000002</v>
      </c>
      <c r="X89" s="7">
        <v>3212.1179999999999</v>
      </c>
      <c r="Y89" s="7">
        <v>3246.4920000000002</v>
      </c>
      <c r="Z89" s="7">
        <v>3901.44</v>
      </c>
      <c r="AA89" s="7">
        <v>3513.15</v>
      </c>
      <c r="AB89" s="7">
        <v>4034.6950000000002</v>
      </c>
      <c r="AC89" s="7">
        <v>4136.3</v>
      </c>
      <c r="AD89" s="7">
        <v>4155.0079999999998</v>
      </c>
      <c r="AE89" s="7">
        <v>3322.9250000000002</v>
      </c>
      <c r="AF89" s="7">
        <v>4008.4720000000002</v>
      </c>
      <c r="AG89" s="7">
        <v>3718.7809999999999</v>
      </c>
      <c r="AH89" s="7">
        <v>4210.607</v>
      </c>
      <c r="AI89" s="7">
        <v>3812.8870000000002</v>
      </c>
      <c r="AJ89" s="7">
        <v>3619.1689999999999</v>
      </c>
      <c r="AL89" s="6">
        <f t="shared" si="6"/>
        <v>3873.0186249999997</v>
      </c>
      <c r="AM89" s="6">
        <f t="shared" si="7"/>
        <v>109.83724188201271</v>
      </c>
    </row>
    <row r="90" spans="1:39" x14ac:dyDescent="0.2">
      <c r="A90" s="7">
        <v>100</v>
      </c>
      <c r="B90" s="7">
        <v>3112.9209999999998</v>
      </c>
      <c r="C90" s="7">
        <v>3837.3240000000001</v>
      </c>
      <c r="D90" s="7">
        <v>4255.7129999999997</v>
      </c>
      <c r="E90" s="7">
        <v>4205.973</v>
      </c>
      <c r="F90" s="7">
        <v>3956.4059999999999</v>
      </c>
      <c r="G90" s="7">
        <v>3728.7979999999998</v>
      </c>
      <c r="H90" s="7">
        <v>3481.6610000000001</v>
      </c>
      <c r="I90" s="7">
        <v>4064.5169999999998</v>
      </c>
      <c r="J90" s="7">
        <v>3368.9879999999998</v>
      </c>
      <c r="K90" s="7">
        <v>3128.75</v>
      </c>
      <c r="L90" s="7">
        <v>2907.1379999999999</v>
      </c>
      <c r="M90" s="7">
        <v>3688.9589999999998</v>
      </c>
      <c r="N90" s="7">
        <v>3832.1239999999998</v>
      </c>
      <c r="O90" s="7">
        <v>3760.3409999999999</v>
      </c>
      <c r="P90" s="7">
        <v>3739.16</v>
      </c>
      <c r="R90" s="5">
        <f t="shared" si="4"/>
        <v>3671.2515333333336</v>
      </c>
      <c r="S90" s="5">
        <f t="shared" si="5"/>
        <v>103.51776732144909</v>
      </c>
      <c r="U90" s="7">
        <v>100</v>
      </c>
      <c r="V90" s="7">
        <v>3727.2449999999999</v>
      </c>
      <c r="W90" s="7">
        <v>3456.0630000000001</v>
      </c>
      <c r="X90" s="7">
        <v>3238.625</v>
      </c>
      <c r="Y90" s="7">
        <v>3245.3290000000002</v>
      </c>
      <c r="Z90" s="7">
        <v>3943.915</v>
      </c>
      <c r="AA90" s="7">
        <v>3546.4609999999998</v>
      </c>
      <c r="AB90" s="7">
        <v>4089.2420000000002</v>
      </c>
      <c r="AC90" s="7">
        <v>4185.9129999999996</v>
      </c>
      <c r="AD90" s="7">
        <v>4206.9719999999998</v>
      </c>
      <c r="AE90" s="7">
        <v>3289.1619999999998</v>
      </c>
      <c r="AF90" s="7">
        <v>4079.0140000000001</v>
      </c>
      <c r="AG90" s="7">
        <v>3769.2820000000002</v>
      </c>
      <c r="AH90" s="7">
        <v>4300.4570000000003</v>
      </c>
      <c r="AI90" s="7">
        <v>3859.8679999999999</v>
      </c>
      <c r="AJ90" s="7">
        <v>3673.3449999999998</v>
      </c>
      <c r="AL90" s="6">
        <f t="shared" si="6"/>
        <v>3920.5016249999994</v>
      </c>
      <c r="AM90" s="6">
        <f t="shared" si="7"/>
        <v>120.13538973902639</v>
      </c>
    </row>
    <row r="91" spans="1:39" x14ac:dyDescent="0.2">
      <c r="A91" s="7">
        <v>101.25</v>
      </c>
      <c r="B91" s="7">
        <v>3027.82</v>
      </c>
      <c r="C91" s="7">
        <v>3748.8679999999999</v>
      </c>
      <c r="D91" s="7">
        <v>4181.2309999999998</v>
      </c>
      <c r="E91" s="7">
        <v>4117.8720000000003</v>
      </c>
      <c r="F91" s="7">
        <v>3908.085</v>
      </c>
      <c r="G91" s="7">
        <v>3655.8560000000002</v>
      </c>
      <c r="H91" s="7">
        <v>3398.4029999999998</v>
      </c>
      <c r="I91" s="7">
        <v>3994.174</v>
      </c>
      <c r="J91" s="7">
        <v>3300.5639999999999</v>
      </c>
      <c r="K91" s="7">
        <v>3089.2629999999999</v>
      </c>
      <c r="L91" s="7">
        <v>2855.6970000000001</v>
      </c>
      <c r="M91" s="7">
        <v>3647.6329999999998</v>
      </c>
      <c r="N91" s="7">
        <v>3741.962</v>
      </c>
      <c r="O91" s="7">
        <v>3694.5169999999998</v>
      </c>
      <c r="P91" s="7">
        <v>3685.0010000000002</v>
      </c>
      <c r="R91" s="5">
        <f t="shared" si="4"/>
        <v>3603.1297333333332</v>
      </c>
      <c r="S91" s="5">
        <f t="shared" si="5"/>
        <v>102.18000559821945</v>
      </c>
      <c r="U91" s="7">
        <v>101.25</v>
      </c>
      <c r="V91" s="7">
        <v>3654.9989999999998</v>
      </c>
      <c r="W91" s="7">
        <v>3387.2579999999998</v>
      </c>
      <c r="X91" s="7">
        <v>3153.7719999999999</v>
      </c>
      <c r="Y91" s="7">
        <v>3184.8679999999999</v>
      </c>
      <c r="Z91" s="7">
        <v>3878.91</v>
      </c>
      <c r="AA91" s="7">
        <v>3487.8560000000002</v>
      </c>
      <c r="AB91" s="7">
        <v>4025.7269999999999</v>
      </c>
      <c r="AC91" s="7">
        <v>4132.3389999999999</v>
      </c>
      <c r="AD91" s="7">
        <v>4171.0600000000004</v>
      </c>
      <c r="AE91" s="7">
        <v>3209.5920000000001</v>
      </c>
      <c r="AF91" s="7">
        <v>4041.4929999999999</v>
      </c>
      <c r="AG91" s="7">
        <v>3738.2669999999998</v>
      </c>
      <c r="AH91" s="7">
        <v>4257.4560000000001</v>
      </c>
      <c r="AI91" s="7">
        <v>3804.904</v>
      </c>
      <c r="AJ91" s="7">
        <v>3630.8649999999998</v>
      </c>
      <c r="AL91" s="6">
        <f t="shared" si="6"/>
        <v>3873.2470000000003</v>
      </c>
      <c r="AM91" s="6">
        <f t="shared" si="7"/>
        <v>123.47801124578532</v>
      </c>
    </row>
    <row r="92" spans="1:39" x14ac:dyDescent="0.2">
      <c r="A92" s="7">
        <v>102.5</v>
      </c>
      <c r="B92" s="7">
        <v>2846.9569999999999</v>
      </c>
      <c r="C92" s="7">
        <v>3559.498</v>
      </c>
      <c r="D92" s="7">
        <v>3973.413</v>
      </c>
      <c r="E92" s="7">
        <v>3930.9639999999999</v>
      </c>
      <c r="F92" s="7">
        <v>3714.49</v>
      </c>
      <c r="G92" s="7">
        <v>3478.0239999999999</v>
      </c>
      <c r="H92" s="7">
        <v>3207.415</v>
      </c>
      <c r="I92" s="7">
        <v>3786.2060000000001</v>
      </c>
      <c r="J92" s="7">
        <v>3142.0940000000001</v>
      </c>
      <c r="K92" s="7">
        <v>2934.4430000000002</v>
      </c>
      <c r="L92" s="7">
        <v>2727.1439999999998</v>
      </c>
      <c r="M92" s="7">
        <v>3489.029</v>
      </c>
      <c r="N92" s="7">
        <v>3538.643</v>
      </c>
      <c r="O92" s="7">
        <v>3500.56</v>
      </c>
      <c r="P92" s="7">
        <v>3510.6109999999999</v>
      </c>
      <c r="R92" s="5">
        <f t="shared" si="4"/>
        <v>3422.6327333333334</v>
      </c>
      <c r="S92" s="5">
        <f t="shared" si="5"/>
        <v>97.859538183073099</v>
      </c>
      <c r="U92" s="7">
        <v>102.5</v>
      </c>
      <c r="V92" s="7">
        <v>3471.846</v>
      </c>
      <c r="W92" s="7">
        <v>3196.7249999999999</v>
      </c>
      <c r="X92" s="7">
        <v>2986.5770000000002</v>
      </c>
      <c r="Y92" s="7">
        <v>3038.5120000000002</v>
      </c>
      <c r="Z92" s="7">
        <v>3661.07</v>
      </c>
      <c r="AA92" s="7">
        <v>3311.5529999999999</v>
      </c>
      <c r="AB92" s="7">
        <v>3828.7469999999998</v>
      </c>
      <c r="AC92" s="7">
        <v>3954.5050000000001</v>
      </c>
      <c r="AD92" s="7">
        <v>3992.6089999999999</v>
      </c>
      <c r="AE92" s="7">
        <v>3071.4639999999999</v>
      </c>
      <c r="AF92" s="7">
        <v>3868.5210000000002</v>
      </c>
      <c r="AG92" s="7">
        <v>3585.5149999999999</v>
      </c>
      <c r="AH92" s="7">
        <v>4056.462</v>
      </c>
      <c r="AI92" s="7">
        <v>3620.2040000000002</v>
      </c>
      <c r="AJ92" s="7">
        <v>3473.6010000000001</v>
      </c>
      <c r="AL92" s="6">
        <f t="shared" si="6"/>
        <v>3702.8601250000002</v>
      </c>
      <c r="AM92" s="6">
        <f t="shared" si="7"/>
        <v>117.38064543010083</v>
      </c>
    </row>
    <row r="93" spans="1:39" x14ac:dyDescent="0.2">
      <c r="A93" s="7">
        <v>103.75</v>
      </c>
      <c r="B93" s="7">
        <v>2606.1289999999999</v>
      </c>
      <c r="C93" s="7">
        <v>3291.355</v>
      </c>
      <c r="D93" s="7">
        <v>3648.63</v>
      </c>
      <c r="E93" s="7">
        <v>3704.7959999999998</v>
      </c>
      <c r="F93" s="7">
        <v>3414.2280000000001</v>
      </c>
      <c r="G93" s="7">
        <v>3217.6129999999998</v>
      </c>
      <c r="H93" s="7">
        <v>2966.97</v>
      </c>
      <c r="I93" s="7">
        <v>3489.11</v>
      </c>
      <c r="J93" s="7">
        <v>2902.8690000000001</v>
      </c>
      <c r="K93" s="7">
        <v>2682.0639999999999</v>
      </c>
      <c r="L93" s="7">
        <v>2523.71</v>
      </c>
      <c r="M93" s="7">
        <v>3278.0880000000002</v>
      </c>
      <c r="N93" s="7">
        <v>3252.2919999999999</v>
      </c>
      <c r="O93" s="7">
        <v>3194.0410000000002</v>
      </c>
      <c r="P93" s="7">
        <v>3200.893</v>
      </c>
      <c r="R93" s="5">
        <f t="shared" si="4"/>
        <v>3158.1858666666667</v>
      </c>
      <c r="S93" s="5">
        <f t="shared" si="5"/>
        <v>92.52445419953898</v>
      </c>
      <c r="U93" s="7">
        <v>103.75</v>
      </c>
      <c r="V93" s="7">
        <v>3203.5549999999998</v>
      </c>
      <c r="W93" s="7">
        <v>2922.864</v>
      </c>
      <c r="X93" s="7">
        <v>2725.7579999999998</v>
      </c>
      <c r="Y93" s="7">
        <v>2805.4369999999999</v>
      </c>
      <c r="Z93" s="7">
        <v>3334.9079999999999</v>
      </c>
      <c r="AA93" s="7">
        <v>3049.5459999999998</v>
      </c>
      <c r="AB93" s="7">
        <v>3534.0210000000002</v>
      </c>
      <c r="AC93" s="7">
        <v>3642.857</v>
      </c>
      <c r="AD93" s="7">
        <v>3675.8049999999998</v>
      </c>
      <c r="AE93" s="7">
        <v>2828.0720000000001</v>
      </c>
      <c r="AF93" s="7">
        <v>3579.6</v>
      </c>
      <c r="AG93" s="7">
        <v>3322.5639999999999</v>
      </c>
      <c r="AH93" s="7">
        <v>3735.703</v>
      </c>
      <c r="AI93" s="7">
        <v>3331.2930000000001</v>
      </c>
      <c r="AJ93" s="7">
        <v>3223.9949999999999</v>
      </c>
      <c r="AL93" s="6">
        <f t="shared" si="6"/>
        <v>3417.4861250000004</v>
      </c>
      <c r="AM93" s="6">
        <f t="shared" si="7"/>
        <v>107.4336050193057</v>
      </c>
    </row>
    <row r="94" spans="1:39" x14ac:dyDescent="0.2">
      <c r="A94" s="7">
        <v>105</v>
      </c>
      <c r="B94" s="7">
        <v>2427.4639999999999</v>
      </c>
      <c r="C94" s="7">
        <v>3064.5970000000002</v>
      </c>
      <c r="D94" s="7">
        <v>3400.6480000000001</v>
      </c>
      <c r="E94" s="7">
        <v>3526.0140000000001</v>
      </c>
      <c r="F94" s="7">
        <v>3161.8319999999999</v>
      </c>
      <c r="G94" s="7">
        <v>2988.1179999999999</v>
      </c>
      <c r="H94" s="7">
        <v>2796.527</v>
      </c>
      <c r="I94" s="7">
        <v>3280.681</v>
      </c>
      <c r="J94" s="7">
        <v>2695.7269999999999</v>
      </c>
      <c r="K94" s="7">
        <v>2461.4499999999998</v>
      </c>
      <c r="L94" s="7">
        <v>2322.5050000000001</v>
      </c>
      <c r="M94" s="7">
        <v>3098.163</v>
      </c>
      <c r="N94" s="7">
        <v>3036.3290000000002</v>
      </c>
      <c r="O94" s="7">
        <v>2937.6669999999999</v>
      </c>
      <c r="P94" s="7">
        <v>2897.68</v>
      </c>
      <c r="R94" s="5">
        <f t="shared" si="4"/>
        <v>2939.6934666666662</v>
      </c>
      <c r="S94" s="5">
        <f t="shared" si="5"/>
        <v>90.713276136453558</v>
      </c>
      <c r="U94" s="7">
        <v>105</v>
      </c>
      <c r="V94" s="7">
        <v>2993.2</v>
      </c>
      <c r="W94" s="7">
        <v>2689.7370000000001</v>
      </c>
      <c r="X94" s="7">
        <v>2493.1260000000002</v>
      </c>
      <c r="Y94" s="7">
        <v>2574.7890000000002</v>
      </c>
      <c r="Z94" s="7">
        <v>3041.7570000000001</v>
      </c>
      <c r="AA94" s="7">
        <v>2821.027</v>
      </c>
      <c r="AB94" s="7">
        <v>3290.6309999999999</v>
      </c>
      <c r="AC94" s="7">
        <v>3374.4679999999998</v>
      </c>
      <c r="AD94" s="7">
        <v>3377.3359999999998</v>
      </c>
      <c r="AE94" s="7">
        <v>2560.7669999999998</v>
      </c>
      <c r="AF94" s="7">
        <v>3324.2150000000001</v>
      </c>
      <c r="AG94" s="7">
        <v>3066.3359999999998</v>
      </c>
      <c r="AH94" s="7">
        <v>3480.1060000000002</v>
      </c>
      <c r="AI94" s="7">
        <v>3077.7840000000001</v>
      </c>
      <c r="AJ94" s="7">
        <v>2980.241</v>
      </c>
      <c r="AL94" s="6">
        <f t="shared" si="6"/>
        <v>3155.1566249999996</v>
      </c>
      <c r="AM94" s="6">
        <f t="shared" si="7"/>
        <v>106.0158439179759</v>
      </c>
    </row>
    <row r="95" spans="1:39" x14ac:dyDescent="0.2">
      <c r="A95" s="7">
        <v>106.25</v>
      </c>
      <c r="B95" s="7">
        <v>2377.0569999999998</v>
      </c>
      <c r="C95" s="7">
        <v>2987.28</v>
      </c>
      <c r="D95" s="7">
        <v>3316.674</v>
      </c>
      <c r="E95" s="7">
        <v>3436.395</v>
      </c>
      <c r="F95" s="7">
        <v>3070.3319999999999</v>
      </c>
      <c r="G95" s="7">
        <v>2885.7779999999998</v>
      </c>
      <c r="H95" s="7">
        <v>2747.2629999999999</v>
      </c>
      <c r="I95" s="7">
        <v>3224.0259999999998</v>
      </c>
      <c r="J95" s="7">
        <v>2617.973</v>
      </c>
      <c r="K95" s="7">
        <v>2374.5880000000002</v>
      </c>
      <c r="L95" s="7">
        <v>2245.4059999999999</v>
      </c>
      <c r="M95" s="7">
        <v>2992.37</v>
      </c>
      <c r="N95" s="7">
        <v>2959.1990000000001</v>
      </c>
      <c r="O95" s="7">
        <v>2835.7669999999998</v>
      </c>
      <c r="P95" s="7">
        <v>2748.509</v>
      </c>
      <c r="R95" s="5">
        <f t="shared" si="4"/>
        <v>2854.5744666666665</v>
      </c>
      <c r="S95" s="5">
        <f t="shared" si="5"/>
        <v>89.767184329233913</v>
      </c>
      <c r="U95" s="7">
        <v>106.25</v>
      </c>
      <c r="V95" s="7">
        <v>2911.7130000000002</v>
      </c>
      <c r="W95" s="7">
        <v>2609.1889999999999</v>
      </c>
      <c r="X95" s="7">
        <v>2409.84</v>
      </c>
      <c r="Y95" s="7">
        <v>2457.902</v>
      </c>
      <c r="Z95" s="7">
        <v>2933.9720000000002</v>
      </c>
      <c r="AA95" s="7">
        <v>2730.1990000000001</v>
      </c>
      <c r="AB95" s="7">
        <v>3206.6680000000001</v>
      </c>
      <c r="AC95" s="7">
        <v>3261.7080000000001</v>
      </c>
      <c r="AD95" s="7">
        <v>3243.3310000000001</v>
      </c>
      <c r="AE95" s="7">
        <v>2426.8629999999998</v>
      </c>
      <c r="AF95" s="7">
        <v>3215.598</v>
      </c>
      <c r="AG95" s="7">
        <v>2944.922</v>
      </c>
      <c r="AH95" s="7">
        <v>3380.4430000000002</v>
      </c>
      <c r="AI95" s="7">
        <v>2985.9630000000002</v>
      </c>
      <c r="AJ95" s="7">
        <v>2846.2130000000002</v>
      </c>
      <c r="AL95" s="6">
        <f t="shared" si="6"/>
        <v>3038.1301250000001</v>
      </c>
      <c r="AM95" s="6">
        <f t="shared" si="7"/>
        <v>108.78027171525267</v>
      </c>
    </row>
    <row r="96" spans="1:39" x14ac:dyDescent="0.2">
      <c r="A96" s="7">
        <v>107.5</v>
      </c>
      <c r="B96" s="7">
        <v>2381.136</v>
      </c>
      <c r="C96" s="7">
        <v>2987.76</v>
      </c>
      <c r="D96" s="7">
        <v>3318.3850000000002</v>
      </c>
      <c r="E96" s="7">
        <v>3426.3969999999999</v>
      </c>
      <c r="F96" s="7">
        <v>3060.72</v>
      </c>
      <c r="G96" s="7">
        <v>2869.6909999999998</v>
      </c>
      <c r="H96" s="7">
        <v>2752.962</v>
      </c>
      <c r="I96" s="7">
        <v>3232.6610000000001</v>
      </c>
      <c r="J96" s="7">
        <v>2599.3380000000002</v>
      </c>
      <c r="K96" s="7">
        <v>2360.9949999999999</v>
      </c>
      <c r="L96" s="7">
        <v>2240.8389999999999</v>
      </c>
      <c r="M96" s="7">
        <v>2964.049</v>
      </c>
      <c r="N96" s="7">
        <v>2944.3530000000001</v>
      </c>
      <c r="O96" s="7">
        <v>2820.9450000000002</v>
      </c>
      <c r="P96" s="7">
        <v>2719.7820000000002</v>
      </c>
      <c r="R96" s="5">
        <f t="shared" si="4"/>
        <v>2845.3341999999998</v>
      </c>
      <c r="S96" s="5">
        <f t="shared" si="5"/>
        <v>90.065696566461867</v>
      </c>
      <c r="U96" s="7">
        <v>107.5</v>
      </c>
      <c r="V96" s="7">
        <v>2906.7919999999999</v>
      </c>
      <c r="W96" s="7">
        <v>2615.5149999999999</v>
      </c>
      <c r="X96" s="7">
        <v>2413.232</v>
      </c>
      <c r="Y96" s="7">
        <v>2434.6320000000001</v>
      </c>
      <c r="Z96" s="7">
        <v>2927.7860000000001</v>
      </c>
      <c r="AA96" s="7">
        <v>2717.4160000000002</v>
      </c>
      <c r="AB96" s="7">
        <v>3203.2429999999999</v>
      </c>
      <c r="AC96" s="7">
        <v>3255.45</v>
      </c>
      <c r="AD96" s="7">
        <v>3225.498</v>
      </c>
      <c r="AE96" s="7">
        <v>2391.6</v>
      </c>
      <c r="AF96" s="7">
        <v>3200.07</v>
      </c>
      <c r="AG96" s="7">
        <v>2921.8670000000002</v>
      </c>
      <c r="AH96" s="7">
        <v>3351.9409999999998</v>
      </c>
      <c r="AI96" s="7">
        <v>2975.3530000000001</v>
      </c>
      <c r="AJ96" s="7">
        <v>2801.9180000000001</v>
      </c>
      <c r="AL96" s="6">
        <f t="shared" si="6"/>
        <v>3015.462125</v>
      </c>
      <c r="AM96" s="6">
        <f t="shared" si="7"/>
        <v>111.33774095636045</v>
      </c>
    </row>
  </sheetData>
  <mergeCells count="2">
    <mergeCell ref="A1:P1"/>
    <mergeCell ref="U1:AJ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DIM</vt:lpstr>
      <vt:lpstr>BRIGHT</vt:lpstr>
      <vt:lpstr>BRIGHT!OCT_RAW___\YA04\_dark_profiles_YA04_DARK</vt:lpstr>
      <vt:lpstr>DIM!OCT_RAW___\YA04\_dark_profiles_YA04_DARK_dim</vt:lpstr>
      <vt:lpstr>BRIGHT!OCT_RAW___\YA04\_light_profiles_YA04_LIGHT</vt:lpstr>
      <vt:lpstr>DIM!OCT_RAW___\YA04\_light_profiles_YA04_LIGHT_dim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Dave</cp:lastModifiedBy>
  <dcterms:created xsi:type="dcterms:W3CDTF">2015-06-05T18:17:20Z</dcterms:created>
  <dcterms:modified xsi:type="dcterms:W3CDTF">2019-11-16T23:26:49Z</dcterms:modified>
</cp:coreProperties>
</file>