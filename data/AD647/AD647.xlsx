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647\"/>
    </mc:Choice>
  </mc:AlternateContent>
  <xr:revisionPtr revIDLastSave="0" documentId="13_ncr:1_{9C06FCE3-4D7D-4047-B648-A1F8D7A68FB5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08\_dark_profiles_AD08_DARK" localSheetId="0">BRIGHT!$A$2:$F$96</definedName>
    <definedName name="OCT_RAW___\AD08\_fovea_dark_profiles_AD08_DARK" localSheetId="0">BRIGHT!#REF!</definedName>
    <definedName name="OCT_RAW___\AD08\_fovea_light_profiles_AD08_LIGHT" localSheetId="0">BRIGHT!#REF!</definedName>
    <definedName name="OCT_RAW___\AD08\_light_profiles_AD08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B652B2-F72D-43EF-8F80-45CFB49C6E93}" name="[[[OCT RAW]]]\AD08\_dark_profiles_AD08_DARK" type="6" refreshedVersion="6" background="1" saveData="1">
    <textPr codePage="437" sourceFile="E:\[Documents]\[[[OCT RAW]]]\AD08\_dark_profiles_AD08_DARK.txt" space="1" consecutive="1">
      <textFields count="6">
        <textField/>
        <textField/>
        <textField/>
        <textField/>
        <textField/>
        <textField/>
      </textFields>
    </textPr>
  </connection>
  <connection id="2" xr16:uid="{E3433B28-D3AA-4F2C-A286-9E0BC95111ED}" name="[[[OCT RAW]]]\AD08\_light_profiles_AD08_LIGHT" type="6" refreshedVersion="6" background="1" saveData="1">
    <textPr codePage="437" sourceFile="E:\[Documents]\[[[OCT RAW]]]\AD08\_light_profiles_AD08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<sst xmlns="http://schemas.openxmlformats.org/spreadsheetml/2006/main" count="12" uniqueCount="8">
  <si>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</si>
  <si>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</si>
  <si>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</si>
  <si>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</si>
  <si>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</si>
  <si>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</si>
  <si>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AD647_DARK</t>
  </si>
  <si>
    <t>AD647_LIGHT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</si>
</sst>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537.35180000000003</c:v>
                </c:pt>
                <c:pt idx="1">
                  <c:v>816.37339999999995</c:v>
                </c:pt>
                <c:pt idx="2">
                  <c:v>1535.1782000000001</c:v>
                </c:pt>
                <c:pt idx="3">
                  <c:v>2315.7312000000002</c:v>
                </c:pt>
                <c:pt idx="4">
                  <c:v>3108.9241999999999</c:v>
                </c:pt>
                <c:pt idx="5">
                  <c:v>3695.7434000000003</c:v>
                </c:pt>
                <c:pt idx="6">
                  <c:v>4004.0774000000006</c:v>
                </c:pt>
                <c:pt idx="7">
                  <c:v>4123.1059999999998</c:v>
                </c:pt>
                <c:pt idx="8">
                  <c:v>4159.1907999999994</c:v>
                </c:pt>
                <c:pt idx="9">
                  <c:v>4089.2195999999994</c:v>
                </c:pt>
                <c:pt idx="10">
                  <c:v>3871.8362000000002</c:v>
                </c:pt>
                <c:pt idx="11">
                  <c:v>3475.6699999999996</c:v>
                </c:pt>
                <c:pt idx="12">
                  <c:v>3178.4129999999996</c:v>
                </c:pt>
                <c:pt idx="13">
                  <c:v>3017.2015999999999</c:v>
                </c:pt>
                <c:pt idx="14">
                  <c:v>2961.6675999999998</c:v>
                </c:pt>
                <c:pt idx="15">
                  <c:v>2964.8184000000001</c:v>
                </c:pt>
                <c:pt idx="16">
                  <c:v>2990.0183999999999</c:v>
                </c:pt>
                <c:pt idx="17">
                  <c:v>3008.3436000000006</c:v>
                </c:pt>
                <c:pt idx="18">
                  <c:v>3001.0896000000002</c:v>
                </c:pt>
                <c:pt idx="19">
                  <c:v>2968.6482000000005</c:v>
                </c:pt>
                <c:pt idx="20">
                  <c:v>2930.2582000000002</c:v>
                </c:pt>
                <c:pt idx="21">
                  <c:v>2901.3391999999999</c:v>
                </c:pt>
                <c:pt idx="22">
                  <c:v>2893.6812</c:v>
                </c:pt>
                <c:pt idx="23">
                  <c:v>2913.3516000000004</c:v>
                </c:pt>
                <c:pt idx="24">
                  <c:v>2936.9460000000004</c:v>
                </c:pt>
                <c:pt idx="25">
                  <c:v>2942.9204</c:v>
                </c:pt>
                <c:pt idx="26">
                  <c:v>2948.8406000000004</c:v>
                </c:pt>
                <c:pt idx="27">
                  <c:v>2968.3304000000003</c:v>
                </c:pt>
                <c:pt idx="28">
                  <c:v>2982.4749999999999</c:v>
                </c:pt>
                <c:pt idx="29">
                  <c:v>2977.2140000000004</c:v>
                </c:pt>
                <c:pt idx="30">
                  <c:v>2951.308</c:v>
                </c:pt>
                <c:pt idx="31">
                  <c:v>2893.3751999999999</c:v>
                </c:pt>
                <c:pt idx="32">
                  <c:v>2775.4337999999998</c:v>
                </c:pt>
                <c:pt idx="33">
                  <c:v>2611.4096</c:v>
                </c:pt>
                <c:pt idx="34">
                  <c:v>2436.7352000000001</c:v>
                </c:pt>
                <c:pt idx="35">
                  <c:v>2320.6974</c:v>
                </c:pt>
                <c:pt idx="36">
                  <c:v>2263.0336000000002</c:v>
                </c:pt>
                <c:pt idx="37">
                  <c:v>2246.2575999999999</c:v>
                </c:pt>
                <c:pt idx="38">
                  <c:v>2257.8247999999999</c:v>
                </c:pt>
                <c:pt idx="39">
                  <c:v>2291.5506</c:v>
                </c:pt>
                <c:pt idx="40">
                  <c:v>2352.7383999999997</c:v>
                </c:pt>
                <c:pt idx="41">
                  <c:v>2441.3594000000003</c:v>
                </c:pt>
                <c:pt idx="42">
                  <c:v>2543.7736</c:v>
                </c:pt>
                <c:pt idx="43">
                  <c:v>2640.9243999999999</c:v>
                </c:pt>
                <c:pt idx="44">
                  <c:v>2696.1778000000004</c:v>
                </c:pt>
                <c:pt idx="45">
                  <c:v>2709.0527999999999</c:v>
                </c:pt>
                <c:pt idx="46">
                  <c:v>2711.1985999999997</c:v>
                </c:pt>
                <c:pt idx="47">
                  <c:v>2674.1459999999997</c:v>
                </c:pt>
                <c:pt idx="48">
                  <c:v>2573.6853999999998</c:v>
                </c:pt>
                <c:pt idx="49">
                  <c:v>2445.3444</c:v>
                </c:pt>
                <c:pt idx="50">
                  <c:v>2330.9964</c:v>
                </c:pt>
                <c:pt idx="51">
                  <c:v>2240.1135999999997</c:v>
                </c:pt>
                <c:pt idx="52">
                  <c:v>2149.8155999999999</c:v>
                </c:pt>
                <c:pt idx="53">
                  <c:v>2068.3444</c:v>
                </c:pt>
                <c:pt idx="54">
                  <c:v>1990.075</c:v>
                </c:pt>
                <c:pt idx="55">
                  <c:v>1922.4707999999998</c:v>
                </c:pt>
                <c:pt idx="56">
                  <c:v>1865.1507999999999</c:v>
                </c:pt>
                <c:pt idx="57">
                  <c:v>1809.9929999999999</c:v>
                </c:pt>
                <c:pt idx="58">
                  <c:v>1757.8256000000001</c:v>
                </c:pt>
                <c:pt idx="59">
                  <c:v>1721.7157999999999</c:v>
                </c:pt>
                <c:pt idx="60">
                  <c:v>1703.8696</c:v>
                </c:pt>
                <c:pt idx="61">
                  <c:v>1694.6148000000001</c:v>
                </c:pt>
                <c:pt idx="62">
                  <c:v>1702.9849999999999</c:v>
                </c:pt>
                <c:pt idx="63">
                  <c:v>1795.3568</c:v>
                </c:pt>
                <c:pt idx="64">
                  <c:v>1973.5907999999999</c:v>
                </c:pt>
                <c:pt idx="65">
                  <c:v>2069.6884</c:v>
                </c:pt>
                <c:pt idx="66">
                  <c:v>1996.0696</c:v>
                </c:pt>
                <c:pt idx="67">
                  <c:v>1869.1523999999997</c:v>
                </c:pt>
                <c:pt idx="68">
                  <c:v>1918.2028000000003</c:v>
                </c:pt>
                <c:pt idx="69">
                  <c:v>2324.1289999999999</c:v>
                </c:pt>
                <c:pt idx="70">
                  <c:v>2984.3656000000001</c:v>
                </c:pt>
                <c:pt idx="71">
                  <c:v>3446.8159999999998</c:v>
                </c:pt>
                <c:pt idx="72">
                  <c:v>3443.4230000000002</c:v>
                </c:pt>
                <c:pt idx="73">
                  <c:v>3065.4843999999998</c:v>
                </c:pt>
                <c:pt idx="74">
                  <c:v>2703.0042000000003</c:v>
                </c:pt>
                <c:pt idx="75">
                  <c:v>2612.8728000000001</c:v>
                </c:pt>
                <c:pt idx="76">
                  <c:v>2689.2379999999998</c:v>
                </c:pt>
                <c:pt idx="77">
                  <c:v>2828.4344000000001</c:v>
                </c:pt>
                <c:pt idx="78">
                  <c:v>3104.0796</c:v>
                </c:pt>
                <c:pt idx="79">
                  <c:v>3490.4324000000001</c:v>
                </c:pt>
                <c:pt idx="80">
                  <c:v>3848.7608</c:v>
                </c:pt>
                <c:pt idx="81">
                  <c:v>4203.0585999999994</c:v>
                </c:pt>
                <c:pt idx="82">
                  <c:v>4503.1808000000001</c:v>
                </c:pt>
                <c:pt idx="83">
                  <c:v>4572.2190000000001</c:v>
                </c:pt>
                <c:pt idx="84">
                  <c:v>4373.6728000000003</c:v>
                </c:pt>
                <c:pt idx="85">
                  <c:v>3960.7093999999997</c:v>
                </c:pt>
                <c:pt idx="86">
                  <c:v>3396.8892000000001</c:v>
                </c:pt>
                <c:pt idx="87">
                  <c:v>2933.3120000000004</c:v>
                </c:pt>
                <c:pt idx="88">
                  <c:v>2734.5473999999999</c:v>
                </c:pt>
                <c:pt idx="89">
                  <c:v>2652.3370000000004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553.76580000000001</c:v>
                </c:pt>
                <c:pt idx="1">
                  <c:v>767.2102000000001</c:v>
                </c:pt>
                <c:pt idx="2">
                  <c:v>1363.0412000000001</c:v>
                </c:pt>
                <c:pt idx="3">
                  <c:v>2033.6050000000002</c:v>
                </c:pt>
                <c:pt idx="4">
                  <c:v>2712.4232000000002</c:v>
                </c:pt>
                <c:pt idx="5">
                  <c:v>3246.56</c:v>
                </c:pt>
                <c:pt idx="6">
                  <c:v>3507.1622000000002</c:v>
                </c:pt>
                <c:pt idx="7">
                  <c:v>3612.8247999999999</c:v>
                </c:pt>
                <c:pt idx="8">
                  <c:v>3631.1620000000003</c:v>
                </c:pt>
                <c:pt idx="9">
                  <c:v>3570.9211999999998</c:v>
                </c:pt>
                <c:pt idx="10">
                  <c:v>3375.6675999999998</c:v>
                </c:pt>
                <c:pt idx="11">
                  <c:v>3032.4892</c:v>
                </c:pt>
                <c:pt idx="12">
                  <c:v>2761.2853999999998</c:v>
                </c:pt>
                <c:pt idx="13">
                  <c:v>2594.2977999999998</c:v>
                </c:pt>
                <c:pt idx="14">
                  <c:v>2532.3391999999999</c:v>
                </c:pt>
                <c:pt idx="15">
                  <c:v>2532.4919999999997</c:v>
                </c:pt>
                <c:pt idx="16">
                  <c:v>2555.9234000000001</c:v>
                </c:pt>
                <c:pt idx="17">
                  <c:v>2570.4108000000001</c:v>
                </c:pt>
                <c:pt idx="18">
                  <c:v>2561.7707999999998</c:v>
                </c:pt>
                <c:pt idx="19">
                  <c:v>2522.9957999999997</c:v>
                </c:pt>
                <c:pt idx="20">
                  <c:v>2477.1725999999999</c:v>
                </c:pt>
                <c:pt idx="21">
                  <c:v>2449.1174000000001</c:v>
                </c:pt>
                <c:pt idx="22">
                  <c:v>2447.9560000000001</c:v>
                </c:pt>
                <c:pt idx="23">
                  <c:v>2458.8044</c:v>
                </c:pt>
                <c:pt idx="24">
                  <c:v>2472.5488</c:v>
                </c:pt>
                <c:pt idx="25">
                  <c:v>2476.42</c:v>
                </c:pt>
                <c:pt idx="26">
                  <c:v>2481.3180000000002</c:v>
                </c:pt>
                <c:pt idx="27">
                  <c:v>2495.5414000000001</c:v>
                </c:pt>
                <c:pt idx="28">
                  <c:v>2509.5255999999999</c:v>
                </c:pt>
                <c:pt idx="29">
                  <c:v>2510.136</c:v>
                </c:pt>
                <c:pt idx="30">
                  <c:v>2497.5654</c:v>
                </c:pt>
                <c:pt idx="31">
                  <c:v>2446.471</c:v>
                </c:pt>
                <c:pt idx="32">
                  <c:v>2338.2857999999997</c:v>
                </c:pt>
                <c:pt idx="33">
                  <c:v>2184.9205999999999</c:v>
                </c:pt>
                <c:pt idx="34">
                  <c:v>2038.9746</c:v>
                </c:pt>
                <c:pt idx="35">
                  <c:v>1937.1864</c:v>
                </c:pt>
                <c:pt idx="36">
                  <c:v>1879.3991999999998</c:v>
                </c:pt>
                <c:pt idx="37">
                  <c:v>1864.2655999999999</c:v>
                </c:pt>
                <c:pt idx="38">
                  <c:v>1870.4392</c:v>
                </c:pt>
                <c:pt idx="39">
                  <c:v>1896.2216000000001</c:v>
                </c:pt>
                <c:pt idx="40">
                  <c:v>1944.9810000000002</c:v>
                </c:pt>
                <c:pt idx="41">
                  <c:v>2016.8112000000001</c:v>
                </c:pt>
                <c:pt idx="42">
                  <c:v>2097.3234000000002</c:v>
                </c:pt>
                <c:pt idx="43">
                  <c:v>2169.4903999999997</c:v>
                </c:pt>
                <c:pt idx="44">
                  <c:v>2212.4097999999999</c:v>
                </c:pt>
                <c:pt idx="45">
                  <c:v>2219.4295999999999</c:v>
                </c:pt>
                <c:pt idx="46">
                  <c:v>2211.3418000000001</c:v>
                </c:pt>
                <c:pt idx="47">
                  <c:v>2172.6496000000002</c:v>
                </c:pt>
                <c:pt idx="48">
                  <c:v>2085.9178000000002</c:v>
                </c:pt>
                <c:pt idx="49">
                  <c:v>1966.3650000000002</c:v>
                </c:pt>
                <c:pt idx="50">
                  <c:v>1854.7541999999999</c:v>
                </c:pt>
                <c:pt idx="51">
                  <c:v>1774.9566</c:v>
                </c:pt>
                <c:pt idx="52">
                  <c:v>1706.5702000000001</c:v>
                </c:pt>
                <c:pt idx="53">
                  <c:v>1647.5462</c:v>
                </c:pt>
                <c:pt idx="54">
                  <c:v>1599.3206</c:v>
                </c:pt>
                <c:pt idx="55">
                  <c:v>1555.4998000000001</c:v>
                </c:pt>
                <c:pt idx="56">
                  <c:v>1511.598</c:v>
                </c:pt>
                <c:pt idx="57">
                  <c:v>1476.7444</c:v>
                </c:pt>
                <c:pt idx="58">
                  <c:v>1445.7384000000002</c:v>
                </c:pt>
                <c:pt idx="59">
                  <c:v>1416.0978</c:v>
                </c:pt>
                <c:pt idx="60">
                  <c:v>1395.9277999999999</c:v>
                </c:pt>
                <c:pt idx="61">
                  <c:v>1379.8024</c:v>
                </c:pt>
                <c:pt idx="62">
                  <c:v>1394.9721999999999</c:v>
                </c:pt>
                <c:pt idx="63">
                  <c:v>1487.5261999999998</c:v>
                </c:pt>
                <c:pt idx="64">
                  <c:v>1654.3324</c:v>
                </c:pt>
                <c:pt idx="65">
                  <c:v>1745.8581999999999</c:v>
                </c:pt>
                <c:pt idx="66">
                  <c:v>1681.0822000000001</c:v>
                </c:pt>
                <c:pt idx="67">
                  <c:v>1561.9276</c:v>
                </c:pt>
                <c:pt idx="68">
                  <c:v>1616.9703999999999</c:v>
                </c:pt>
                <c:pt idx="69">
                  <c:v>2091.8419999999996</c:v>
                </c:pt>
                <c:pt idx="70">
                  <c:v>2840.3245999999999</c:v>
                </c:pt>
                <c:pt idx="71">
                  <c:v>3368.5493999999999</c:v>
                </c:pt>
                <c:pt idx="72">
                  <c:v>3364.8505999999993</c:v>
                </c:pt>
                <c:pt idx="73">
                  <c:v>2926.8717999999999</c:v>
                </c:pt>
                <c:pt idx="74">
                  <c:v>2499.4625999999998</c:v>
                </c:pt>
                <c:pt idx="75">
                  <c:v>2450.3631999999998</c:v>
                </c:pt>
                <c:pt idx="76">
                  <c:v>2617.4139999999998</c:v>
                </c:pt>
                <c:pt idx="77">
                  <c:v>2787.3306000000002</c:v>
                </c:pt>
                <c:pt idx="78">
                  <c:v>2947.6822000000002</c:v>
                </c:pt>
                <c:pt idx="79">
                  <c:v>3130.9070000000002</c:v>
                </c:pt>
                <c:pt idx="80">
                  <c:v>3309.5474000000004</c:v>
                </c:pt>
                <c:pt idx="81">
                  <c:v>3521.7864</c:v>
                </c:pt>
                <c:pt idx="82">
                  <c:v>3770.8760000000002</c:v>
                </c:pt>
                <c:pt idx="83">
                  <c:v>3901.9960000000001</c:v>
                </c:pt>
                <c:pt idx="84">
                  <c:v>3798.0104000000001</c:v>
                </c:pt>
                <c:pt idx="85">
                  <c:v>3489.4194000000002</c:v>
                </c:pt>
                <c:pt idx="86">
                  <c:v>3014.6179999999999</c:v>
                </c:pt>
                <c:pt idx="87">
                  <c:v>2579.3838000000005</c:v>
                </c:pt>
                <c:pt idx="88">
                  <c:v>2386.2534000000005</c:v>
                </c:pt>
                <c:pt idx="89">
                  <c:v>2319.3552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8\_light_profiles_AD08_LIGHT" connectionId="2" xr16:uid="{E48A084A-E6F2-4F46-B937-6E49D178642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8\_dark_profiles_AD08_DARK" connectionId="1" xr16:uid="{A26C7C94-E2E4-48E6-86B6-827B21A10DB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-4.0250000000000004</v>
      </c>
      <c r="C3">
        <v>-4.0199999999999996</v>
      </c>
      <c r="D3">
        <v>-5.6459999999999999</v>
      </c>
      <c r="E3">
        <v>-3.7869999999999999</v>
      </c>
      <c r="F3">
        <v>-4.8710000000000004</v>
      </c>
      <c r="K3" t="s">
        <v>0</v>
      </c>
      <c r="L3">
        <v>-5.8970000000000002</v>
      </c>
      <c r="M3">
        <v>-1.216</v>
      </c>
      <c r="N3">
        <v>-2.5870000000000002</v>
      </c>
      <c r="O3">
        <v>-2.5430000000000001</v>
      </c>
      <c r="P3">
        <v>-1.1060000000000001</v>
      </c>
    </row>
    <row r="4" spans="1:19" x14ac:dyDescent="0.25">
      <c r="A4" t="s">
        <v>1</v>
      </c>
      <c r="B4">
        <v>305.875</v>
      </c>
      <c r="C4">
        <v>303.916</v>
      </c>
      <c r="D4">
        <v>304.79599999999999</v>
      </c>
      <c r="E4">
        <v>303.46100000000001</v>
      </c>
      <c r="F4">
        <v>303.52199999999999</v>
      </c>
      <c r="H4" s="2">
        <f>AVERAGE(B4:F4)</f>
        <v>304.31399999999996</v>
      </c>
      <c r="I4" s="2">
        <f>STDEV(B4:F4)/SQRT(COUNT(B4:F4))</f>
        <v>0.45729213857226908</v>
      </c>
      <c r="K4" t="s">
        <v>1</v>
      </c>
      <c r="L4">
        <v>302.49599999999998</v>
      </c>
      <c r="M4">
        <v>304.04000000000002</v>
      </c>
      <c r="N4">
        <v>304.15600000000001</v>
      </c>
      <c r="O4">
        <v>303.13</v>
      </c>
      <c r="P4">
        <v>303.43400000000003</v>
      </c>
      <c r="R4" s="3">
        <f>AVERAGE(L4:P4)</f>
        <v>303.45120000000003</v>
      </c>
      <c r="S4" s="3">
        <f>STDEV(L4:P4)/SQRT(COUNT(L4:P4))</f>
        <v>0.30490168907371357</v>
      </c>
    </row>
    <row r="5" spans="1:19" x14ac:dyDescent="0.25">
      <c r="A5" t="s">
        <v>2</v>
      </c>
      <c r="B5">
        <v>69.686000000000007</v>
      </c>
      <c r="C5">
        <v>69.278999999999996</v>
      </c>
      <c r="D5">
        <v>69.522000000000006</v>
      </c>
      <c r="E5">
        <v>69.77</v>
      </c>
      <c r="F5">
        <v>69.628</v>
      </c>
      <c r="H5" s="2">
        <f t="shared" ref="H5:H68" si="0">AVERAGE(B5:F5)</f>
        <v>69.576999999999998</v>
      </c>
      <c r="I5" s="2">
        <f t="shared" ref="I5:I68" si="1">STDEV(B5:F5)/SQRT(COUNT(B5:F5))</f>
        <v>8.4723078319900988E-2</v>
      </c>
      <c r="K5" t="s">
        <v>2</v>
      </c>
      <c r="L5">
        <v>69.495999999999995</v>
      </c>
      <c r="M5">
        <v>69.87</v>
      </c>
      <c r="N5">
        <v>69.983000000000004</v>
      </c>
      <c r="O5">
        <v>69.492999999999995</v>
      </c>
      <c r="P5">
        <v>69.090999999999994</v>
      </c>
      <c r="R5" s="3">
        <f t="shared" ref="R5:R68" si="2">AVERAGE(L5:P5)</f>
        <v>69.586600000000004</v>
      </c>
      <c r="S5" s="3">
        <f t="shared" ref="S5:S68" si="3">STDEV(L5:P5)/SQRT(COUNT(L5:P5))</f>
        <v>0.15811976473547093</v>
      </c>
    </row>
    <row r="6" spans="1:19" x14ac:dyDescent="0.25">
      <c r="A6" t="s">
        <v>3</v>
      </c>
      <c r="B6">
        <v>32.822000000000003</v>
      </c>
      <c r="C6">
        <v>34.015000000000001</v>
      </c>
      <c r="D6">
        <v>34.963000000000001</v>
      </c>
      <c r="E6">
        <v>34.063000000000002</v>
      </c>
      <c r="F6">
        <v>33.326999999999998</v>
      </c>
      <c r="H6" s="2">
        <f t="shared" si="0"/>
        <v>33.838000000000001</v>
      </c>
      <c r="I6" s="2">
        <f t="shared" si="1"/>
        <v>0.36338381912242596</v>
      </c>
      <c r="K6" t="s">
        <v>3</v>
      </c>
      <c r="L6">
        <v>33.517000000000003</v>
      </c>
      <c r="M6">
        <v>33.658000000000001</v>
      </c>
      <c r="N6">
        <v>33.115000000000002</v>
      </c>
      <c r="O6">
        <v>33.569000000000003</v>
      </c>
      <c r="P6">
        <v>33.951000000000001</v>
      </c>
      <c r="R6" s="3">
        <f t="shared" si="2"/>
        <v>33.562000000000005</v>
      </c>
      <c r="S6" s="3">
        <f t="shared" si="3"/>
        <v>0.13461426373159693</v>
      </c>
    </row>
    <row r="7" spans="1:19" x14ac:dyDescent="0.25">
      <c r="A7">
        <v>-3.75</v>
      </c>
      <c r="B7">
        <v>657.99599999999998</v>
      </c>
      <c r="C7">
        <v>447.274</v>
      </c>
      <c r="D7">
        <v>494.78699999999998</v>
      </c>
      <c r="E7">
        <v>540.73699999999997</v>
      </c>
      <c r="F7">
        <v>545.96500000000003</v>
      </c>
      <c r="H7" s="2">
        <f t="shared" si="0"/>
        <v>537.35180000000003</v>
      </c>
      <c r="I7" s="2">
        <f t="shared" si="1"/>
        <v>35.047426466717823</v>
      </c>
      <c r="K7">
        <v>-3.75</v>
      </c>
      <c r="L7">
        <v>544.12800000000004</v>
      </c>
      <c r="M7">
        <v>469.49900000000002</v>
      </c>
      <c r="N7">
        <v>616.94899999999996</v>
      </c>
      <c r="O7">
        <v>696.62300000000005</v>
      </c>
      <c r="P7">
        <v>441.63</v>
      </c>
      <c r="R7" s="3">
        <f t="shared" si="2"/>
        <v>553.76580000000001</v>
      </c>
      <c r="S7" s="3">
        <f t="shared" si="3"/>
        <v>46.993890436310963</v>
      </c>
    </row>
    <row r="8" spans="1:19" x14ac:dyDescent="0.25">
      <c r="A8">
        <v>-2.5</v>
      </c>
      <c r="B8">
        <v>919.50099999999998</v>
      </c>
      <c r="C8">
        <v>699.50099999999998</v>
      </c>
      <c r="D8">
        <v>774.43700000000001</v>
      </c>
      <c r="E8">
        <v>835.35799999999995</v>
      </c>
      <c r="F8">
        <v>853.07</v>
      </c>
      <c r="H8" s="2">
        <f t="shared" si="0"/>
        <v>816.37339999999995</v>
      </c>
      <c r="I8" s="2">
        <f t="shared" si="1"/>
        <v>37.255990724445915</v>
      </c>
      <c r="K8">
        <v>-2.5</v>
      </c>
      <c r="L8">
        <v>778.29200000000003</v>
      </c>
      <c r="M8">
        <v>684.89599999999996</v>
      </c>
      <c r="N8">
        <v>921.65300000000002</v>
      </c>
      <c r="O8">
        <v>845.55399999999997</v>
      </c>
      <c r="P8">
        <v>605.65599999999995</v>
      </c>
      <c r="R8" s="3">
        <f t="shared" si="2"/>
        <v>767.2102000000001</v>
      </c>
      <c r="S8" s="3">
        <f t="shared" si="3"/>
        <v>56.119748226804973</v>
      </c>
    </row>
    <row r="9" spans="1:19" x14ac:dyDescent="0.25">
      <c r="A9">
        <v>-1.25</v>
      </c>
      <c r="B9">
        <v>1730.8910000000001</v>
      </c>
      <c r="C9">
        <v>1395.4259999999999</v>
      </c>
      <c r="D9">
        <v>1415.4960000000001</v>
      </c>
      <c r="E9">
        <v>1568.8230000000001</v>
      </c>
      <c r="F9">
        <v>1565.2550000000001</v>
      </c>
      <c r="H9" s="2">
        <f t="shared" si="0"/>
        <v>1535.1782000000001</v>
      </c>
      <c r="I9" s="2">
        <f t="shared" si="1"/>
        <v>60.907550004412442</v>
      </c>
      <c r="K9">
        <v>-1.25</v>
      </c>
      <c r="L9">
        <v>1472.539</v>
      </c>
      <c r="M9">
        <v>1302.876</v>
      </c>
      <c r="N9">
        <v>1520.087</v>
      </c>
      <c r="O9">
        <v>1449.2750000000001</v>
      </c>
      <c r="P9">
        <v>1070.4290000000001</v>
      </c>
      <c r="R9" s="3">
        <f t="shared" si="2"/>
        <v>1363.0412000000001</v>
      </c>
      <c r="S9" s="3">
        <f t="shared" si="3"/>
        <v>81.648995904664758</v>
      </c>
    </row>
    <row r="10" spans="1:19" x14ac:dyDescent="0.25">
      <c r="A10">
        <v>0</v>
      </c>
      <c r="B10">
        <v>2576.4319999999998</v>
      </c>
      <c r="C10">
        <v>2147.471</v>
      </c>
      <c r="D10">
        <v>2156.3789999999999</v>
      </c>
      <c r="E10">
        <v>2362.6410000000001</v>
      </c>
      <c r="F10">
        <v>2335.7330000000002</v>
      </c>
      <c r="H10" s="2">
        <f t="shared" si="0"/>
        <v>2315.7312000000002</v>
      </c>
      <c r="I10" s="2">
        <f t="shared" si="1"/>
        <v>78.82579749320648</v>
      </c>
      <c r="K10">
        <v>0</v>
      </c>
      <c r="L10">
        <v>2246.3209999999999</v>
      </c>
      <c r="M10">
        <v>1955.7170000000001</v>
      </c>
      <c r="N10">
        <v>2226.1170000000002</v>
      </c>
      <c r="O10">
        <v>2123.2049999999999</v>
      </c>
      <c r="P10">
        <v>1616.665</v>
      </c>
      <c r="R10" s="3">
        <f t="shared" si="2"/>
        <v>2033.6050000000002</v>
      </c>
      <c r="S10" s="3">
        <f t="shared" si="3"/>
        <v>116.24169452997383</v>
      </c>
    </row>
    <row r="11" spans="1:19" x14ac:dyDescent="0.25">
      <c r="A11">
        <v>1.25</v>
      </c>
      <c r="B11">
        <v>3426.5</v>
      </c>
      <c r="C11">
        <v>2931.2040000000002</v>
      </c>
      <c r="D11">
        <v>2913.473</v>
      </c>
      <c r="E11">
        <v>3161.989</v>
      </c>
      <c r="F11">
        <v>3111.4549999999999</v>
      </c>
      <c r="H11" s="2">
        <f t="shared" si="0"/>
        <v>3108.9241999999999</v>
      </c>
      <c r="I11" s="2">
        <f t="shared" si="1"/>
        <v>93.129562374897887</v>
      </c>
      <c r="K11">
        <v>1.25</v>
      </c>
      <c r="L11">
        <v>3016.9349999999999</v>
      </c>
      <c r="M11">
        <v>2643.2530000000002</v>
      </c>
      <c r="N11">
        <v>2905.4810000000002</v>
      </c>
      <c r="O11">
        <v>2819.7170000000001</v>
      </c>
      <c r="P11">
        <v>2176.73</v>
      </c>
      <c r="R11" s="3">
        <f t="shared" si="2"/>
        <v>2712.4232000000002</v>
      </c>
      <c r="S11" s="3">
        <f t="shared" si="3"/>
        <v>147.1839717993787</v>
      </c>
    </row>
    <row r="12" spans="1:19" x14ac:dyDescent="0.25">
      <c r="A12">
        <v>2.5</v>
      </c>
      <c r="B12">
        <v>4062.2649999999999</v>
      </c>
      <c r="C12">
        <v>3476.4589999999998</v>
      </c>
      <c r="D12">
        <v>3449.4009999999998</v>
      </c>
      <c r="E12">
        <v>3759.067</v>
      </c>
      <c r="F12">
        <v>3731.5250000000001</v>
      </c>
      <c r="H12" s="2">
        <f t="shared" si="0"/>
        <v>3695.7434000000003</v>
      </c>
      <c r="I12" s="2">
        <f t="shared" si="1"/>
        <v>111.4447196154219</v>
      </c>
      <c r="K12">
        <v>2.5</v>
      </c>
      <c r="L12">
        <v>3585.8829999999998</v>
      </c>
      <c r="M12">
        <v>3195.1030000000001</v>
      </c>
      <c r="N12">
        <v>3507.4659999999999</v>
      </c>
      <c r="O12">
        <v>3346.2350000000001</v>
      </c>
      <c r="P12">
        <v>2598.1129999999998</v>
      </c>
      <c r="R12" s="3">
        <f t="shared" si="2"/>
        <v>3246.56</v>
      </c>
      <c r="S12" s="3">
        <f t="shared" si="3"/>
        <v>175.53895286346071</v>
      </c>
    </row>
    <row r="13" spans="1:19" x14ac:dyDescent="0.25">
      <c r="A13">
        <v>3.75</v>
      </c>
      <c r="B13">
        <v>4357.8100000000004</v>
      </c>
      <c r="C13">
        <v>3798.6410000000001</v>
      </c>
      <c r="D13">
        <v>3749.835</v>
      </c>
      <c r="E13">
        <v>4078.172</v>
      </c>
      <c r="F13">
        <v>4035.9290000000001</v>
      </c>
      <c r="H13" s="2">
        <f t="shared" si="0"/>
        <v>4004.0774000000006</v>
      </c>
      <c r="I13" s="2">
        <f t="shared" si="1"/>
        <v>109.19583299677699</v>
      </c>
      <c r="K13">
        <v>3.75</v>
      </c>
      <c r="L13">
        <v>3887.6709999999998</v>
      </c>
      <c r="M13">
        <v>3462.7559999999999</v>
      </c>
      <c r="N13">
        <v>3764.386</v>
      </c>
      <c r="O13">
        <v>3612.663</v>
      </c>
      <c r="P13">
        <v>2808.335</v>
      </c>
      <c r="R13" s="3">
        <f t="shared" si="2"/>
        <v>3507.1622000000002</v>
      </c>
      <c r="S13" s="3">
        <f t="shared" si="3"/>
        <v>188.73431259614617</v>
      </c>
    </row>
    <row r="14" spans="1:19" x14ac:dyDescent="0.25">
      <c r="A14">
        <v>5</v>
      </c>
      <c r="B14">
        <v>4523.83</v>
      </c>
      <c r="C14">
        <v>3910.625</v>
      </c>
      <c r="D14">
        <v>3857.7939999999999</v>
      </c>
      <c r="E14">
        <v>4177.6260000000002</v>
      </c>
      <c r="F14">
        <v>4145.6549999999997</v>
      </c>
      <c r="H14" s="2">
        <f t="shared" si="0"/>
        <v>4123.1059999999998</v>
      </c>
      <c r="I14" s="2">
        <f t="shared" si="1"/>
        <v>118.23689032658125</v>
      </c>
      <c r="K14">
        <v>5</v>
      </c>
      <c r="L14">
        <v>4046.846</v>
      </c>
      <c r="M14">
        <v>3555.8040000000001</v>
      </c>
      <c r="N14">
        <v>3858.0509999999999</v>
      </c>
      <c r="O14">
        <v>3703.1350000000002</v>
      </c>
      <c r="P14">
        <v>2900.288</v>
      </c>
      <c r="R14" s="3">
        <f t="shared" si="2"/>
        <v>3612.8247999999999</v>
      </c>
      <c r="S14" s="3">
        <f t="shared" si="3"/>
        <v>195.91149614389624</v>
      </c>
    </row>
    <row r="15" spans="1:19" x14ac:dyDescent="0.25">
      <c r="A15">
        <v>6.25</v>
      </c>
      <c r="B15">
        <v>4560.8609999999999</v>
      </c>
      <c r="C15">
        <v>3944.8890000000001</v>
      </c>
      <c r="D15">
        <v>3882.5129999999999</v>
      </c>
      <c r="E15">
        <v>4222.7520000000004</v>
      </c>
      <c r="F15">
        <v>4184.9390000000003</v>
      </c>
      <c r="H15" s="2">
        <f t="shared" si="0"/>
        <v>4159.1907999999994</v>
      </c>
      <c r="I15" s="2">
        <f t="shared" si="1"/>
        <v>120.10782905639412</v>
      </c>
      <c r="K15">
        <v>6.25</v>
      </c>
      <c r="L15">
        <v>4091.1219999999998</v>
      </c>
      <c r="M15">
        <v>3586.5940000000001</v>
      </c>
      <c r="N15">
        <v>3849.7220000000002</v>
      </c>
      <c r="O15">
        <v>3747.0830000000001</v>
      </c>
      <c r="P15">
        <v>2881.2890000000002</v>
      </c>
      <c r="R15" s="3">
        <f t="shared" si="2"/>
        <v>3631.1620000000003</v>
      </c>
      <c r="S15" s="3">
        <f t="shared" si="3"/>
        <v>204.58069021708735</v>
      </c>
    </row>
    <row r="16" spans="1:19" x14ac:dyDescent="0.25">
      <c r="A16">
        <v>7.5</v>
      </c>
      <c r="B16">
        <v>4498.6059999999998</v>
      </c>
      <c r="C16">
        <v>3878.8519999999999</v>
      </c>
      <c r="D16">
        <v>3818.6280000000002</v>
      </c>
      <c r="E16">
        <v>4121.9780000000001</v>
      </c>
      <c r="F16">
        <v>4128.0339999999997</v>
      </c>
      <c r="H16" s="2">
        <f t="shared" si="0"/>
        <v>4089.2195999999994</v>
      </c>
      <c r="I16" s="2">
        <f t="shared" si="1"/>
        <v>119.92731883169898</v>
      </c>
      <c r="K16">
        <v>7.5</v>
      </c>
      <c r="L16">
        <v>4034.3490000000002</v>
      </c>
      <c r="M16">
        <v>3504.1559999999999</v>
      </c>
      <c r="N16">
        <v>3786.7950000000001</v>
      </c>
      <c r="O16">
        <v>3673.0940000000001</v>
      </c>
      <c r="P16">
        <v>2856.212</v>
      </c>
      <c r="R16" s="3">
        <f t="shared" si="2"/>
        <v>3570.9211999999998</v>
      </c>
      <c r="S16" s="3">
        <f t="shared" si="3"/>
        <v>198.37753613940316</v>
      </c>
    </row>
    <row r="17" spans="1:19" x14ac:dyDescent="0.25">
      <c r="A17">
        <v>8.75</v>
      </c>
      <c r="B17">
        <v>4247.8500000000004</v>
      </c>
      <c r="C17">
        <v>3692.5459999999998</v>
      </c>
      <c r="D17">
        <v>3602.2280000000001</v>
      </c>
      <c r="E17">
        <v>3900.8229999999999</v>
      </c>
      <c r="F17">
        <v>3915.7339999999999</v>
      </c>
      <c r="H17" s="2">
        <f t="shared" si="0"/>
        <v>3871.8362000000002</v>
      </c>
      <c r="I17" s="2">
        <f t="shared" si="1"/>
        <v>111.57669705919787</v>
      </c>
      <c r="K17">
        <v>8.75</v>
      </c>
      <c r="L17">
        <v>3836.2089999999998</v>
      </c>
      <c r="M17">
        <v>3295.7809999999999</v>
      </c>
      <c r="N17">
        <v>3586.0859999999998</v>
      </c>
      <c r="O17">
        <v>3475.1959999999999</v>
      </c>
      <c r="P17">
        <v>2685.0659999999998</v>
      </c>
      <c r="R17" s="3">
        <f t="shared" si="2"/>
        <v>3375.6675999999998</v>
      </c>
      <c r="S17" s="3">
        <f t="shared" si="3"/>
        <v>193.59656832717928</v>
      </c>
    </row>
    <row r="18" spans="1:19" x14ac:dyDescent="0.25">
      <c r="A18">
        <v>10</v>
      </c>
      <c r="B18">
        <v>3804.42</v>
      </c>
      <c r="C18">
        <v>3309.3020000000001</v>
      </c>
      <c r="D18">
        <v>3233.44</v>
      </c>
      <c r="E18">
        <v>3495.078</v>
      </c>
      <c r="F18">
        <v>3536.11</v>
      </c>
      <c r="H18" s="2">
        <f t="shared" si="0"/>
        <v>3475.6699999999996</v>
      </c>
      <c r="I18" s="2">
        <f t="shared" si="1"/>
        <v>99.614233643591319</v>
      </c>
      <c r="K18">
        <v>10</v>
      </c>
      <c r="L18">
        <v>3498.5709999999999</v>
      </c>
      <c r="M18">
        <v>2957.7719999999999</v>
      </c>
      <c r="N18">
        <v>3222.0479999999998</v>
      </c>
      <c r="O18">
        <v>3097.364</v>
      </c>
      <c r="P18">
        <v>2386.6909999999998</v>
      </c>
      <c r="R18" s="3">
        <f t="shared" si="2"/>
        <v>3032.4892</v>
      </c>
      <c r="S18" s="3">
        <f t="shared" si="3"/>
        <v>184.39244801818816</v>
      </c>
    </row>
    <row r="19" spans="1:19" x14ac:dyDescent="0.25">
      <c r="A19">
        <v>11.25</v>
      </c>
      <c r="B19">
        <v>3487.9270000000001</v>
      </c>
      <c r="C19">
        <v>3017.6759999999999</v>
      </c>
      <c r="D19">
        <v>2945.0540000000001</v>
      </c>
      <c r="E19">
        <v>3201.393</v>
      </c>
      <c r="F19">
        <v>3240.0149999999999</v>
      </c>
      <c r="H19" s="2">
        <f t="shared" si="0"/>
        <v>3178.4129999999996</v>
      </c>
      <c r="I19" s="2">
        <f t="shared" si="1"/>
        <v>94.977526039058318</v>
      </c>
      <c r="K19">
        <v>11.25</v>
      </c>
      <c r="L19">
        <v>3210.2170000000001</v>
      </c>
      <c r="M19">
        <v>2688.6860000000001</v>
      </c>
      <c r="N19">
        <v>2928.7550000000001</v>
      </c>
      <c r="O19">
        <v>2808.4360000000001</v>
      </c>
      <c r="P19">
        <v>2170.3330000000001</v>
      </c>
      <c r="R19" s="3">
        <f t="shared" si="2"/>
        <v>2761.2853999999998</v>
      </c>
      <c r="S19" s="3">
        <f t="shared" si="3"/>
        <v>171.2168565634245</v>
      </c>
    </row>
    <row r="20" spans="1:19" x14ac:dyDescent="0.25">
      <c r="A20">
        <v>12.5</v>
      </c>
      <c r="B20">
        <v>3325.0909999999999</v>
      </c>
      <c r="C20">
        <v>2857.846</v>
      </c>
      <c r="D20">
        <v>2796.8409999999999</v>
      </c>
      <c r="E20">
        <v>3030.3850000000002</v>
      </c>
      <c r="F20">
        <v>3075.8449999999998</v>
      </c>
      <c r="H20" s="2">
        <f t="shared" si="0"/>
        <v>3017.2015999999999</v>
      </c>
      <c r="I20" s="2">
        <f t="shared" si="1"/>
        <v>92.833650772551209</v>
      </c>
      <c r="K20">
        <v>12.5</v>
      </c>
      <c r="L20">
        <v>3046.5010000000002</v>
      </c>
      <c r="M20">
        <v>2521.5279999999998</v>
      </c>
      <c r="N20">
        <v>2752.5520000000001</v>
      </c>
      <c r="O20">
        <v>2630.5630000000001</v>
      </c>
      <c r="P20">
        <v>2020.345</v>
      </c>
      <c r="R20" s="3">
        <f t="shared" si="2"/>
        <v>2594.2977999999998</v>
      </c>
      <c r="S20" s="3">
        <f t="shared" si="3"/>
        <v>168.16131407948833</v>
      </c>
    </row>
    <row r="21" spans="1:19" x14ac:dyDescent="0.25">
      <c r="A21">
        <v>13.75</v>
      </c>
      <c r="B21">
        <v>3258.8589999999999</v>
      </c>
      <c r="C21">
        <v>2815.2179999999998</v>
      </c>
      <c r="D21">
        <v>2758.6019999999999</v>
      </c>
      <c r="E21">
        <v>2961.2579999999998</v>
      </c>
      <c r="F21">
        <v>3014.4009999999998</v>
      </c>
      <c r="H21" s="2">
        <f t="shared" si="0"/>
        <v>2961.6675999999998</v>
      </c>
      <c r="I21" s="2">
        <f t="shared" si="1"/>
        <v>87.688890609130198</v>
      </c>
      <c r="K21">
        <v>13.75</v>
      </c>
      <c r="L21">
        <v>2977.364</v>
      </c>
      <c r="M21">
        <v>2457.4270000000001</v>
      </c>
      <c r="N21">
        <v>2696.875</v>
      </c>
      <c r="O21">
        <v>2562.9479999999999</v>
      </c>
      <c r="P21">
        <v>1967.0820000000001</v>
      </c>
      <c r="R21" s="3">
        <f t="shared" si="2"/>
        <v>2532.3391999999999</v>
      </c>
      <c r="S21" s="3">
        <f t="shared" si="3"/>
        <v>166.00956909088123</v>
      </c>
    </row>
    <row r="22" spans="1:19" x14ac:dyDescent="0.25">
      <c r="A22">
        <v>15</v>
      </c>
      <c r="B22">
        <v>3249.7510000000002</v>
      </c>
      <c r="C22">
        <v>2834.8649999999998</v>
      </c>
      <c r="D22">
        <v>2755.4560000000001</v>
      </c>
      <c r="E22">
        <v>2962.855</v>
      </c>
      <c r="F22">
        <v>3021.165</v>
      </c>
      <c r="H22" s="2">
        <f t="shared" si="0"/>
        <v>2964.8184000000001</v>
      </c>
      <c r="I22" s="2">
        <f t="shared" si="1"/>
        <v>85.17214377928974</v>
      </c>
      <c r="K22">
        <v>15</v>
      </c>
      <c r="L22">
        <v>2970.5479999999998</v>
      </c>
      <c r="M22">
        <v>2454.5970000000002</v>
      </c>
      <c r="N22">
        <v>2705.384</v>
      </c>
      <c r="O22">
        <v>2565.2750000000001</v>
      </c>
      <c r="P22">
        <v>1966.6559999999999</v>
      </c>
      <c r="R22" s="3">
        <f t="shared" si="2"/>
        <v>2532.4919999999997</v>
      </c>
      <c r="S22" s="3">
        <f t="shared" si="3"/>
        <v>165.69511728020345</v>
      </c>
    </row>
    <row r="23" spans="1:19" x14ac:dyDescent="0.25">
      <c r="A23">
        <v>16.25</v>
      </c>
      <c r="B23">
        <v>3273.4490000000001</v>
      </c>
      <c r="C23">
        <v>2864.9229999999998</v>
      </c>
      <c r="D23">
        <v>2767.2539999999999</v>
      </c>
      <c r="E23">
        <v>2991.74</v>
      </c>
      <c r="F23">
        <v>3052.7260000000001</v>
      </c>
      <c r="H23" s="2">
        <f t="shared" si="0"/>
        <v>2990.0183999999999</v>
      </c>
      <c r="I23" s="2">
        <f t="shared" si="1"/>
        <v>86.469922235769403</v>
      </c>
      <c r="K23">
        <v>16.25</v>
      </c>
      <c r="L23">
        <v>2995.1170000000002</v>
      </c>
      <c r="M23">
        <v>2475.2640000000001</v>
      </c>
      <c r="N23">
        <v>2735.319</v>
      </c>
      <c r="O23">
        <v>2586.1019999999999</v>
      </c>
      <c r="P23">
        <v>1987.8150000000001</v>
      </c>
      <c r="R23" s="3">
        <f t="shared" si="2"/>
        <v>2555.9234000000001</v>
      </c>
      <c r="S23" s="3">
        <f t="shared" si="3"/>
        <v>166.61897257473308</v>
      </c>
    </row>
    <row r="24" spans="1:19" x14ac:dyDescent="0.25">
      <c r="A24">
        <v>17.5</v>
      </c>
      <c r="B24">
        <v>3292.7310000000002</v>
      </c>
      <c r="C24">
        <v>2877.7280000000001</v>
      </c>
      <c r="D24">
        <v>2773.6750000000002</v>
      </c>
      <c r="E24">
        <v>3016.1970000000001</v>
      </c>
      <c r="F24">
        <v>3081.3870000000002</v>
      </c>
      <c r="H24" s="2">
        <f t="shared" si="0"/>
        <v>3008.3436000000006</v>
      </c>
      <c r="I24" s="2">
        <f t="shared" si="1"/>
        <v>88.995222973820347</v>
      </c>
      <c r="K24">
        <v>17.5</v>
      </c>
      <c r="L24">
        <v>3008.91</v>
      </c>
      <c r="M24">
        <v>2494.2739999999999</v>
      </c>
      <c r="N24">
        <v>2757.0010000000002</v>
      </c>
      <c r="O24">
        <v>2595.4540000000002</v>
      </c>
      <c r="P24">
        <v>1996.415</v>
      </c>
      <c r="R24" s="3">
        <f t="shared" si="2"/>
        <v>2570.4108000000001</v>
      </c>
      <c r="S24" s="3">
        <f t="shared" si="3"/>
        <v>167.77851527159231</v>
      </c>
    </row>
    <row r="25" spans="1:19" x14ac:dyDescent="0.25">
      <c r="A25">
        <v>18.75</v>
      </c>
      <c r="B25">
        <v>3300.5680000000002</v>
      </c>
      <c r="C25">
        <v>2857.183</v>
      </c>
      <c r="D25">
        <v>2751.364</v>
      </c>
      <c r="E25">
        <v>3018.1260000000002</v>
      </c>
      <c r="F25">
        <v>3078.2069999999999</v>
      </c>
      <c r="H25" s="2">
        <f t="shared" si="0"/>
        <v>3001.0896000000002</v>
      </c>
      <c r="I25" s="2">
        <f t="shared" si="1"/>
        <v>94.603548874553354</v>
      </c>
      <c r="K25">
        <v>18.75</v>
      </c>
      <c r="L25">
        <v>2997.9639999999999</v>
      </c>
      <c r="M25">
        <v>2492.413</v>
      </c>
      <c r="N25">
        <v>2746.777</v>
      </c>
      <c r="O25">
        <v>2582.8719999999998</v>
      </c>
      <c r="P25">
        <v>1988.828</v>
      </c>
      <c r="R25" s="3">
        <f t="shared" si="2"/>
        <v>2561.7707999999998</v>
      </c>
      <c r="S25" s="3">
        <f t="shared" si="3"/>
        <v>167.03458008729862</v>
      </c>
    </row>
    <row r="26" spans="1:19" x14ac:dyDescent="0.25">
      <c r="A26">
        <v>20</v>
      </c>
      <c r="B26">
        <v>3285.002</v>
      </c>
      <c r="C26">
        <v>2809.06</v>
      </c>
      <c r="D26">
        <v>2727.28</v>
      </c>
      <c r="E26">
        <v>2985.29</v>
      </c>
      <c r="F26">
        <v>3036.6089999999999</v>
      </c>
      <c r="H26" s="2">
        <f t="shared" si="0"/>
        <v>2968.6482000000005</v>
      </c>
      <c r="I26" s="2">
        <f t="shared" si="1"/>
        <v>97.134532522888023</v>
      </c>
      <c r="K26">
        <v>20</v>
      </c>
      <c r="L26">
        <v>2954.277</v>
      </c>
      <c r="M26">
        <v>2469.6790000000001</v>
      </c>
      <c r="N26">
        <v>2698.152</v>
      </c>
      <c r="O26">
        <v>2527.6610000000001</v>
      </c>
      <c r="P26">
        <v>1965.21</v>
      </c>
      <c r="R26" s="3">
        <f t="shared" si="2"/>
        <v>2522.9957999999997</v>
      </c>
      <c r="S26" s="3">
        <f t="shared" si="3"/>
        <v>162.89146874634079</v>
      </c>
    </row>
    <row r="27" spans="1:19" x14ac:dyDescent="0.25">
      <c r="A27">
        <v>21.25</v>
      </c>
      <c r="B27">
        <v>3259.857</v>
      </c>
      <c r="C27">
        <v>2757.9140000000002</v>
      </c>
      <c r="D27">
        <v>2715.261</v>
      </c>
      <c r="E27">
        <v>2942.3330000000001</v>
      </c>
      <c r="F27">
        <v>2975.9259999999999</v>
      </c>
      <c r="H27" s="2">
        <f t="shared" si="0"/>
        <v>2930.2582000000002</v>
      </c>
      <c r="I27" s="2">
        <f t="shared" si="1"/>
        <v>96.641874204404758</v>
      </c>
      <c r="K27">
        <v>21.25</v>
      </c>
      <c r="L27">
        <v>2913.6990000000001</v>
      </c>
      <c r="M27">
        <v>2427.413</v>
      </c>
      <c r="N27">
        <v>2645.4839999999999</v>
      </c>
      <c r="O27">
        <v>2474.1509999999998</v>
      </c>
      <c r="P27">
        <v>1925.116</v>
      </c>
      <c r="R27" s="3">
        <f t="shared" si="2"/>
        <v>2477.1725999999999</v>
      </c>
      <c r="S27" s="3">
        <f t="shared" si="3"/>
        <v>162.19365935960627</v>
      </c>
    </row>
    <row r="28" spans="1:19" x14ac:dyDescent="0.25">
      <c r="A28">
        <v>22.5</v>
      </c>
      <c r="B28">
        <v>3226.087</v>
      </c>
      <c r="C28">
        <v>2726.5610000000001</v>
      </c>
      <c r="D28">
        <v>2706.576</v>
      </c>
      <c r="E28">
        <v>2911.2179999999998</v>
      </c>
      <c r="F28">
        <v>2936.2539999999999</v>
      </c>
      <c r="H28" s="2">
        <f t="shared" si="0"/>
        <v>2901.3391999999999</v>
      </c>
      <c r="I28" s="2">
        <f t="shared" si="1"/>
        <v>93.610333516871918</v>
      </c>
      <c r="K28">
        <v>22.5</v>
      </c>
      <c r="L28">
        <v>2890.14</v>
      </c>
      <c r="M28">
        <v>2398.7620000000002</v>
      </c>
      <c r="N28">
        <v>2613.8049999999998</v>
      </c>
      <c r="O28">
        <v>2447.386</v>
      </c>
      <c r="P28">
        <v>1895.4939999999999</v>
      </c>
      <c r="R28" s="3">
        <f t="shared" si="2"/>
        <v>2449.1174000000001</v>
      </c>
      <c r="S28" s="3">
        <f t="shared" si="3"/>
        <v>162.8896056209835</v>
      </c>
    </row>
    <row r="29" spans="1:19" x14ac:dyDescent="0.25">
      <c r="A29">
        <v>23.75</v>
      </c>
      <c r="B29">
        <v>3196.8670000000002</v>
      </c>
      <c r="C29">
        <v>2730.2979999999998</v>
      </c>
      <c r="D29">
        <v>2709.8159999999998</v>
      </c>
      <c r="E29">
        <v>2908.6680000000001</v>
      </c>
      <c r="F29">
        <v>2922.7570000000001</v>
      </c>
      <c r="H29" s="2">
        <f t="shared" si="0"/>
        <v>2893.6812</v>
      </c>
      <c r="I29" s="2">
        <f t="shared" si="1"/>
        <v>87.604827907713002</v>
      </c>
      <c r="K29">
        <v>23.75</v>
      </c>
      <c r="L29">
        <v>2870.2869999999998</v>
      </c>
      <c r="M29">
        <v>2402.3319999999999</v>
      </c>
      <c r="N29">
        <v>2610.971</v>
      </c>
      <c r="O29">
        <v>2457.92</v>
      </c>
      <c r="P29">
        <v>1898.27</v>
      </c>
      <c r="R29" s="3">
        <f t="shared" si="2"/>
        <v>2447.9560000000001</v>
      </c>
      <c r="S29" s="3">
        <f t="shared" si="3"/>
        <v>159.57332061688598</v>
      </c>
    </row>
    <row r="30" spans="1:19" x14ac:dyDescent="0.25">
      <c r="A30">
        <v>25</v>
      </c>
      <c r="B30">
        <v>3192.19</v>
      </c>
      <c r="C30">
        <v>2752.9839999999999</v>
      </c>
      <c r="D30">
        <v>2744.953</v>
      </c>
      <c r="E30">
        <v>2931.1709999999998</v>
      </c>
      <c r="F30">
        <v>2945.46</v>
      </c>
      <c r="H30" s="2">
        <f t="shared" si="0"/>
        <v>2913.3516000000004</v>
      </c>
      <c r="I30" s="2">
        <f t="shared" si="1"/>
        <v>81.601222200773449</v>
      </c>
      <c r="K30">
        <v>25</v>
      </c>
      <c r="L30">
        <v>2857.9059999999999</v>
      </c>
      <c r="M30">
        <v>2415.06</v>
      </c>
      <c r="N30">
        <v>2623.2249999999999</v>
      </c>
      <c r="O30">
        <v>2493.1889999999999</v>
      </c>
      <c r="P30">
        <v>1904.6420000000001</v>
      </c>
      <c r="R30" s="3">
        <f t="shared" si="2"/>
        <v>2458.8044</v>
      </c>
      <c r="S30" s="3">
        <f t="shared" si="3"/>
        <v>157.56079138687954</v>
      </c>
    </row>
    <row r="31" spans="1:19" x14ac:dyDescent="0.25">
      <c r="A31">
        <v>26.25</v>
      </c>
      <c r="B31">
        <v>3204.078</v>
      </c>
      <c r="C31">
        <v>2776.451</v>
      </c>
      <c r="D31">
        <v>2781.5160000000001</v>
      </c>
      <c r="E31">
        <v>2950.03</v>
      </c>
      <c r="F31">
        <v>2972.6550000000002</v>
      </c>
      <c r="H31" s="2">
        <f t="shared" si="0"/>
        <v>2936.9460000000004</v>
      </c>
      <c r="I31" s="2">
        <f t="shared" si="1"/>
        <v>78.333568502271092</v>
      </c>
      <c r="K31">
        <v>26.25</v>
      </c>
      <c r="L31">
        <v>2865.6709999999998</v>
      </c>
      <c r="M31">
        <v>2426.4899999999998</v>
      </c>
      <c r="N31">
        <v>2643.2579999999998</v>
      </c>
      <c r="O31">
        <v>2512.8679999999999</v>
      </c>
      <c r="P31">
        <v>1914.4570000000001</v>
      </c>
      <c r="R31" s="3">
        <f t="shared" si="2"/>
        <v>2472.5488</v>
      </c>
      <c r="S31" s="3">
        <f t="shared" si="3"/>
        <v>157.93989414818424</v>
      </c>
    </row>
    <row r="32" spans="1:19" x14ac:dyDescent="0.25">
      <c r="A32">
        <v>27.5</v>
      </c>
      <c r="B32">
        <v>3211.1779999999999</v>
      </c>
      <c r="C32">
        <v>2789.0619999999999</v>
      </c>
      <c r="D32">
        <v>2783.4279999999999</v>
      </c>
      <c r="E32">
        <v>2947.63</v>
      </c>
      <c r="F32">
        <v>2983.3040000000001</v>
      </c>
      <c r="H32" s="2">
        <f t="shared" si="0"/>
        <v>2942.9204</v>
      </c>
      <c r="I32" s="2">
        <f t="shared" si="1"/>
        <v>78.334343792234577</v>
      </c>
      <c r="K32">
        <v>27.5</v>
      </c>
      <c r="L32">
        <v>2875.5030000000002</v>
      </c>
      <c r="M32">
        <v>2426.3519999999999</v>
      </c>
      <c r="N32">
        <v>2662.826</v>
      </c>
      <c r="O32">
        <v>2510.1060000000002</v>
      </c>
      <c r="P32">
        <v>1907.3130000000001</v>
      </c>
      <c r="R32" s="3">
        <f t="shared" si="2"/>
        <v>2476.42</v>
      </c>
      <c r="S32" s="3">
        <f t="shared" si="3"/>
        <v>161.48355433201303</v>
      </c>
    </row>
    <row r="33" spans="1:19" x14ac:dyDescent="0.25">
      <c r="A33">
        <v>28.75</v>
      </c>
      <c r="B33">
        <v>3223.6030000000001</v>
      </c>
      <c r="C33">
        <v>2803.6579999999999</v>
      </c>
      <c r="D33">
        <v>2765.82</v>
      </c>
      <c r="E33">
        <v>2958.886</v>
      </c>
      <c r="F33">
        <v>2992.2359999999999</v>
      </c>
      <c r="H33" s="2">
        <f t="shared" si="0"/>
        <v>2948.8406000000004</v>
      </c>
      <c r="I33" s="2">
        <f t="shared" si="1"/>
        <v>81.256684224499324</v>
      </c>
      <c r="K33">
        <v>28.75</v>
      </c>
      <c r="L33">
        <v>2885.94</v>
      </c>
      <c r="M33">
        <v>2434.9560000000001</v>
      </c>
      <c r="N33">
        <v>2674.8939999999998</v>
      </c>
      <c r="O33">
        <v>2496.0680000000002</v>
      </c>
      <c r="P33">
        <v>1914.732</v>
      </c>
      <c r="R33" s="3">
        <f t="shared" si="2"/>
        <v>2481.3180000000002</v>
      </c>
      <c r="S33" s="3">
        <f t="shared" si="3"/>
        <v>161.9532839432417</v>
      </c>
    </row>
    <row r="34" spans="1:19" x14ac:dyDescent="0.25">
      <c r="A34">
        <v>30</v>
      </c>
      <c r="B34">
        <v>3253.759</v>
      </c>
      <c r="C34">
        <v>2821.2150000000001</v>
      </c>
      <c r="D34">
        <v>2768.3710000000001</v>
      </c>
      <c r="E34">
        <v>2986.1080000000002</v>
      </c>
      <c r="F34">
        <v>3012.1990000000001</v>
      </c>
      <c r="H34" s="2">
        <f t="shared" si="0"/>
        <v>2968.3304000000003</v>
      </c>
      <c r="I34" s="2">
        <f t="shared" si="1"/>
        <v>85.245728746723714</v>
      </c>
      <c r="K34">
        <v>30</v>
      </c>
      <c r="L34">
        <v>2906.2820000000002</v>
      </c>
      <c r="M34">
        <v>2443.8119999999999</v>
      </c>
      <c r="N34">
        <v>2680.2269999999999</v>
      </c>
      <c r="O34">
        <v>2508.0990000000002</v>
      </c>
      <c r="P34">
        <v>1939.287</v>
      </c>
      <c r="R34" s="3">
        <f t="shared" si="2"/>
        <v>2495.5414000000001</v>
      </c>
      <c r="S34" s="3">
        <f t="shared" si="3"/>
        <v>160.47884486704194</v>
      </c>
    </row>
    <row r="35" spans="1:19" x14ac:dyDescent="0.25">
      <c r="A35">
        <v>31.25</v>
      </c>
      <c r="B35">
        <v>3269.5120000000002</v>
      </c>
      <c r="C35">
        <v>2835.27</v>
      </c>
      <c r="D35">
        <v>2777.8330000000001</v>
      </c>
      <c r="E35">
        <v>2996.4879999999998</v>
      </c>
      <c r="F35">
        <v>3033.2719999999999</v>
      </c>
      <c r="H35" s="2">
        <f t="shared" si="0"/>
        <v>2982.4749999999999</v>
      </c>
      <c r="I35" s="2">
        <f t="shared" si="1"/>
        <v>86.230678686880367</v>
      </c>
      <c r="K35">
        <v>31.25</v>
      </c>
      <c r="L35">
        <v>2929.2449999999999</v>
      </c>
      <c r="M35">
        <v>2456.4749999999999</v>
      </c>
      <c r="N35">
        <v>2685.2220000000002</v>
      </c>
      <c r="O35">
        <v>2523.4549999999999</v>
      </c>
      <c r="P35">
        <v>1953.231</v>
      </c>
      <c r="R35" s="3">
        <f t="shared" si="2"/>
        <v>2509.5255999999999</v>
      </c>
      <c r="S35" s="3">
        <f t="shared" si="3"/>
        <v>161.16849506699577</v>
      </c>
    </row>
    <row r="36" spans="1:19" x14ac:dyDescent="0.25">
      <c r="A36">
        <v>32.5</v>
      </c>
      <c r="B36">
        <v>3263.636</v>
      </c>
      <c r="C36">
        <v>2840.53</v>
      </c>
      <c r="D36">
        <v>2768.5059999999999</v>
      </c>
      <c r="E36">
        <v>2984.3420000000001</v>
      </c>
      <c r="F36">
        <v>3029.056</v>
      </c>
      <c r="H36" s="2">
        <f t="shared" si="0"/>
        <v>2977.2140000000004</v>
      </c>
      <c r="I36" s="2">
        <f t="shared" si="1"/>
        <v>85.737246442838355</v>
      </c>
      <c r="K36">
        <v>32.5</v>
      </c>
      <c r="L36">
        <v>2928.9929999999999</v>
      </c>
      <c r="M36">
        <v>2442.0189999999998</v>
      </c>
      <c r="N36">
        <v>2697.5239999999999</v>
      </c>
      <c r="O36">
        <v>2532.5729999999999</v>
      </c>
      <c r="P36">
        <v>1949.5709999999999</v>
      </c>
      <c r="R36" s="3">
        <f t="shared" si="2"/>
        <v>2510.136</v>
      </c>
      <c r="S36" s="3">
        <f t="shared" si="3"/>
        <v>162.77774922820245</v>
      </c>
    </row>
    <row r="37" spans="1:19" x14ac:dyDescent="0.25">
      <c r="A37">
        <v>33.75</v>
      </c>
      <c r="B37">
        <v>3239.549</v>
      </c>
      <c r="C37">
        <v>2817.9589999999998</v>
      </c>
      <c r="D37">
        <v>2749.5540000000001</v>
      </c>
      <c r="E37">
        <v>2952.0549999999998</v>
      </c>
      <c r="F37">
        <v>2997.4229999999998</v>
      </c>
      <c r="H37" s="2">
        <f t="shared" si="0"/>
        <v>2951.308</v>
      </c>
      <c r="I37" s="2">
        <f t="shared" si="1"/>
        <v>84.763393523383655</v>
      </c>
      <c r="K37">
        <v>33.75</v>
      </c>
      <c r="L37">
        <v>2900.5479999999998</v>
      </c>
      <c r="M37">
        <v>2426.0659999999998</v>
      </c>
      <c r="N37">
        <v>2684.59</v>
      </c>
      <c r="O37">
        <v>2521.4879999999998</v>
      </c>
      <c r="P37">
        <v>1955.135</v>
      </c>
      <c r="R37" s="3">
        <f t="shared" si="2"/>
        <v>2497.5654</v>
      </c>
      <c r="S37" s="3">
        <f t="shared" si="3"/>
        <v>157.68455389530075</v>
      </c>
    </row>
    <row r="38" spans="1:19" x14ac:dyDescent="0.25">
      <c r="A38">
        <v>35</v>
      </c>
      <c r="B38">
        <v>3174.7109999999998</v>
      </c>
      <c r="C38">
        <v>2765.7179999999998</v>
      </c>
      <c r="D38">
        <v>2703.067</v>
      </c>
      <c r="E38">
        <v>2896.4839999999999</v>
      </c>
      <c r="F38">
        <v>2926.8960000000002</v>
      </c>
      <c r="H38" s="2">
        <f t="shared" si="0"/>
        <v>2893.3751999999999</v>
      </c>
      <c r="I38" s="2">
        <f t="shared" si="1"/>
        <v>81.485186607996397</v>
      </c>
      <c r="K38">
        <v>35</v>
      </c>
      <c r="L38">
        <v>2836.2959999999998</v>
      </c>
      <c r="M38">
        <v>2374.2199999999998</v>
      </c>
      <c r="N38">
        <v>2617.9250000000002</v>
      </c>
      <c r="O38">
        <v>2478.9459999999999</v>
      </c>
      <c r="P38">
        <v>1924.9680000000001</v>
      </c>
      <c r="R38" s="3">
        <f t="shared" si="2"/>
        <v>2446.471</v>
      </c>
      <c r="S38" s="3">
        <f t="shared" si="3"/>
        <v>151.59159217713938</v>
      </c>
    </row>
    <row r="39" spans="1:19" x14ac:dyDescent="0.25">
      <c r="A39">
        <v>36.25</v>
      </c>
      <c r="B39">
        <v>3051.0169999999998</v>
      </c>
      <c r="C39">
        <v>2639.6210000000001</v>
      </c>
      <c r="D39">
        <v>2603.5120000000002</v>
      </c>
      <c r="E39">
        <v>2783.3159999999998</v>
      </c>
      <c r="F39">
        <v>2799.703</v>
      </c>
      <c r="H39" s="2">
        <f t="shared" si="0"/>
        <v>2775.4337999999998</v>
      </c>
      <c r="I39" s="2">
        <f t="shared" si="1"/>
        <v>78.930173326428161</v>
      </c>
      <c r="K39">
        <v>36.25</v>
      </c>
      <c r="L39">
        <v>2707.93</v>
      </c>
      <c r="M39">
        <v>2277.183</v>
      </c>
      <c r="N39">
        <v>2505.4369999999999</v>
      </c>
      <c r="O39">
        <v>2364.5329999999999</v>
      </c>
      <c r="P39">
        <v>1836.346</v>
      </c>
      <c r="R39" s="3">
        <f t="shared" si="2"/>
        <v>2338.2857999999997</v>
      </c>
      <c r="S39" s="3">
        <f t="shared" si="3"/>
        <v>145.07625387271406</v>
      </c>
    </row>
    <row r="40" spans="1:19" x14ac:dyDescent="0.25">
      <c r="A40">
        <v>37.5</v>
      </c>
      <c r="B40">
        <v>2883.2260000000001</v>
      </c>
      <c r="C40">
        <v>2478.4340000000002</v>
      </c>
      <c r="D40">
        <v>2446.6869999999999</v>
      </c>
      <c r="E40">
        <v>2614.6779999999999</v>
      </c>
      <c r="F40">
        <v>2634.0230000000001</v>
      </c>
      <c r="H40" s="2">
        <f t="shared" si="0"/>
        <v>2611.4096</v>
      </c>
      <c r="I40" s="2">
        <f t="shared" si="1"/>
        <v>77.208240736724491</v>
      </c>
      <c r="K40">
        <v>37.5</v>
      </c>
      <c r="L40">
        <v>2534.2530000000002</v>
      </c>
      <c r="M40">
        <v>2134.4769999999999</v>
      </c>
      <c r="N40">
        <v>2346.873</v>
      </c>
      <c r="O40">
        <v>2202.7629999999999</v>
      </c>
      <c r="P40">
        <v>1706.2370000000001</v>
      </c>
      <c r="R40" s="3">
        <f t="shared" si="2"/>
        <v>2184.9205999999999</v>
      </c>
      <c r="S40" s="3">
        <f t="shared" si="3"/>
        <v>137.88810726150419</v>
      </c>
    </row>
    <row r="41" spans="1:19" x14ac:dyDescent="0.25">
      <c r="A41">
        <v>38.75</v>
      </c>
      <c r="B41">
        <v>2698.66</v>
      </c>
      <c r="C41">
        <v>2317.12</v>
      </c>
      <c r="D41">
        <v>2273.2469999999998</v>
      </c>
      <c r="E41">
        <v>2445.0970000000002</v>
      </c>
      <c r="F41">
        <v>2449.5520000000001</v>
      </c>
      <c r="H41" s="2">
        <f t="shared" si="0"/>
        <v>2436.7352000000001</v>
      </c>
      <c r="I41" s="2">
        <f t="shared" si="1"/>
        <v>74.119828159137015</v>
      </c>
      <c r="K41">
        <v>38.75</v>
      </c>
      <c r="L41">
        <v>2372.1210000000001</v>
      </c>
      <c r="M41">
        <v>2000.701</v>
      </c>
      <c r="N41">
        <v>2191.0839999999998</v>
      </c>
      <c r="O41">
        <v>2054.5390000000002</v>
      </c>
      <c r="P41">
        <v>1576.4280000000001</v>
      </c>
      <c r="R41" s="3">
        <f t="shared" si="2"/>
        <v>2038.9746</v>
      </c>
      <c r="S41" s="3">
        <f t="shared" si="3"/>
        <v>132.24603388707001</v>
      </c>
    </row>
    <row r="42" spans="1:19" x14ac:dyDescent="0.25">
      <c r="A42">
        <v>40</v>
      </c>
      <c r="B42">
        <v>2579.0349999999999</v>
      </c>
      <c r="C42">
        <v>2207.857</v>
      </c>
      <c r="D42">
        <v>2153.64</v>
      </c>
      <c r="E42">
        <v>2327.596</v>
      </c>
      <c r="F42">
        <v>2335.3589999999999</v>
      </c>
      <c r="H42" s="2">
        <f t="shared" si="0"/>
        <v>2320.6974</v>
      </c>
      <c r="I42" s="2">
        <f t="shared" si="1"/>
        <v>73.362796953633094</v>
      </c>
      <c r="K42">
        <v>40</v>
      </c>
      <c r="L42">
        <v>2246.7640000000001</v>
      </c>
      <c r="M42">
        <v>1910.924</v>
      </c>
      <c r="N42">
        <v>2083.326</v>
      </c>
      <c r="O42">
        <v>1952.2829999999999</v>
      </c>
      <c r="P42">
        <v>1492.635</v>
      </c>
      <c r="R42" s="3">
        <f t="shared" si="2"/>
        <v>1937.1864</v>
      </c>
      <c r="S42" s="3">
        <f t="shared" si="3"/>
        <v>125.64605870006373</v>
      </c>
    </row>
    <row r="43" spans="1:19" x14ac:dyDescent="0.25">
      <c r="A43">
        <v>41.25</v>
      </c>
      <c r="B43">
        <v>2520.2800000000002</v>
      </c>
      <c r="C43">
        <v>2140.6260000000002</v>
      </c>
      <c r="D43">
        <v>2093.788</v>
      </c>
      <c r="E43">
        <v>2272.527</v>
      </c>
      <c r="F43">
        <v>2287.9470000000001</v>
      </c>
      <c r="H43" s="2">
        <f t="shared" si="0"/>
        <v>2263.0336000000002</v>
      </c>
      <c r="I43" s="2">
        <f t="shared" si="1"/>
        <v>74.335121615962962</v>
      </c>
      <c r="K43">
        <v>41.25</v>
      </c>
      <c r="L43">
        <v>2181.0050000000001</v>
      </c>
      <c r="M43">
        <v>1860.9680000000001</v>
      </c>
      <c r="N43">
        <v>2013.356</v>
      </c>
      <c r="O43">
        <v>1900.4290000000001</v>
      </c>
      <c r="P43">
        <v>1441.2380000000001</v>
      </c>
      <c r="R43" s="3">
        <f t="shared" si="2"/>
        <v>1879.3991999999998</v>
      </c>
      <c r="S43" s="3">
        <f t="shared" si="3"/>
        <v>122.8164650335619</v>
      </c>
    </row>
    <row r="44" spans="1:19" x14ac:dyDescent="0.25">
      <c r="A44">
        <v>42.5</v>
      </c>
      <c r="B44">
        <v>2488.7359999999999</v>
      </c>
      <c r="C44">
        <v>2125.69</v>
      </c>
      <c r="D44">
        <v>2084.9349999999999</v>
      </c>
      <c r="E44">
        <v>2264.52</v>
      </c>
      <c r="F44">
        <v>2267.4070000000002</v>
      </c>
      <c r="H44" s="2">
        <f t="shared" si="0"/>
        <v>2246.2575999999999</v>
      </c>
      <c r="I44" s="2">
        <f t="shared" si="1"/>
        <v>70.759492042128159</v>
      </c>
      <c r="K44">
        <v>42.5</v>
      </c>
      <c r="L44">
        <v>2167.2150000000001</v>
      </c>
      <c r="M44">
        <v>1841.126</v>
      </c>
      <c r="N44">
        <v>1995.6479999999999</v>
      </c>
      <c r="O44">
        <v>1883.173</v>
      </c>
      <c r="P44">
        <v>1434.1659999999999</v>
      </c>
      <c r="R44" s="3">
        <f t="shared" si="2"/>
        <v>1864.2655999999999</v>
      </c>
      <c r="S44" s="3">
        <f t="shared" si="3"/>
        <v>121.43275315441096</v>
      </c>
    </row>
    <row r="45" spans="1:19" x14ac:dyDescent="0.25">
      <c r="A45">
        <v>43.75</v>
      </c>
      <c r="B45">
        <v>2498.5819999999999</v>
      </c>
      <c r="C45">
        <v>2144.7919999999999</v>
      </c>
      <c r="D45">
        <v>2103.625</v>
      </c>
      <c r="E45">
        <v>2273.489</v>
      </c>
      <c r="F45">
        <v>2268.636</v>
      </c>
      <c r="H45" s="2">
        <f t="shared" si="0"/>
        <v>2257.8247999999999</v>
      </c>
      <c r="I45" s="2">
        <f t="shared" si="1"/>
        <v>68.876799705996774</v>
      </c>
      <c r="K45">
        <v>43.75</v>
      </c>
      <c r="L45">
        <v>2172.6849999999999</v>
      </c>
      <c r="M45">
        <v>1851.104</v>
      </c>
      <c r="N45">
        <v>2011.3989999999999</v>
      </c>
      <c r="O45">
        <v>1886.7650000000001</v>
      </c>
      <c r="P45">
        <v>1430.2429999999999</v>
      </c>
      <c r="R45" s="3">
        <f t="shared" si="2"/>
        <v>1870.4392</v>
      </c>
      <c r="S45" s="3">
        <f t="shared" si="3"/>
        <v>123.61942910254803</v>
      </c>
    </row>
    <row r="46" spans="1:19" x14ac:dyDescent="0.25">
      <c r="A46">
        <v>45</v>
      </c>
      <c r="B46">
        <v>2539.8910000000001</v>
      </c>
      <c r="C46">
        <v>2178.373</v>
      </c>
      <c r="D46">
        <v>2136.7170000000001</v>
      </c>
      <c r="E46">
        <v>2300.616</v>
      </c>
      <c r="F46">
        <v>2302.1559999999999</v>
      </c>
      <c r="H46" s="2">
        <f t="shared" si="0"/>
        <v>2291.5506</v>
      </c>
      <c r="I46" s="2">
        <f t="shared" si="1"/>
        <v>70.231838609422724</v>
      </c>
      <c r="K46">
        <v>45</v>
      </c>
      <c r="L46">
        <v>2208.1869999999999</v>
      </c>
      <c r="M46">
        <v>1869.952</v>
      </c>
      <c r="N46">
        <v>2049.2370000000001</v>
      </c>
      <c r="O46">
        <v>1916.105</v>
      </c>
      <c r="P46">
        <v>1437.627</v>
      </c>
      <c r="R46" s="3">
        <f t="shared" si="2"/>
        <v>1896.2216000000001</v>
      </c>
      <c r="S46" s="3">
        <f t="shared" si="3"/>
        <v>128.8663206705298</v>
      </c>
    </row>
    <row r="47" spans="1:19" x14ac:dyDescent="0.25">
      <c r="A47">
        <v>46.25</v>
      </c>
      <c r="B47">
        <v>2593.607</v>
      </c>
      <c r="C47">
        <v>2236.2640000000001</v>
      </c>
      <c r="D47">
        <v>2199.8090000000002</v>
      </c>
      <c r="E47">
        <v>2352.596</v>
      </c>
      <c r="F47">
        <v>2381.4160000000002</v>
      </c>
      <c r="H47" s="2">
        <f t="shared" si="0"/>
        <v>2352.7383999999997</v>
      </c>
      <c r="I47" s="2">
        <f t="shared" si="1"/>
        <v>69.207584383938695</v>
      </c>
      <c r="K47">
        <v>46.25</v>
      </c>
      <c r="L47">
        <v>2273.0720000000001</v>
      </c>
      <c r="M47">
        <v>1910.1679999999999</v>
      </c>
      <c r="N47">
        <v>2089.1619999999998</v>
      </c>
      <c r="O47">
        <v>1963.548</v>
      </c>
      <c r="P47">
        <v>1488.9549999999999</v>
      </c>
      <c r="R47" s="3">
        <f t="shared" si="2"/>
        <v>1944.9810000000002</v>
      </c>
      <c r="S47" s="3">
        <f t="shared" si="3"/>
        <v>129.99004888375009</v>
      </c>
    </row>
    <row r="48" spans="1:19" x14ac:dyDescent="0.25">
      <c r="A48">
        <v>47.5</v>
      </c>
      <c r="B48">
        <v>2678.578</v>
      </c>
      <c r="C48">
        <v>2322.0219999999999</v>
      </c>
      <c r="D48">
        <v>2295.1509999999998</v>
      </c>
      <c r="E48">
        <v>2430.3020000000001</v>
      </c>
      <c r="F48">
        <v>2480.7440000000001</v>
      </c>
      <c r="H48" s="2">
        <f t="shared" si="0"/>
        <v>2441.3594000000003</v>
      </c>
      <c r="I48" s="2">
        <f t="shared" si="1"/>
        <v>68.397510286267021</v>
      </c>
      <c r="K48">
        <v>47.5</v>
      </c>
      <c r="L48">
        <v>2356.1309999999999</v>
      </c>
      <c r="M48">
        <v>1977.373</v>
      </c>
      <c r="N48">
        <v>2160.723</v>
      </c>
      <c r="O48">
        <v>2029.79</v>
      </c>
      <c r="P48">
        <v>1560.039</v>
      </c>
      <c r="R48" s="3">
        <f t="shared" si="2"/>
        <v>2016.8112000000001</v>
      </c>
      <c r="S48" s="3">
        <f t="shared" si="3"/>
        <v>131.56998069711619</v>
      </c>
    </row>
    <row r="49" spans="1:19" x14ac:dyDescent="0.25">
      <c r="A49">
        <v>48.75</v>
      </c>
      <c r="B49">
        <v>2774.7820000000002</v>
      </c>
      <c r="C49">
        <v>2424.8330000000001</v>
      </c>
      <c r="D49">
        <v>2387.3620000000001</v>
      </c>
      <c r="E49">
        <v>2542.277</v>
      </c>
      <c r="F49">
        <v>2589.614</v>
      </c>
      <c r="H49" s="2">
        <f t="shared" si="0"/>
        <v>2543.7736</v>
      </c>
      <c r="I49" s="2">
        <f t="shared" si="1"/>
        <v>68.585682870844124</v>
      </c>
      <c r="K49">
        <v>48.75</v>
      </c>
      <c r="L49">
        <v>2447.6819999999998</v>
      </c>
      <c r="M49">
        <v>2069.3580000000002</v>
      </c>
      <c r="N49">
        <v>2246.694</v>
      </c>
      <c r="O49">
        <v>2111.239</v>
      </c>
      <c r="P49">
        <v>1611.644</v>
      </c>
      <c r="R49" s="3">
        <f t="shared" si="2"/>
        <v>2097.3234000000002</v>
      </c>
      <c r="S49" s="3">
        <f t="shared" si="3"/>
        <v>138.18880414910663</v>
      </c>
    </row>
    <row r="50" spans="1:19" x14ac:dyDescent="0.25">
      <c r="A50">
        <v>50</v>
      </c>
      <c r="B50">
        <v>2860.6559999999999</v>
      </c>
      <c r="C50">
        <v>2530.1329999999998</v>
      </c>
      <c r="D50">
        <v>2470.1889999999999</v>
      </c>
      <c r="E50">
        <v>2661.6179999999999</v>
      </c>
      <c r="F50">
        <v>2682.0259999999998</v>
      </c>
      <c r="H50" s="2">
        <f t="shared" si="0"/>
        <v>2640.9243999999999</v>
      </c>
      <c r="I50" s="2">
        <f t="shared" si="1"/>
        <v>67.7587093181386</v>
      </c>
      <c r="K50">
        <v>50</v>
      </c>
      <c r="L50">
        <v>2522.77</v>
      </c>
      <c r="M50">
        <v>2148.069</v>
      </c>
      <c r="N50">
        <v>2332.5889999999999</v>
      </c>
      <c r="O50">
        <v>2190.549</v>
      </c>
      <c r="P50">
        <v>1653.4749999999999</v>
      </c>
      <c r="R50" s="3">
        <f t="shared" si="2"/>
        <v>2169.4903999999997</v>
      </c>
      <c r="S50" s="3">
        <f t="shared" si="3"/>
        <v>144.66890874462331</v>
      </c>
    </row>
    <row r="51" spans="1:19" x14ac:dyDescent="0.25">
      <c r="A51">
        <v>51.25</v>
      </c>
      <c r="B51">
        <v>2918.4969999999998</v>
      </c>
      <c r="C51">
        <v>2594.2829999999999</v>
      </c>
      <c r="D51">
        <v>2512.3820000000001</v>
      </c>
      <c r="E51">
        <v>2735.1619999999998</v>
      </c>
      <c r="F51">
        <v>2720.5650000000001</v>
      </c>
      <c r="H51" s="2">
        <f t="shared" si="0"/>
        <v>2696.1778000000004</v>
      </c>
      <c r="I51" s="2">
        <f t="shared" si="1"/>
        <v>69.175059243487439</v>
      </c>
      <c r="K51">
        <v>51.25</v>
      </c>
      <c r="L51">
        <v>2576.319</v>
      </c>
      <c r="M51">
        <v>2176.239</v>
      </c>
      <c r="N51">
        <v>2382.1239999999998</v>
      </c>
      <c r="O51">
        <v>2235.6030000000001</v>
      </c>
      <c r="P51">
        <v>1691.7639999999999</v>
      </c>
      <c r="R51" s="3">
        <f t="shared" si="2"/>
        <v>2212.4097999999999</v>
      </c>
      <c r="S51" s="3">
        <f t="shared" si="3"/>
        <v>147.33484243090743</v>
      </c>
    </row>
    <row r="52" spans="1:19" x14ac:dyDescent="0.25">
      <c r="A52">
        <v>52.5</v>
      </c>
      <c r="B52">
        <v>2937.893</v>
      </c>
      <c r="C52">
        <v>2598.4340000000002</v>
      </c>
      <c r="D52">
        <v>2529.1379999999999</v>
      </c>
      <c r="E52">
        <v>2745.4090000000001</v>
      </c>
      <c r="F52">
        <v>2734.39</v>
      </c>
      <c r="H52" s="2">
        <f t="shared" si="0"/>
        <v>2709.0527999999999</v>
      </c>
      <c r="I52" s="2">
        <f t="shared" si="1"/>
        <v>70.334002548838356</v>
      </c>
      <c r="K52">
        <v>52.5</v>
      </c>
      <c r="L52">
        <v>2611.9279999999999</v>
      </c>
      <c r="M52">
        <v>2160.8220000000001</v>
      </c>
      <c r="N52">
        <v>2398.2559999999999</v>
      </c>
      <c r="O52">
        <v>2243.8760000000002</v>
      </c>
      <c r="P52">
        <v>1682.2660000000001</v>
      </c>
      <c r="R52" s="3">
        <f t="shared" si="2"/>
        <v>2219.4295999999999</v>
      </c>
      <c r="S52" s="3">
        <f t="shared" si="3"/>
        <v>154.695036403112</v>
      </c>
    </row>
    <row r="53" spans="1:19" x14ac:dyDescent="0.25">
      <c r="A53">
        <v>53.75</v>
      </c>
      <c r="B53">
        <v>2935.7510000000002</v>
      </c>
      <c r="C53">
        <v>2590.9059999999999</v>
      </c>
      <c r="D53">
        <v>2550.8409999999999</v>
      </c>
      <c r="E53">
        <v>2729.1860000000001</v>
      </c>
      <c r="F53">
        <v>2749.3090000000002</v>
      </c>
      <c r="H53" s="2">
        <f t="shared" si="0"/>
        <v>2711.1985999999997</v>
      </c>
      <c r="I53" s="2">
        <f t="shared" si="1"/>
        <v>67.964917047400334</v>
      </c>
      <c r="K53">
        <v>53.75</v>
      </c>
      <c r="L53">
        <v>2631.1849999999999</v>
      </c>
      <c r="M53">
        <v>2134.326</v>
      </c>
      <c r="N53">
        <v>2403.5459999999998</v>
      </c>
      <c r="O53">
        <v>2226.7429999999999</v>
      </c>
      <c r="P53">
        <v>1660.9090000000001</v>
      </c>
      <c r="R53" s="3">
        <f t="shared" si="2"/>
        <v>2211.3418000000001</v>
      </c>
      <c r="S53" s="3">
        <f t="shared" si="3"/>
        <v>161.60997258999757</v>
      </c>
    </row>
    <row r="54" spans="1:19" x14ac:dyDescent="0.25">
      <c r="A54">
        <v>55</v>
      </c>
      <c r="B54">
        <v>2877.819</v>
      </c>
      <c r="C54">
        <v>2548.107</v>
      </c>
      <c r="D54">
        <v>2556.3249999999998</v>
      </c>
      <c r="E54">
        <v>2667.6509999999998</v>
      </c>
      <c r="F54">
        <v>2720.828</v>
      </c>
      <c r="H54" s="2">
        <f t="shared" si="0"/>
        <v>2674.1459999999997</v>
      </c>
      <c r="I54" s="2">
        <f t="shared" si="1"/>
        <v>60.610107506916705</v>
      </c>
      <c r="K54">
        <v>55</v>
      </c>
      <c r="L54">
        <v>2604.84</v>
      </c>
      <c r="M54">
        <v>2103.9839999999999</v>
      </c>
      <c r="N54">
        <v>2350.7280000000001</v>
      </c>
      <c r="O54">
        <v>2181.8989999999999</v>
      </c>
      <c r="P54">
        <v>1621.797</v>
      </c>
      <c r="R54" s="3">
        <f t="shared" si="2"/>
        <v>2172.6496000000002</v>
      </c>
      <c r="S54" s="3">
        <f t="shared" si="3"/>
        <v>162.28671562225824</v>
      </c>
    </row>
    <row r="55" spans="1:19" x14ac:dyDescent="0.25">
      <c r="A55">
        <v>56.25</v>
      </c>
      <c r="B55">
        <v>2750.5210000000002</v>
      </c>
      <c r="C55">
        <v>2438.1590000000001</v>
      </c>
      <c r="D55">
        <v>2512.5250000000001</v>
      </c>
      <c r="E55">
        <v>2542.373</v>
      </c>
      <c r="F55">
        <v>2624.8490000000002</v>
      </c>
      <c r="H55" s="2">
        <f t="shared" si="0"/>
        <v>2573.6853999999998</v>
      </c>
      <c r="I55" s="2">
        <f t="shared" si="1"/>
        <v>53.374623844669877</v>
      </c>
      <c r="K55">
        <v>56.25</v>
      </c>
      <c r="L55">
        <v>2526.701</v>
      </c>
      <c r="M55">
        <v>2027.1849999999999</v>
      </c>
      <c r="N55">
        <v>2234.5590000000002</v>
      </c>
      <c r="O55">
        <v>2081.828</v>
      </c>
      <c r="P55">
        <v>1559.316</v>
      </c>
      <c r="R55" s="3">
        <f t="shared" si="2"/>
        <v>2085.9178000000002</v>
      </c>
      <c r="S55" s="3">
        <f t="shared" si="3"/>
        <v>157.66416202847014</v>
      </c>
    </row>
    <row r="56" spans="1:19" x14ac:dyDescent="0.25">
      <c r="A56">
        <v>57.5</v>
      </c>
      <c r="B56">
        <v>2593.904</v>
      </c>
      <c r="C56">
        <v>2295.6320000000001</v>
      </c>
      <c r="D56">
        <v>2435.989</v>
      </c>
      <c r="E56">
        <v>2395.7170000000001</v>
      </c>
      <c r="F56">
        <v>2505.48</v>
      </c>
      <c r="H56" s="2">
        <f t="shared" si="0"/>
        <v>2445.3444</v>
      </c>
      <c r="I56" s="2">
        <f t="shared" si="1"/>
        <v>50.324174207432335</v>
      </c>
      <c r="K56">
        <v>57.5</v>
      </c>
      <c r="L56">
        <v>2433.681</v>
      </c>
      <c r="M56">
        <v>1892.337</v>
      </c>
      <c r="N56">
        <v>2096.58</v>
      </c>
      <c r="O56">
        <v>1950.518</v>
      </c>
      <c r="P56">
        <v>1458.7090000000001</v>
      </c>
      <c r="R56" s="3">
        <f t="shared" si="2"/>
        <v>1966.3650000000002</v>
      </c>
      <c r="S56" s="3">
        <f t="shared" si="3"/>
        <v>157.9218282268159</v>
      </c>
    </row>
    <row r="57" spans="1:19" x14ac:dyDescent="0.25">
      <c r="A57">
        <v>58.75</v>
      </c>
      <c r="B57">
        <v>2473.4850000000001</v>
      </c>
      <c r="C57">
        <v>2164.1660000000002</v>
      </c>
      <c r="D57">
        <v>2359.4859999999999</v>
      </c>
      <c r="E57">
        <v>2258.5909999999999</v>
      </c>
      <c r="F57">
        <v>2399.2539999999999</v>
      </c>
      <c r="H57" s="2">
        <f t="shared" si="0"/>
        <v>2330.9964</v>
      </c>
      <c r="I57" s="2">
        <f t="shared" si="1"/>
        <v>54.24420831259313</v>
      </c>
      <c r="K57">
        <v>58.75</v>
      </c>
      <c r="L57">
        <v>2355.9929999999999</v>
      </c>
      <c r="M57">
        <v>1761.2809999999999</v>
      </c>
      <c r="N57">
        <v>1980.289</v>
      </c>
      <c r="O57">
        <v>1825.943</v>
      </c>
      <c r="P57">
        <v>1350.2650000000001</v>
      </c>
      <c r="R57" s="3">
        <f t="shared" si="2"/>
        <v>1854.7541999999999</v>
      </c>
      <c r="S57" s="3">
        <f t="shared" si="3"/>
        <v>162.95336724302544</v>
      </c>
    </row>
    <row r="58" spans="1:19" x14ac:dyDescent="0.25">
      <c r="A58">
        <v>60</v>
      </c>
      <c r="B58">
        <v>2375.85</v>
      </c>
      <c r="C58">
        <v>2070.902</v>
      </c>
      <c r="D58">
        <v>2278.2190000000001</v>
      </c>
      <c r="E58">
        <v>2164.5839999999998</v>
      </c>
      <c r="F58">
        <v>2311.0129999999999</v>
      </c>
      <c r="H58" s="2">
        <f t="shared" si="0"/>
        <v>2240.1135999999997</v>
      </c>
      <c r="I58" s="2">
        <f t="shared" si="1"/>
        <v>54.424444308233404</v>
      </c>
      <c r="K58">
        <v>60</v>
      </c>
      <c r="L58">
        <v>2265.9630000000002</v>
      </c>
      <c r="M58">
        <v>1689.1980000000001</v>
      </c>
      <c r="N58">
        <v>1892.797</v>
      </c>
      <c r="O58">
        <v>1745.8879999999999</v>
      </c>
      <c r="P58">
        <v>1280.9369999999999</v>
      </c>
      <c r="R58" s="3">
        <f t="shared" si="2"/>
        <v>1774.9566</v>
      </c>
      <c r="S58" s="3">
        <f t="shared" si="3"/>
        <v>159.25271283045711</v>
      </c>
    </row>
    <row r="59" spans="1:19" x14ac:dyDescent="0.25">
      <c r="A59">
        <v>61.25</v>
      </c>
      <c r="B59">
        <v>2276.1419999999998</v>
      </c>
      <c r="C59">
        <v>1982.44</v>
      </c>
      <c r="D59">
        <v>2187.3389999999999</v>
      </c>
      <c r="E59">
        <v>2083.8649999999998</v>
      </c>
      <c r="F59">
        <v>2219.2919999999999</v>
      </c>
      <c r="H59" s="2">
        <f t="shared" si="0"/>
        <v>2149.8155999999999</v>
      </c>
      <c r="I59" s="2">
        <f t="shared" si="1"/>
        <v>52.229018829191091</v>
      </c>
      <c r="K59">
        <v>61.25</v>
      </c>
      <c r="L59">
        <v>2168.0030000000002</v>
      </c>
      <c r="M59">
        <v>1629.7850000000001</v>
      </c>
      <c r="N59">
        <v>1821.3820000000001</v>
      </c>
      <c r="O59">
        <v>1686.0319999999999</v>
      </c>
      <c r="P59">
        <v>1227.6489999999999</v>
      </c>
      <c r="R59" s="3">
        <f t="shared" si="2"/>
        <v>1706.5702000000001</v>
      </c>
      <c r="S59" s="3">
        <f t="shared" si="3"/>
        <v>151.95151837721096</v>
      </c>
    </row>
    <row r="60" spans="1:19" x14ac:dyDescent="0.25">
      <c r="A60">
        <v>62.5</v>
      </c>
      <c r="B60">
        <v>2195.1419999999998</v>
      </c>
      <c r="C60">
        <v>1917.384</v>
      </c>
      <c r="D60">
        <v>2095.7559999999999</v>
      </c>
      <c r="E60">
        <v>2007.7550000000001</v>
      </c>
      <c r="F60">
        <v>2125.6849999999999</v>
      </c>
      <c r="H60" s="2">
        <f t="shared" si="0"/>
        <v>2068.3444</v>
      </c>
      <c r="I60" s="2">
        <f t="shared" si="1"/>
        <v>48.258206218839057</v>
      </c>
      <c r="K60">
        <v>62.5</v>
      </c>
      <c r="L60">
        <v>2084.4369999999999</v>
      </c>
      <c r="M60">
        <v>1581.6690000000001</v>
      </c>
      <c r="N60">
        <v>1761.4069999999999</v>
      </c>
      <c r="O60">
        <v>1630.191</v>
      </c>
      <c r="P60">
        <v>1180.027</v>
      </c>
      <c r="R60" s="3">
        <f t="shared" si="2"/>
        <v>1647.5462</v>
      </c>
      <c r="S60" s="3">
        <f t="shared" si="3"/>
        <v>146.12547069501684</v>
      </c>
    </row>
    <row r="61" spans="1:19" x14ac:dyDescent="0.25">
      <c r="A61">
        <v>63.75</v>
      </c>
      <c r="B61">
        <v>2124.7640000000001</v>
      </c>
      <c r="C61">
        <v>1849.212</v>
      </c>
      <c r="D61">
        <v>2006.3679999999999</v>
      </c>
      <c r="E61">
        <v>1935.605</v>
      </c>
      <c r="F61">
        <v>2034.4259999999999</v>
      </c>
      <c r="H61" s="2">
        <f t="shared" si="0"/>
        <v>1990.075</v>
      </c>
      <c r="I61" s="2">
        <f t="shared" si="1"/>
        <v>46.466636116680547</v>
      </c>
      <c r="K61">
        <v>63.75</v>
      </c>
      <c r="L61">
        <v>2013.8050000000001</v>
      </c>
      <c r="M61">
        <v>1542.761</v>
      </c>
      <c r="N61">
        <v>1713.155</v>
      </c>
      <c r="O61">
        <v>1582.144</v>
      </c>
      <c r="P61">
        <v>1144.7380000000001</v>
      </c>
      <c r="R61" s="3">
        <f t="shared" si="2"/>
        <v>1599.3206</v>
      </c>
      <c r="S61" s="3">
        <f t="shared" si="3"/>
        <v>140.51600489431786</v>
      </c>
    </row>
    <row r="62" spans="1:19" x14ac:dyDescent="0.25">
      <c r="A62">
        <v>65</v>
      </c>
      <c r="B62">
        <v>2063.6419999999998</v>
      </c>
      <c r="C62">
        <v>1797.404</v>
      </c>
      <c r="D62">
        <v>1918.568</v>
      </c>
      <c r="E62">
        <v>1872.8810000000001</v>
      </c>
      <c r="F62">
        <v>1959.8589999999999</v>
      </c>
      <c r="H62" s="2">
        <f t="shared" si="0"/>
        <v>1922.4707999999998</v>
      </c>
      <c r="I62" s="2">
        <f t="shared" si="1"/>
        <v>44.40904737933473</v>
      </c>
      <c r="K62">
        <v>65</v>
      </c>
      <c r="L62">
        <v>1935.925</v>
      </c>
      <c r="M62">
        <v>1504.2260000000001</v>
      </c>
      <c r="N62">
        <v>1675.5150000000001</v>
      </c>
      <c r="O62">
        <v>1546.174</v>
      </c>
      <c r="P62">
        <v>1115.6590000000001</v>
      </c>
      <c r="R62" s="3">
        <f t="shared" si="2"/>
        <v>1555.4998000000001</v>
      </c>
      <c r="S62" s="3">
        <f t="shared" si="3"/>
        <v>133.28594889987517</v>
      </c>
    </row>
    <row r="63" spans="1:19" x14ac:dyDescent="0.25">
      <c r="A63">
        <v>66.25</v>
      </c>
      <c r="B63">
        <v>2028.328</v>
      </c>
      <c r="C63">
        <v>1754.144</v>
      </c>
      <c r="D63">
        <v>1812.577</v>
      </c>
      <c r="E63">
        <v>1837.5519999999999</v>
      </c>
      <c r="F63">
        <v>1893.153</v>
      </c>
      <c r="H63" s="2">
        <f t="shared" si="0"/>
        <v>1865.1507999999999</v>
      </c>
      <c r="I63" s="2">
        <f t="shared" si="1"/>
        <v>46.507595970335856</v>
      </c>
      <c r="K63">
        <v>66.25</v>
      </c>
      <c r="L63">
        <v>1846.307</v>
      </c>
      <c r="M63">
        <v>1472.357</v>
      </c>
      <c r="N63">
        <v>1636.366</v>
      </c>
      <c r="O63">
        <v>1519.558</v>
      </c>
      <c r="P63">
        <v>1083.402</v>
      </c>
      <c r="R63" s="3">
        <f t="shared" si="2"/>
        <v>1511.598</v>
      </c>
      <c r="S63" s="3">
        <f t="shared" si="3"/>
        <v>125.01043968445207</v>
      </c>
    </row>
    <row r="64" spans="1:19" x14ac:dyDescent="0.25">
      <c r="A64">
        <v>67.5</v>
      </c>
      <c r="B64">
        <v>1993.721</v>
      </c>
      <c r="C64">
        <v>1711.646</v>
      </c>
      <c r="D64">
        <v>1715.2460000000001</v>
      </c>
      <c r="E64">
        <v>1800.7349999999999</v>
      </c>
      <c r="F64">
        <v>1828.617</v>
      </c>
      <c r="H64" s="2">
        <f t="shared" si="0"/>
        <v>1809.9929999999999</v>
      </c>
      <c r="I64" s="2">
        <f t="shared" si="1"/>
        <v>51.399255024756918</v>
      </c>
      <c r="K64">
        <v>67.5</v>
      </c>
      <c r="L64">
        <v>1763.412</v>
      </c>
      <c r="M64">
        <v>1456.2570000000001</v>
      </c>
      <c r="N64">
        <v>1594.973</v>
      </c>
      <c r="O64">
        <v>1494.348</v>
      </c>
      <c r="P64">
        <v>1074.732</v>
      </c>
      <c r="R64" s="3">
        <f t="shared" si="2"/>
        <v>1476.7444</v>
      </c>
      <c r="S64" s="3">
        <f t="shared" si="3"/>
        <v>113.68814907306763</v>
      </c>
    </row>
    <row r="65" spans="1:19" x14ac:dyDescent="0.25">
      <c r="A65">
        <v>68.75</v>
      </c>
      <c r="B65">
        <v>1941.4069999999999</v>
      </c>
      <c r="C65">
        <v>1678.143</v>
      </c>
      <c r="D65">
        <v>1634.7829999999999</v>
      </c>
      <c r="E65">
        <v>1763.7629999999999</v>
      </c>
      <c r="F65">
        <v>1771.0319999999999</v>
      </c>
      <c r="H65" s="2">
        <f t="shared" si="0"/>
        <v>1757.8256000000001</v>
      </c>
      <c r="I65" s="2">
        <f t="shared" si="1"/>
        <v>52.631069865242139</v>
      </c>
      <c r="K65">
        <v>68.75</v>
      </c>
      <c r="L65">
        <v>1695.2270000000001</v>
      </c>
      <c r="M65">
        <v>1432.6990000000001</v>
      </c>
      <c r="N65">
        <v>1569.9169999999999</v>
      </c>
      <c r="O65">
        <v>1475.788</v>
      </c>
      <c r="P65">
        <v>1055.0609999999999</v>
      </c>
      <c r="R65" s="3">
        <f t="shared" si="2"/>
        <v>1445.7384000000002</v>
      </c>
      <c r="S65" s="3">
        <f t="shared" si="3"/>
        <v>107.5561996147122</v>
      </c>
    </row>
    <row r="66" spans="1:19" x14ac:dyDescent="0.25">
      <c r="A66">
        <v>70</v>
      </c>
      <c r="B66">
        <v>1906.521</v>
      </c>
      <c r="C66">
        <v>1654.328</v>
      </c>
      <c r="D66">
        <v>1575.8610000000001</v>
      </c>
      <c r="E66">
        <v>1738.971</v>
      </c>
      <c r="F66">
        <v>1732.8979999999999</v>
      </c>
      <c r="H66" s="2">
        <f t="shared" si="0"/>
        <v>1721.7157999999999</v>
      </c>
      <c r="I66" s="2">
        <f t="shared" si="1"/>
        <v>54.950197334859475</v>
      </c>
      <c r="K66">
        <v>70</v>
      </c>
      <c r="L66">
        <v>1642.607</v>
      </c>
      <c r="M66">
        <v>1419.181</v>
      </c>
      <c r="N66">
        <v>1552.8520000000001</v>
      </c>
      <c r="O66">
        <v>1446.9079999999999</v>
      </c>
      <c r="P66">
        <v>1018.941</v>
      </c>
      <c r="R66" s="3">
        <f t="shared" si="2"/>
        <v>1416.0978</v>
      </c>
      <c r="S66" s="3">
        <f t="shared" si="3"/>
        <v>106.9346593099727</v>
      </c>
    </row>
    <row r="67" spans="1:19" x14ac:dyDescent="0.25">
      <c r="A67">
        <v>71.25</v>
      </c>
      <c r="B67">
        <v>1888.3040000000001</v>
      </c>
      <c r="C67">
        <v>1643.874</v>
      </c>
      <c r="D67">
        <v>1549.325</v>
      </c>
      <c r="E67">
        <v>1726.0060000000001</v>
      </c>
      <c r="F67">
        <v>1711.8389999999999</v>
      </c>
      <c r="H67" s="2">
        <f t="shared" si="0"/>
        <v>1703.8696</v>
      </c>
      <c r="I67" s="2">
        <f t="shared" si="1"/>
        <v>55.701474331116231</v>
      </c>
      <c r="K67">
        <v>71.25</v>
      </c>
      <c r="L67">
        <v>1610.7919999999999</v>
      </c>
      <c r="M67">
        <v>1412.5329999999999</v>
      </c>
      <c r="N67">
        <v>1529.2639999999999</v>
      </c>
      <c r="O67">
        <v>1425.7850000000001</v>
      </c>
      <c r="P67">
        <v>1001.265</v>
      </c>
      <c r="R67" s="3">
        <f t="shared" si="2"/>
        <v>1395.9277999999999</v>
      </c>
      <c r="S67" s="3">
        <f t="shared" si="3"/>
        <v>105.08831462983852</v>
      </c>
    </row>
    <row r="68" spans="1:19" x14ac:dyDescent="0.25">
      <c r="A68">
        <v>72.5</v>
      </c>
      <c r="B68">
        <v>1878.085</v>
      </c>
      <c r="C68">
        <v>1637.337</v>
      </c>
      <c r="D68">
        <v>1537.8409999999999</v>
      </c>
      <c r="E68">
        <v>1719.61</v>
      </c>
      <c r="F68">
        <v>1700.201</v>
      </c>
      <c r="H68" s="2">
        <f t="shared" si="0"/>
        <v>1694.6148000000001</v>
      </c>
      <c r="I68" s="2">
        <f t="shared" si="1"/>
        <v>55.756636681564665</v>
      </c>
      <c r="K68">
        <v>72.5</v>
      </c>
      <c r="L68">
        <v>1590.367</v>
      </c>
      <c r="M68">
        <v>1394.7719999999999</v>
      </c>
      <c r="N68">
        <v>1516.5350000000001</v>
      </c>
      <c r="O68">
        <v>1409.172</v>
      </c>
      <c r="P68">
        <v>988.16600000000005</v>
      </c>
      <c r="R68" s="3">
        <f t="shared" si="2"/>
        <v>1379.8024</v>
      </c>
      <c r="S68" s="3">
        <f t="shared" si="3"/>
        <v>104.2830251788851</v>
      </c>
    </row>
    <row r="69" spans="1:19" x14ac:dyDescent="0.25">
      <c r="A69">
        <v>73.75</v>
      </c>
      <c r="B69">
        <v>1888.451</v>
      </c>
      <c r="C69">
        <v>1642.4949999999999</v>
      </c>
      <c r="D69">
        <v>1550.4380000000001</v>
      </c>
      <c r="E69">
        <v>1719.9190000000001</v>
      </c>
      <c r="F69">
        <v>1713.6220000000001</v>
      </c>
      <c r="H69" s="2">
        <f t="shared" ref="H69:H96" si="4">AVERAGE(B69:F69)</f>
        <v>1702.9849999999999</v>
      </c>
      <c r="I69" s="2">
        <f t="shared" ref="I69:I96" si="5">STDEV(B69:F69)/SQRT(COUNT(B69:F69))</f>
        <v>55.555004540545212</v>
      </c>
      <c r="K69">
        <v>73.75</v>
      </c>
      <c r="L69">
        <v>1604.7850000000001</v>
      </c>
      <c r="M69">
        <v>1396.576</v>
      </c>
      <c r="N69">
        <v>1533.4970000000001</v>
      </c>
      <c r="O69">
        <v>1425.2850000000001</v>
      </c>
      <c r="P69">
        <v>1014.718</v>
      </c>
      <c r="R69" s="3">
        <f t="shared" ref="R69:R96" si="6">AVERAGE(L69:P69)</f>
        <v>1394.9721999999999</v>
      </c>
      <c r="S69" s="3">
        <f t="shared" ref="S69:S96" si="7">STDEV(L69:P69)/SQRT(COUNT(L69:P69))</f>
        <v>102.15802119628231</v>
      </c>
    </row>
    <row r="70" spans="1:19" x14ac:dyDescent="0.25">
      <c r="A70">
        <v>75</v>
      </c>
      <c r="B70">
        <v>1986.7529999999999</v>
      </c>
      <c r="C70">
        <v>1742.374</v>
      </c>
      <c r="D70">
        <v>1627.4849999999999</v>
      </c>
      <c r="E70">
        <v>1806.367</v>
      </c>
      <c r="F70">
        <v>1813.8050000000001</v>
      </c>
      <c r="H70" s="2">
        <f t="shared" si="4"/>
        <v>1795.3568</v>
      </c>
      <c r="I70" s="2">
        <f t="shared" si="5"/>
        <v>58.344744533162547</v>
      </c>
      <c r="K70">
        <v>75</v>
      </c>
      <c r="L70">
        <v>1695.567</v>
      </c>
      <c r="M70">
        <v>1484.752</v>
      </c>
      <c r="N70">
        <v>1630.037</v>
      </c>
      <c r="O70">
        <v>1516.7349999999999</v>
      </c>
      <c r="P70">
        <v>1110.54</v>
      </c>
      <c r="R70" s="3">
        <f t="shared" si="6"/>
        <v>1487.5261999999998</v>
      </c>
      <c r="S70" s="3">
        <f t="shared" si="7"/>
        <v>101.62916602895174</v>
      </c>
    </row>
    <row r="71" spans="1:19" x14ac:dyDescent="0.25">
      <c r="A71">
        <v>76.25</v>
      </c>
      <c r="B71">
        <v>2175.5320000000002</v>
      </c>
      <c r="C71">
        <v>1915.183</v>
      </c>
      <c r="D71">
        <v>1784.1869999999999</v>
      </c>
      <c r="E71">
        <v>2006.086</v>
      </c>
      <c r="F71">
        <v>1986.9659999999999</v>
      </c>
      <c r="H71" s="2">
        <f t="shared" si="4"/>
        <v>1973.5907999999999</v>
      </c>
      <c r="I71" s="2">
        <f t="shared" si="5"/>
        <v>63.757490858251352</v>
      </c>
      <c r="K71">
        <v>76.25</v>
      </c>
      <c r="L71">
        <v>1867.8019999999999</v>
      </c>
      <c r="M71">
        <v>1655.9839999999999</v>
      </c>
      <c r="N71">
        <v>1807.865</v>
      </c>
      <c r="O71">
        <v>1671.8779999999999</v>
      </c>
      <c r="P71">
        <v>1268.133</v>
      </c>
      <c r="R71" s="3">
        <f t="shared" si="6"/>
        <v>1654.3324</v>
      </c>
      <c r="S71" s="3">
        <f t="shared" si="7"/>
        <v>104.54713812658825</v>
      </c>
    </row>
    <row r="72" spans="1:19" x14ac:dyDescent="0.25">
      <c r="A72">
        <v>77.5</v>
      </c>
      <c r="B72">
        <v>2274.7130000000002</v>
      </c>
      <c r="C72">
        <v>2008.864</v>
      </c>
      <c r="D72">
        <v>1870.1110000000001</v>
      </c>
      <c r="E72">
        <v>2113.424</v>
      </c>
      <c r="F72">
        <v>2081.33</v>
      </c>
      <c r="H72" s="2">
        <f t="shared" si="4"/>
        <v>2069.6884</v>
      </c>
      <c r="I72" s="2">
        <f t="shared" si="5"/>
        <v>66.186918038687992</v>
      </c>
      <c r="K72">
        <v>77.5</v>
      </c>
      <c r="L72">
        <v>1975.3589999999999</v>
      </c>
      <c r="M72">
        <v>1741.2349999999999</v>
      </c>
      <c r="N72">
        <v>1904.146</v>
      </c>
      <c r="O72">
        <v>1755.1659999999999</v>
      </c>
      <c r="P72">
        <v>1353.385</v>
      </c>
      <c r="R72" s="3">
        <f t="shared" si="6"/>
        <v>1745.8581999999999</v>
      </c>
      <c r="S72" s="3">
        <f t="shared" si="7"/>
        <v>107.67285327946017</v>
      </c>
    </row>
    <row r="73" spans="1:19" x14ac:dyDescent="0.25">
      <c r="A73">
        <v>78.75</v>
      </c>
      <c r="B73">
        <v>2191.971</v>
      </c>
      <c r="C73">
        <v>1937.308</v>
      </c>
      <c r="D73">
        <v>1809.009</v>
      </c>
      <c r="E73">
        <v>2035.8440000000001</v>
      </c>
      <c r="F73">
        <v>2006.2159999999999</v>
      </c>
      <c r="H73" s="2">
        <f t="shared" si="4"/>
        <v>1996.0696</v>
      </c>
      <c r="I73" s="2">
        <f t="shared" si="5"/>
        <v>62.652575588398591</v>
      </c>
      <c r="K73">
        <v>78.75</v>
      </c>
      <c r="L73">
        <v>1914.0540000000001</v>
      </c>
      <c r="M73">
        <v>1681.845</v>
      </c>
      <c r="N73">
        <v>1828.1120000000001</v>
      </c>
      <c r="O73">
        <v>1693.2819999999999</v>
      </c>
      <c r="P73">
        <v>1288.1179999999999</v>
      </c>
      <c r="R73" s="3">
        <f t="shared" si="6"/>
        <v>1681.0822000000001</v>
      </c>
      <c r="S73" s="3">
        <f t="shared" si="7"/>
        <v>107.34614598316931</v>
      </c>
    </row>
    <row r="74" spans="1:19" x14ac:dyDescent="0.25">
      <c r="A74">
        <v>80</v>
      </c>
      <c r="B74">
        <v>2049.2269999999999</v>
      </c>
      <c r="C74">
        <v>1811.771</v>
      </c>
      <c r="D74">
        <v>1706.057</v>
      </c>
      <c r="E74">
        <v>1902.421</v>
      </c>
      <c r="F74">
        <v>1876.2860000000001</v>
      </c>
      <c r="H74" s="2">
        <f t="shared" si="4"/>
        <v>1869.1523999999997</v>
      </c>
      <c r="I74" s="2">
        <f t="shared" si="5"/>
        <v>56.337058907614242</v>
      </c>
      <c r="K74">
        <v>80</v>
      </c>
      <c r="L74">
        <v>1779.2170000000001</v>
      </c>
      <c r="M74">
        <v>1574.2829999999999</v>
      </c>
      <c r="N74">
        <v>1700.8789999999999</v>
      </c>
      <c r="O74">
        <v>1588.585</v>
      </c>
      <c r="P74">
        <v>1166.674</v>
      </c>
      <c r="R74" s="3">
        <f t="shared" si="6"/>
        <v>1561.9276</v>
      </c>
      <c r="S74" s="3">
        <f t="shared" si="7"/>
        <v>105.73808587997054</v>
      </c>
    </row>
    <row r="75" spans="1:19" x14ac:dyDescent="0.25">
      <c r="A75">
        <v>81.25</v>
      </c>
      <c r="B75">
        <v>2044.63</v>
      </c>
      <c r="C75">
        <v>1869.89</v>
      </c>
      <c r="D75">
        <v>1787.2670000000001</v>
      </c>
      <c r="E75">
        <v>1961.43</v>
      </c>
      <c r="F75">
        <v>1927.797</v>
      </c>
      <c r="H75" s="2">
        <f t="shared" si="4"/>
        <v>1918.2028000000003</v>
      </c>
      <c r="I75" s="2">
        <f t="shared" si="5"/>
        <v>43.256668132670605</v>
      </c>
      <c r="K75">
        <v>81.25</v>
      </c>
      <c r="L75">
        <v>1802.2660000000001</v>
      </c>
      <c r="M75">
        <v>1640.3130000000001</v>
      </c>
      <c r="N75">
        <v>1769.02</v>
      </c>
      <c r="O75">
        <v>1646.076</v>
      </c>
      <c r="P75">
        <v>1227.1769999999999</v>
      </c>
      <c r="R75" s="3">
        <f t="shared" si="6"/>
        <v>1616.9703999999999</v>
      </c>
      <c r="S75" s="3">
        <f t="shared" si="7"/>
        <v>102.66071494228035</v>
      </c>
    </row>
    <row r="76" spans="1:19" x14ac:dyDescent="0.25">
      <c r="A76">
        <v>82.5</v>
      </c>
      <c r="B76">
        <v>2334.12</v>
      </c>
      <c r="C76">
        <v>2323.9050000000002</v>
      </c>
      <c r="D76">
        <v>2208.0929999999998</v>
      </c>
      <c r="E76">
        <v>2403.116</v>
      </c>
      <c r="F76">
        <v>2351.4110000000001</v>
      </c>
      <c r="H76" s="2">
        <f t="shared" si="4"/>
        <v>2324.1289999999999</v>
      </c>
      <c r="I76" s="2">
        <f t="shared" si="5"/>
        <v>32.052673247328393</v>
      </c>
      <c r="K76">
        <v>82.5</v>
      </c>
      <c r="L76">
        <v>2248.837</v>
      </c>
      <c r="M76">
        <v>2079.2649999999999</v>
      </c>
      <c r="N76">
        <v>2281.1970000000001</v>
      </c>
      <c r="O76">
        <v>2156.2190000000001</v>
      </c>
      <c r="P76">
        <v>1693.692</v>
      </c>
      <c r="R76" s="3">
        <f t="shared" si="6"/>
        <v>2091.8419999999996</v>
      </c>
      <c r="S76" s="3">
        <f t="shared" si="7"/>
        <v>105.67136499733468</v>
      </c>
    </row>
    <row r="77" spans="1:19" x14ac:dyDescent="0.25">
      <c r="A77">
        <v>83.75</v>
      </c>
      <c r="B77">
        <v>2840.4090000000001</v>
      </c>
      <c r="C77">
        <v>3050.893</v>
      </c>
      <c r="D77">
        <v>2814.8649999999998</v>
      </c>
      <c r="E77">
        <v>3152.6559999999999</v>
      </c>
      <c r="F77">
        <v>3063.0050000000001</v>
      </c>
      <c r="H77" s="2">
        <f t="shared" si="4"/>
        <v>2984.3656000000001</v>
      </c>
      <c r="I77" s="2">
        <f t="shared" si="5"/>
        <v>66.477689866300267</v>
      </c>
      <c r="K77">
        <v>83.75</v>
      </c>
      <c r="L77">
        <v>2986.3110000000001</v>
      </c>
      <c r="M77">
        <v>2863.2260000000001</v>
      </c>
      <c r="N77">
        <v>3087.5740000000001</v>
      </c>
      <c r="O77">
        <v>2913.2669999999998</v>
      </c>
      <c r="P77">
        <v>2351.2449999999999</v>
      </c>
      <c r="R77" s="3">
        <f t="shared" si="6"/>
        <v>2840.3245999999999</v>
      </c>
      <c r="S77" s="3">
        <f t="shared" si="7"/>
        <v>127.96253704916923</v>
      </c>
    </row>
    <row r="78" spans="1:19" x14ac:dyDescent="0.25">
      <c r="A78">
        <v>85</v>
      </c>
      <c r="B78">
        <v>3209.4789999999998</v>
      </c>
      <c r="C78">
        <v>3553.8209999999999</v>
      </c>
      <c r="D78">
        <v>3234.4659999999999</v>
      </c>
      <c r="E78">
        <v>3664.4279999999999</v>
      </c>
      <c r="F78">
        <v>3571.886</v>
      </c>
      <c r="H78" s="2">
        <f t="shared" si="4"/>
        <v>3446.8159999999998</v>
      </c>
      <c r="I78" s="2">
        <f t="shared" si="5"/>
        <v>93.773378828428704</v>
      </c>
      <c r="K78">
        <v>85</v>
      </c>
      <c r="L78">
        <v>3495.4720000000002</v>
      </c>
      <c r="M78">
        <v>3427.52</v>
      </c>
      <c r="N78">
        <v>3646.5309999999999</v>
      </c>
      <c r="O78">
        <v>3440.7750000000001</v>
      </c>
      <c r="P78">
        <v>2832.4490000000001</v>
      </c>
      <c r="R78" s="3">
        <f t="shared" si="6"/>
        <v>3368.5493999999999</v>
      </c>
      <c r="S78" s="3">
        <f t="shared" si="7"/>
        <v>139.54942210005743</v>
      </c>
    </row>
    <row r="79" spans="1:19" x14ac:dyDescent="0.25">
      <c r="A79">
        <v>86.25</v>
      </c>
      <c r="B79">
        <v>3212.0050000000001</v>
      </c>
      <c r="C79">
        <v>3534.4140000000002</v>
      </c>
      <c r="D79">
        <v>3235.098</v>
      </c>
      <c r="E79">
        <v>3638.3969999999999</v>
      </c>
      <c r="F79">
        <v>3597.201</v>
      </c>
      <c r="H79" s="2">
        <f t="shared" si="4"/>
        <v>3443.4230000000002</v>
      </c>
      <c r="I79" s="2">
        <f t="shared" si="5"/>
        <v>91.349737927921822</v>
      </c>
      <c r="K79">
        <v>86.25</v>
      </c>
      <c r="L79">
        <v>3493.7530000000002</v>
      </c>
      <c r="M79">
        <v>3429.1289999999999</v>
      </c>
      <c r="N79">
        <v>3620.4290000000001</v>
      </c>
      <c r="O79">
        <v>3423.665</v>
      </c>
      <c r="P79">
        <v>2857.277</v>
      </c>
      <c r="R79" s="3">
        <f t="shared" si="6"/>
        <v>3364.8505999999993</v>
      </c>
      <c r="S79" s="3">
        <f t="shared" si="7"/>
        <v>131.74937439001371</v>
      </c>
    </row>
    <row r="80" spans="1:19" x14ac:dyDescent="0.25">
      <c r="A80">
        <v>87.5</v>
      </c>
      <c r="B80">
        <v>2911.7570000000001</v>
      </c>
      <c r="C80">
        <v>3130.527</v>
      </c>
      <c r="D80">
        <v>2892.6790000000001</v>
      </c>
      <c r="E80">
        <v>3202.6590000000001</v>
      </c>
      <c r="F80">
        <v>3189.8</v>
      </c>
      <c r="H80" s="2">
        <f t="shared" si="4"/>
        <v>3065.4843999999998</v>
      </c>
      <c r="I80" s="2">
        <f t="shared" si="5"/>
        <v>67.821677538674919</v>
      </c>
      <c r="K80">
        <v>87.5</v>
      </c>
      <c r="L80">
        <v>3069.5419999999999</v>
      </c>
      <c r="M80">
        <v>2989.6469999999999</v>
      </c>
      <c r="N80">
        <v>3130.2260000000001</v>
      </c>
      <c r="O80">
        <v>2976.66</v>
      </c>
      <c r="P80">
        <v>2468.2840000000001</v>
      </c>
      <c r="R80" s="3">
        <f t="shared" si="6"/>
        <v>2926.8717999999999</v>
      </c>
      <c r="S80" s="3">
        <f t="shared" si="7"/>
        <v>117.98942273119228</v>
      </c>
    </row>
    <row r="81" spans="1:19" x14ac:dyDescent="0.25">
      <c r="A81">
        <v>88.75</v>
      </c>
      <c r="B81">
        <v>2618.2539999999999</v>
      </c>
      <c r="C81">
        <v>2720.1170000000002</v>
      </c>
      <c r="D81">
        <v>2543.2809999999999</v>
      </c>
      <c r="E81">
        <v>2815.962</v>
      </c>
      <c r="F81">
        <v>2817.4070000000002</v>
      </c>
      <c r="H81" s="2">
        <f t="shared" si="4"/>
        <v>2703.0042000000003</v>
      </c>
      <c r="I81" s="2">
        <f t="shared" si="5"/>
        <v>54.237630004822336</v>
      </c>
      <c r="K81">
        <v>88.75</v>
      </c>
      <c r="L81">
        <v>2597.11</v>
      </c>
      <c r="M81">
        <v>2539.5210000000002</v>
      </c>
      <c r="N81">
        <v>2685.6080000000002</v>
      </c>
      <c r="O81">
        <v>2580.4929999999999</v>
      </c>
      <c r="P81">
        <v>2094.5810000000001</v>
      </c>
      <c r="R81" s="3">
        <f t="shared" si="6"/>
        <v>2499.4625999999998</v>
      </c>
      <c r="S81" s="3">
        <f t="shared" si="7"/>
        <v>103.99154672885676</v>
      </c>
    </row>
    <row r="82" spans="1:19" x14ac:dyDescent="0.25">
      <c r="A82">
        <v>90</v>
      </c>
      <c r="B82">
        <v>2536.4679999999998</v>
      </c>
      <c r="C82">
        <v>2623.8679999999999</v>
      </c>
      <c r="D82">
        <v>2446.5450000000001</v>
      </c>
      <c r="E82">
        <v>2744.877</v>
      </c>
      <c r="F82">
        <v>2712.6060000000002</v>
      </c>
      <c r="H82" s="2">
        <f t="shared" si="4"/>
        <v>2612.8728000000001</v>
      </c>
      <c r="I82" s="2">
        <f t="shared" si="5"/>
        <v>55.224697798539388</v>
      </c>
      <c r="K82">
        <v>90</v>
      </c>
      <c r="L82">
        <v>2480.4290000000001</v>
      </c>
      <c r="M82">
        <v>2518.6799999999998</v>
      </c>
      <c r="N82">
        <v>2624.674</v>
      </c>
      <c r="O82">
        <v>2524.877</v>
      </c>
      <c r="P82">
        <v>2103.1559999999999</v>
      </c>
      <c r="R82" s="3">
        <f t="shared" si="6"/>
        <v>2450.3631999999998</v>
      </c>
      <c r="S82" s="3">
        <f t="shared" si="7"/>
        <v>90.016814710030701</v>
      </c>
    </row>
    <row r="83" spans="1:19" x14ac:dyDescent="0.25">
      <c r="A83">
        <v>91.25</v>
      </c>
      <c r="B83">
        <v>2574.0140000000001</v>
      </c>
      <c r="C83">
        <v>2709.875</v>
      </c>
      <c r="D83">
        <v>2519.0059999999999</v>
      </c>
      <c r="E83">
        <v>2848.1210000000001</v>
      </c>
      <c r="F83">
        <v>2795.174</v>
      </c>
      <c r="H83" s="2">
        <f t="shared" si="4"/>
        <v>2689.2379999999998</v>
      </c>
      <c r="I83" s="2">
        <f t="shared" si="5"/>
        <v>62.907723513889785</v>
      </c>
      <c r="K83">
        <v>91.25</v>
      </c>
      <c r="L83">
        <v>2537.7190000000001</v>
      </c>
      <c r="M83">
        <v>2749.7359999999999</v>
      </c>
      <c r="N83">
        <v>2784.415</v>
      </c>
      <c r="O83">
        <v>2687.1260000000002</v>
      </c>
      <c r="P83">
        <v>2328.0740000000001</v>
      </c>
      <c r="R83" s="3">
        <f t="shared" si="6"/>
        <v>2617.4139999999998</v>
      </c>
      <c r="S83" s="3">
        <f t="shared" si="7"/>
        <v>83.763696567785232</v>
      </c>
    </row>
    <row r="84" spans="1:19" x14ac:dyDescent="0.25">
      <c r="A84">
        <v>92.5</v>
      </c>
      <c r="B84">
        <v>2734.723</v>
      </c>
      <c r="C84">
        <v>2840.9720000000002</v>
      </c>
      <c r="D84">
        <v>2636.3789999999999</v>
      </c>
      <c r="E84">
        <v>3004.9650000000001</v>
      </c>
      <c r="F84">
        <v>2925.1329999999998</v>
      </c>
      <c r="H84" s="2">
        <f t="shared" si="4"/>
        <v>2828.4344000000001</v>
      </c>
      <c r="I84" s="2">
        <f t="shared" si="5"/>
        <v>65.703107442190287</v>
      </c>
      <c r="K84">
        <v>92.5</v>
      </c>
      <c r="L84">
        <v>2664.4140000000002</v>
      </c>
      <c r="M84">
        <v>2948.4639999999999</v>
      </c>
      <c r="N84">
        <v>2961.701</v>
      </c>
      <c r="O84">
        <v>2847.1529999999998</v>
      </c>
      <c r="P84">
        <v>2514.9209999999998</v>
      </c>
      <c r="R84" s="3">
        <f t="shared" si="6"/>
        <v>2787.3306000000002</v>
      </c>
      <c r="S84" s="3">
        <f t="shared" si="7"/>
        <v>86.38958538539238</v>
      </c>
    </row>
    <row r="85" spans="1:19" x14ac:dyDescent="0.25">
      <c r="A85">
        <v>93.75</v>
      </c>
      <c r="B85">
        <v>3128.357</v>
      </c>
      <c r="C85">
        <v>3078.33</v>
      </c>
      <c r="D85">
        <v>2876.3519999999999</v>
      </c>
      <c r="E85">
        <v>3279.9850000000001</v>
      </c>
      <c r="F85">
        <v>3157.3739999999998</v>
      </c>
      <c r="H85" s="2">
        <f t="shared" si="4"/>
        <v>3104.0796</v>
      </c>
      <c r="I85" s="2">
        <f t="shared" si="5"/>
        <v>65.914830149671204</v>
      </c>
      <c r="K85">
        <v>93.75</v>
      </c>
      <c r="L85">
        <v>2947.2020000000002</v>
      </c>
      <c r="M85">
        <v>3079.08</v>
      </c>
      <c r="N85">
        <v>3146.7220000000002</v>
      </c>
      <c r="O85">
        <v>2968.5189999999998</v>
      </c>
      <c r="P85">
        <v>2596.8879999999999</v>
      </c>
      <c r="R85" s="3">
        <f t="shared" si="6"/>
        <v>2947.6822000000002</v>
      </c>
      <c r="S85" s="3">
        <f t="shared" si="7"/>
        <v>94.966625034482533</v>
      </c>
    </row>
    <row r="86" spans="1:19" x14ac:dyDescent="0.25">
      <c r="A86">
        <v>95</v>
      </c>
      <c r="B86">
        <v>3635.9720000000002</v>
      </c>
      <c r="C86">
        <v>3451.1680000000001</v>
      </c>
      <c r="D86">
        <v>3213.09</v>
      </c>
      <c r="E86">
        <v>3643.8919999999998</v>
      </c>
      <c r="F86">
        <v>3508.04</v>
      </c>
      <c r="H86" s="2">
        <f t="shared" si="4"/>
        <v>3490.4324000000001</v>
      </c>
      <c r="I86" s="2">
        <f t="shared" si="5"/>
        <v>78.58185271524205</v>
      </c>
      <c r="K86">
        <v>95</v>
      </c>
      <c r="L86">
        <v>3304.9189999999999</v>
      </c>
      <c r="M86">
        <v>3197.9569999999999</v>
      </c>
      <c r="N86">
        <v>3378.223</v>
      </c>
      <c r="O86">
        <v>3155.6950000000002</v>
      </c>
      <c r="P86">
        <v>2617.741</v>
      </c>
      <c r="R86" s="3">
        <f t="shared" si="6"/>
        <v>3130.9070000000002</v>
      </c>
      <c r="S86" s="3">
        <f t="shared" si="7"/>
        <v>134.14448758707903</v>
      </c>
    </row>
    <row r="87" spans="1:19" x14ac:dyDescent="0.25">
      <c r="A87">
        <v>96.25</v>
      </c>
      <c r="B87">
        <v>4069.4270000000001</v>
      </c>
      <c r="C87">
        <v>3753.2750000000001</v>
      </c>
      <c r="D87">
        <v>3529.0160000000001</v>
      </c>
      <c r="E87">
        <v>4014.6030000000001</v>
      </c>
      <c r="F87">
        <v>3877.4830000000002</v>
      </c>
      <c r="H87" s="2">
        <f t="shared" si="4"/>
        <v>3848.7608</v>
      </c>
      <c r="I87" s="2">
        <f t="shared" si="5"/>
        <v>97.050617469648287</v>
      </c>
      <c r="K87">
        <v>96.25</v>
      </c>
      <c r="L87">
        <v>3572.3359999999998</v>
      </c>
      <c r="M87">
        <v>3349.4760000000001</v>
      </c>
      <c r="N87">
        <v>3600.8389999999999</v>
      </c>
      <c r="O87">
        <v>3354.076</v>
      </c>
      <c r="P87">
        <v>2671.01</v>
      </c>
      <c r="R87" s="3">
        <f t="shared" si="6"/>
        <v>3309.5474000000004</v>
      </c>
      <c r="S87" s="3">
        <f t="shared" si="7"/>
        <v>168.10945021550711</v>
      </c>
    </row>
    <row r="88" spans="1:19" x14ac:dyDescent="0.25">
      <c r="A88">
        <v>97.5</v>
      </c>
      <c r="B88">
        <v>4527.0190000000002</v>
      </c>
      <c r="C88">
        <v>4044.221</v>
      </c>
      <c r="D88">
        <v>3822.3240000000001</v>
      </c>
      <c r="E88">
        <v>4367.95</v>
      </c>
      <c r="F88">
        <v>4253.7790000000005</v>
      </c>
      <c r="H88" s="2">
        <f t="shared" si="4"/>
        <v>4203.0585999999994</v>
      </c>
      <c r="I88" s="2">
        <f t="shared" si="5"/>
        <v>123.47070347843656</v>
      </c>
      <c r="K88">
        <v>97.5</v>
      </c>
      <c r="L88">
        <v>3822.0129999999999</v>
      </c>
      <c r="M88">
        <v>3546.6709999999998</v>
      </c>
      <c r="N88">
        <v>3846.672</v>
      </c>
      <c r="O88">
        <v>3597.5639999999999</v>
      </c>
      <c r="P88">
        <v>2796.0120000000002</v>
      </c>
      <c r="R88" s="3">
        <f t="shared" si="6"/>
        <v>3521.7864</v>
      </c>
      <c r="S88" s="3">
        <f t="shared" si="7"/>
        <v>190.89219891200307</v>
      </c>
    </row>
    <row r="89" spans="1:19" x14ac:dyDescent="0.25">
      <c r="A89">
        <v>98.75</v>
      </c>
      <c r="B89">
        <v>4899.9089999999997</v>
      </c>
      <c r="C89">
        <v>4357.8209999999999</v>
      </c>
      <c r="D89">
        <v>4052.0210000000002</v>
      </c>
      <c r="E89">
        <v>4666.8819999999996</v>
      </c>
      <c r="F89">
        <v>4539.2709999999997</v>
      </c>
      <c r="H89" s="2">
        <f t="shared" si="4"/>
        <v>4503.1808000000001</v>
      </c>
      <c r="I89" s="2">
        <f t="shared" si="5"/>
        <v>143.20762666226952</v>
      </c>
      <c r="K89">
        <v>98.75</v>
      </c>
      <c r="L89">
        <v>4104.5039999999999</v>
      </c>
      <c r="M89">
        <v>3767.05</v>
      </c>
      <c r="N89">
        <v>4146.9189999999999</v>
      </c>
      <c r="O89">
        <v>3863.835</v>
      </c>
      <c r="P89">
        <v>2972.0720000000001</v>
      </c>
      <c r="R89" s="3">
        <f t="shared" si="6"/>
        <v>3770.8760000000002</v>
      </c>
      <c r="S89" s="3">
        <f t="shared" si="7"/>
        <v>212.06836452026516</v>
      </c>
    </row>
    <row r="90" spans="1:19" x14ac:dyDescent="0.25">
      <c r="A90">
        <v>100</v>
      </c>
      <c r="B90">
        <v>4957.5739999999996</v>
      </c>
      <c r="C90">
        <v>4489.8280000000004</v>
      </c>
      <c r="D90">
        <v>4132.2139999999999</v>
      </c>
      <c r="E90">
        <v>4699.0439999999999</v>
      </c>
      <c r="F90">
        <v>4582.4350000000004</v>
      </c>
      <c r="H90" s="2">
        <f t="shared" si="4"/>
        <v>4572.2190000000001</v>
      </c>
      <c r="I90" s="2">
        <f t="shared" si="5"/>
        <v>135.1073832571706</v>
      </c>
      <c r="K90">
        <v>100</v>
      </c>
      <c r="L90">
        <v>4245.2969999999996</v>
      </c>
      <c r="M90">
        <v>3924.6129999999998</v>
      </c>
      <c r="N90">
        <v>4272.2759999999998</v>
      </c>
      <c r="O90">
        <v>3964.752</v>
      </c>
      <c r="P90">
        <v>3103.0419999999999</v>
      </c>
      <c r="R90" s="3">
        <f t="shared" si="6"/>
        <v>3901.9960000000001</v>
      </c>
      <c r="S90" s="3">
        <f t="shared" si="7"/>
        <v>211.86554620112258</v>
      </c>
    </row>
    <row r="91" spans="1:19" x14ac:dyDescent="0.25">
      <c r="A91">
        <v>101.25</v>
      </c>
      <c r="B91">
        <v>4711.6490000000003</v>
      </c>
      <c r="C91">
        <v>4337.9880000000003</v>
      </c>
      <c r="D91">
        <v>3996.1970000000001</v>
      </c>
      <c r="E91">
        <v>4464.5829999999996</v>
      </c>
      <c r="F91">
        <v>4357.9470000000001</v>
      </c>
      <c r="H91" s="2">
        <f t="shared" si="4"/>
        <v>4373.6728000000003</v>
      </c>
      <c r="I91" s="2">
        <f t="shared" si="5"/>
        <v>115.43423702541634</v>
      </c>
      <c r="K91">
        <v>101.25</v>
      </c>
      <c r="L91">
        <v>4111.0540000000001</v>
      </c>
      <c r="M91">
        <v>3853.1179999999999</v>
      </c>
      <c r="N91">
        <v>4131.2150000000001</v>
      </c>
      <c r="O91">
        <v>3833.0859999999998</v>
      </c>
      <c r="P91">
        <v>3061.5790000000002</v>
      </c>
      <c r="R91" s="3">
        <f t="shared" si="6"/>
        <v>3798.0104000000001</v>
      </c>
      <c r="S91" s="3">
        <f t="shared" si="7"/>
        <v>194.37334605871183</v>
      </c>
    </row>
    <row r="92" spans="1:19" x14ac:dyDescent="0.25">
      <c r="A92">
        <v>102.5</v>
      </c>
      <c r="B92">
        <v>4254.3019999999997</v>
      </c>
      <c r="C92">
        <v>3973.91</v>
      </c>
      <c r="D92">
        <v>3640.9180000000001</v>
      </c>
      <c r="E92">
        <v>4011.8470000000002</v>
      </c>
      <c r="F92">
        <v>3922.57</v>
      </c>
      <c r="H92" s="2">
        <f t="shared" si="4"/>
        <v>3960.7093999999997</v>
      </c>
      <c r="I92" s="2">
        <f t="shared" si="5"/>
        <v>98.159838553045645</v>
      </c>
      <c r="K92">
        <v>102.5</v>
      </c>
      <c r="L92">
        <v>3738.8470000000002</v>
      </c>
      <c r="M92">
        <v>3574.451</v>
      </c>
      <c r="N92">
        <v>3789.2420000000002</v>
      </c>
      <c r="O92">
        <v>3498.8389999999999</v>
      </c>
      <c r="P92">
        <v>2845.7179999999998</v>
      </c>
      <c r="R92" s="3">
        <f t="shared" si="6"/>
        <v>3489.4194000000002</v>
      </c>
      <c r="S92" s="3">
        <f t="shared" si="7"/>
        <v>169.37802592680083</v>
      </c>
    </row>
    <row r="93" spans="1:19" x14ac:dyDescent="0.25">
      <c r="A93">
        <v>103.75</v>
      </c>
      <c r="B93">
        <v>3644.942</v>
      </c>
      <c r="C93">
        <v>3433.8719999999998</v>
      </c>
      <c r="D93">
        <v>3133.4070000000002</v>
      </c>
      <c r="E93">
        <v>3423.1329999999998</v>
      </c>
      <c r="F93">
        <v>3349.0920000000001</v>
      </c>
      <c r="H93" s="2">
        <f t="shared" si="4"/>
        <v>3396.8892000000001</v>
      </c>
      <c r="I93" s="2">
        <f t="shared" si="5"/>
        <v>82.247826161789789</v>
      </c>
      <c r="K93">
        <v>103.75</v>
      </c>
      <c r="L93">
        <v>3203.3229999999999</v>
      </c>
      <c r="M93">
        <v>3121.6419999999998</v>
      </c>
      <c r="N93">
        <v>3268.2710000000002</v>
      </c>
      <c r="O93">
        <v>2994.2310000000002</v>
      </c>
      <c r="P93">
        <v>2485.623</v>
      </c>
      <c r="R93" s="3">
        <f t="shared" si="6"/>
        <v>3014.6179999999999</v>
      </c>
      <c r="S93" s="3">
        <f t="shared" si="7"/>
        <v>139.93836103870873</v>
      </c>
    </row>
    <row r="94" spans="1:19" x14ac:dyDescent="0.25">
      <c r="A94">
        <v>105</v>
      </c>
      <c r="B94">
        <v>3177.6</v>
      </c>
      <c r="C94">
        <v>2915.643</v>
      </c>
      <c r="D94">
        <v>2695.9259999999999</v>
      </c>
      <c r="E94">
        <v>2986.19</v>
      </c>
      <c r="F94">
        <v>2891.201</v>
      </c>
      <c r="H94" s="2">
        <f t="shared" si="4"/>
        <v>2933.3120000000004</v>
      </c>
      <c r="I94" s="2">
        <f t="shared" si="5"/>
        <v>77.752926860022441</v>
      </c>
      <c r="K94">
        <v>105</v>
      </c>
      <c r="L94">
        <v>2719.6979999999999</v>
      </c>
      <c r="M94">
        <v>2653.4009999999998</v>
      </c>
      <c r="N94">
        <v>2826.3649999999998</v>
      </c>
      <c r="O94">
        <v>2560.3969999999999</v>
      </c>
      <c r="P94">
        <v>2137.058</v>
      </c>
      <c r="R94" s="3">
        <f t="shared" si="6"/>
        <v>2579.3838000000005</v>
      </c>
      <c r="S94" s="3">
        <f t="shared" si="7"/>
        <v>118.78108975986029</v>
      </c>
    </row>
    <row r="95" spans="1:19" x14ac:dyDescent="0.25">
      <c r="A95">
        <v>106.25</v>
      </c>
      <c r="B95">
        <v>2989.7669999999998</v>
      </c>
      <c r="C95">
        <v>2670.35</v>
      </c>
      <c r="D95">
        <v>2510.5309999999999</v>
      </c>
      <c r="E95">
        <v>2805.2240000000002</v>
      </c>
      <c r="F95">
        <v>2696.8649999999998</v>
      </c>
      <c r="H95" s="2">
        <f t="shared" si="4"/>
        <v>2734.5473999999999</v>
      </c>
      <c r="I95" s="2">
        <f t="shared" si="5"/>
        <v>79.327436274343299</v>
      </c>
      <c r="K95">
        <v>106.25</v>
      </c>
      <c r="L95">
        <v>2503.2600000000002</v>
      </c>
      <c r="M95">
        <v>2420.308</v>
      </c>
      <c r="N95">
        <v>2640.34</v>
      </c>
      <c r="O95">
        <v>2395.7420000000002</v>
      </c>
      <c r="P95">
        <v>1971.617</v>
      </c>
      <c r="R95" s="3">
        <f t="shared" si="6"/>
        <v>2386.2534000000005</v>
      </c>
      <c r="S95" s="3">
        <f t="shared" si="7"/>
        <v>112.12128215891936</v>
      </c>
    </row>
    <row r="96" spans="1:19" x14ac:dyDescent="0.25">
      <c r="A96">
        <v>107.5</v>
      </c>
      <c r="B96">
        <v>2887.3290000000002</v>
      </c>
      <c r="C96">
        <v>2585.194</v>
      </c>
      <c r="D96">
        <v>2485.703</v>
      </c>
      <c r="E96">
        <v>2698.6460000000002</v>
      </c>
      <c r="F96">
        <v>2604.8130000000001</v>
      </c>
      <c r="H96" s="2">
        <f t="shared" si="4"/>
        <v>2652.3370000000004</v>
      </c>
      <c r="I96" s="2">
        <f t="shared" si="5"/>
        <v>67.786195691305807</v>
      </c>
      <c r="K96">
        <v>107.5</v>
      </c>
      <c r="L96">
        <v>2441.779</v>
      </c>
      <c r="M96">
        <v>2333.248</v>
      </c>
      <c r="N96">
        <v>2569.694</v>
      </c>
      <c r="O96">
        <v>2334.9459999999999</v>
      </c>
      <c r="P96">
        <v>1917.1089999999999</v>
      </c>
      <c r="R96" s="3">
        <f t="shared" si="6"/>
        <v>2319.3552</v>
      </c>
      <c r="S96" s="3">
        <f t="shared" si="7"/>
        <v>109.52058937542293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BRIGHT!OCT_RAW___\AD08\_dark_profiles_AD08_DARK</vt:lpstr>
      <vt:lpstr>BRIGHT!OCT_RAW___\AD08\_light_profiles_AD08_LIGHT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2019-11-17T01:44:14Z</dcterms:modified>
</cp:coreProperties>
</file>