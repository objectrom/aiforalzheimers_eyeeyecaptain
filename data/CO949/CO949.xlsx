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E:\[Documents]\[[[OCT RAW FOR DRYAD]]]\CO949\"/>
    </mc:Choice>
  </mc:AlternateContent>
  <xr:revisionPtr revIDLastSave="0" documentId="13_ncr:1_{22823F45-0C23-4BC4-810D-1973BB3106D2}" xr6:coauthVersionLast="45" xr6:coauthVersionMax="45" xr10:uidLastSave="{00000000-0000-0000-0000-000000000000}"/>
  <bookViews>
    <workbookView xWindow="990" yWindow="1065" windowWidth="24810" windowHeight="15810" xr2:uid="{00000000-000D-0000-FFFF-FFFF00000000}"/>
  </bookViews>
  <sheets>
    <sheet name="BRIGHT" sheetId="1" r:id="rId1"/>
  </sheets>
  <definedNames>
    <definedName name="OCT_RAW___\CO12_\_dark_profiles_CO12_DARK" localSheetId="0">BRIGHT!$A$2:$F$96</definedName>
    <definedName name="OCT_RAW___\CO12_\_fovea_dark_profiles_CO12_DARK" localSheetId="0">BRIGHT!#REF!</definedName>
    <definedName name="OCT_RAW___\CO12_\_fovea_light_profiles_CO12_LIGHT" localSheetId="0">BRIGHT!#REF!</definedName>
    <definedName name="OCT_RAW___\CO12_\_light_profiles_CO12_LIGHT" localSheetId="0">BRIGHT!$K$2:$P$96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6" i="1" l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399D7A-A3D5-45F2-B98A-FE4B96B518DF}" name="[[[OCT RAW]]]\CO12-\_dark_profiles_CO12_DARK" type="6" refreshedVersion="6" background="1" saveData="1">
    <textPr codePage="437" sourceFile="E:\[Documents]\[[[OCT RAW]]]\CO12-\_dark_profiles_CO12_DARK.txt" space="1" consecutive="1">
      <textFields count="6">
        <textField/>
        <textField/>
        <textField/>
        <textField/>
        <textField/>
        <textField/>
      </textFields>
    </textPr>
  </connection>
  <connection id="2" xr16:uid="{84175E3F-8225-4FA6-BDEE-C79147A7DA38}" name="[[[OCT RAW]]]\CO12-\_light_profiles_CO12_LIGHT" type="6" refreshedVersion="6" background="1" saveData="1">
    <textPr codePage="437" sourceFile="E:\[Documents]\[[[OCT RAW]]]\CO12-\_light_profiles_CO12_LIGHT.txt" space="1" consecutive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<sst xmlns="http://schemas.openxmlformats.org/spreadsheetml/2006/main" count="12" uniqueCount="8">
  <si>
    <t>angle</t>
  </si>
  <si>
    <t>whole</t>
  </si>
  <si>
    <t>RPEtoOLM</t>
  </si>
  <si>
    <t>RNFL</t>
  </si>
  <si>
    <t>DARK 500 microns to 2750 microns</t>
  </si>
  <si>
    <t>LIGHT 500 microns to 2750 microns</t>
  </si>
  <si>
    <t>CO949_DARK</t>
  </si>
  <si>
    <t>CO949_LIGHT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</si>
</sst>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BRIGHT!$H$7:$H$96</c:f>
              <c:numCache>
                <c:formatCode>General</c:formatCode>
                <c:ptCount val="90"/>
                <c:pt idx="0">
                  <c:v>822.83459999999991</c:v>
                </c:pt>
                <c:pt idx="1">
                  <c:v>1007.0592</c:v>
                </c:pt>
                <c:pt idx="2">
                  <c:v>1393.3128000000002</c:v>
                </c:pt>
                <c:pt idx="3">
                  <c:v>1846.3342</c:v>
                </c:pt>
                <c:pt idx="4">
                  <c:v>2310.0300000000002</c:v>
                </c:pt>
                <c:pt idx="5">
                  <c:v>2629.6978000000004</c:v>
                </c:pt>
                <c:pt idx="6">
                  <c:v>2804.2822000000001</c:v>
                </c:pt>
                <c:pt idx="7">
                  <c:v>2899.7476000000001</c:v>
                </c:pt>
                <c:pt idx="8">
                  <c:v>2944.5330000000004</c:v>
                </c:pt>
                <c:pt idx="9">
                  <c:v>2904.2356000000004</c:v>
                </c:pt>
                <c:pt idx="10">
                  <c:v>2731.5038</c:v>
                </c:pt>
                <c:pt idx="11">
                  <c:v>2394.9199999999996</c:v>
                </c:pt>
                <c:pt idx="12">
                  <c:v>2137.395</c:v>
                </c:pt>
                <c:pt idx="13">
                  <c:v>2012.6791999999998</c:v>
                </c:pt>
                <c:pt idx="14">
                  <c:v>1977.8037999999997</c:v>
                </c:pt>
                <c:pt idx="15">
                  <c:v>1984.4712000000004</c:v>
                </c:pt>
                <c:pt idx="16">
                  <c:v>2001.9774000000002</c:v>
                </c:pt>
                <c:pt idx="17">
                  <c:v>2014.8237999999997</c:v>
                </c:pt>
                <c:pt idx="18">
                  <c:v>2020.7329999999997</c:v>
                </c:pt>
                <c:pt idx="19">
                  <c:v>2016.8454000000002</c:v>
                </c:pt>
                <c:pt idx="20">
                  <c:v>2010.4504000000002</c:v>
                </c:pt>
                <c:pt idx="21">
                  <c:v>2010.8653999999999</c:v>
                </c:pt>
                <c:pt idx="22">
                  <c:v>2016.9646</c:v>
                </c:pt>
                <c:pt idx="23">
                  <c:v>2042.7839999999997</c:v>
                </c:pt>
                <c:pt idx="24">
                  <c:v>2086.7682</c:v>
                </c:pt>
                <c:pt idx="25">
                  <c:v>2128.165</c:v>
                </c:pt>
                <c:pt idx="26">
                  <c:v>2153.8661999999999</c:v>
                </c:pt>
                <c:pt idx="27">
                  <c:v>2172.2048000000004</c:v>
                </c:pt>
                <c:pt idx="28">
                  <c:v>2190.9279999999999</c:v>
                </c:pt>
                <c:pt idx="29">
                  <c:v>2207.9744000000001</c:v>
                </c:pt>
                <c:pt idx="30">
                  <c:v>2230.2721999999999</c:v>
                </c:pt>
                <c:pt idx="31">
                  <c:v>2219.4485999999997</c:v>
                </c:pt>
                <c:pt idx="32">
                  <c:v>2130.6644000000001</c:v>
                </c:pt>
                <c:pt idx="33">
                  <c:v>1982.0619999999999</c:v>
                </c:pt>
                <c:pt idx="34">
                  <c:v>1852.4946</c:v>
                </c:pt>
                <c:pt idx="35">
                  <c:v>1768.5322000000001</c:v>
                </c:pt>
                <c:pt idx="36">
                  <c:v>1724.7428</c:v>
                </c:pt>
                <c:pt idx="37">
                  <c:v>1711.9991999999997</c:v>
                </c:pt>
                <c:pt idx="38">
                  <c:v>1723.5938000000001</c:v>
                </c:pt>
                <c:pt idx="39">
                  <c:v>1748.6347999999998</c:v>
                </c:pt>
                <c:pt idx="40">
                  <c:v>1789.3853999999999</c:v>
                </c:pt>
                <c:pt idx="41">
                  <c:v>1851.3290000000002</c:v>
                </c:pt>
                <c:pt idx="42">
                  <c:v>1922.8138000000004</c:v>
                </c:pt>
                <c:pt idx="43">
                  <c:v>1999.2099999999998</c:v>
                </c:pt>
                <c:pt idx="44">
                  <c:v>2073.8123999999998</c:v>
                </c:pt>
                <c:pt idx="45">
                  <c:v>2125.4746</c:v>
                </c:pt>
                <c:pt idx="46">
                  <c:v>2138.4244000000003</c:v>
                </c:pt>
                <c:pt idx="47">
                  <c:v>2132.9061999999999</c:v>
                </c:pt>
                <c:pt idx="48">
                  <c:v>2117.2754</c:v>
                </c:pt>
                <c:pt idx="49">
                  <c:v>2069.8962000000001</c:v>
                </c:pt>
                <c:pt idx="50">
                  <c:v>2001.7368000000001</c:v>
                </c:pt>
                <c:pt idx="51">
                  <c:v>1938.4779999999998</c:v>
                </c:pt>
                <c:pt idx="52">
                  <c:v>1875.4830000000002</c:v>
                </c:pt>
                <c:pt idx="53">
                  <c:v>1808.3160000000003</c:v>
                </c:pt>
                <c:pt idx="54">
                  <c:v>1740.6194</c:v>
                </c:pt>
                <c:pt idx="55">
                  <c:v>1671.7950000000001</c:v>
                </c:pt>
                <c:pt idx="56">
                  <c:v>1598.5632000000001</c:v>
                </c:pt>
                <c:pt idx="57">
                  <c:v>1526.0981999999999</c:v>
                </c:pt>
                <c:pt idx="58">
                  <c:v>1443.6812</c:v>
                </c:pt>
                <c:pt idx="59">
                  <c:v>1390.1786</c:v>
                </c:pt>
                <c:pt idx="60">
                  <c:v>1372.7167999999999</c:v>
                </c:pt>
                <c:pt idx="61">
                  <c:v>1361.6597999999999</c:v>
                </c:pt>
                <c:pt idx="62">
                  <c:v>1373.1333999999999</c:v>
                </c:pt>
                <c:pt idx="63">
                  <c:v>1462.7325999999998</c:v>
                </c:pt>
                <c:pt idx="64">
                  <c:v>1656.6932000000002</c:v>
                </c:pt>
                <c:pt idx="65">
                  <c:v>1751.5746000000004</c:v>
                </c:pt>
                <c:pt idx="66">
                  <c:v>1687.4396000000002</c:v>
                </c:pt>
                <c:pt idx="67">
                  <c:v>1583.5130000000001</c:v>
                </c:pt>
                <c:pt idx="68">
                  <c:v>1622.6924000000004</c:v>
                </c:pt>
                <c:pt idx="69">
                  <c:v>2036.9779999999998</c:v>
                </c:pt>
                <c:pt idx="70">
                  <c:v>2804.8134</c:v>
                </c:pt>
                <c:pt idx="71">
                  <c:v>3564.3266000000003</c:v>
                </c:pt>
                <c:pt idx="72">
                  <c:v>3878.6936000000001</c:v>
                </c:pt>
                <c:pt idx="73">
                  <c:v>3553.3516000000004</c:v>
                </c:pt>
                <c:pt idx="74">
                  <c:v>2978.1292000000003</c:v>
                </c:pt>
                <c:pt idx="75">
                  <c:v>2734.7274000000002</c:v>
                </c:pt>
                <c:pt idx="76">
                  <c:v>2893.6954000000001</c:v>
                </c:pt>
                <c:pt idx="77">
                  <c:v>3144.3424000000005</c:v>
                </c:pt>
                <c:pt idx="78">
                  <c:v>3247.4041999999999</c:v>
                </c:pt>
                <c:pt idx="79">
                  <c:v>3236.6109999999999</c:v>
                </c:pt>
                <c:pt idx="80">
                  <c:v>3251.4985999999999</c:v>
                </c:pt>
                <c:pt idx="81">
                  <c:v>3357.5131999999999</c:v>
                </c:pt>
                <c:pt idx="82">
                  <c:v>3525.0590000000002</c:v>
                </c:pt>
                <c:pt idx="83">
                  <c:v>3606.9322000000002</c:v>
                </c:pt>
                <c:pt idx="84">
                  <c:v>3496.1731999999997</c:v>
                </c:pt>
                <c:pt idx="85">
                  <c:v>3239.9009999999998</c:v>
                </c:pt>
                <c:pt idx="86">
                  <c:v>2876.9603999999999</c:v>
                </c:pt>
                <c:pt idx="87">
                  <c:v>2522.1876000000002</c:v>
                </c:pt>
                <c:pt idx="88">
                  <c:v>2308.7067999999999</c:v>
                </c:pt>
                <c:pt idx="89">
                  <c:v>2143.9972000000002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89-4A11-B2E6-49DFA13FA92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BRIGHT!$R$7:$R$96</c:f>
              <c:numCache>
                <c:formatCode>General</c:formatCode>
                <c:ptCount val="90"/>
                <c:pt idx="0">
                  <c:v>977.33040000000005</c:v>
                </c:pt>
                <c:pt idx="1">
                  <c:v>1212.6984</c:v>
                </c:pt>
                <c:pt idx="2">
                  <c:v>1645.8730000000003</c:v>
                </c:pt>
                <c:pt idx="3">
                  <c:v>2138.3302000000003</c:v>
                </c:pt>
                <c:pt idx="4">
                  <c:v>2681.6081999999997</c:v>
                </c:pt>
                <c:pt idx="5">
                  <c:v>3068.7046</c:v>
                </c:pt>
                <c:pt idx="6">
                  <c:v>3234.0291999999999</c:v>
                </c:pt>
                <c:pt idx="7">
                  <c:v>3323.5841999999998</c:v>
                </c:pt>
                <c:pt idx="8">
                  <c:v>3388.6923999999999</c:v>
                </c:pt>
                <c:pt idx="9">
                  <c:v>3352.3209999999999</c:v>
                </c:pt>
                <c:pt idx="10">
                  <c:v>3172.1693999999998</c:v>
                </c:pt>
                <c:pt idx="11">
                  <c:v>2781.0280000000002</c:v>
                </c:pt>
                <c:pt idx="12">
                  <c:v>2464.6237999999998</c:v>
                </c:pt>
                <c:pt idx="13">
                  <c:v>2287.1915999999997</c:v>
                </c:pt>
                <c:pt idx="14">
                  <c:v>2232.4934000000003</c:v>
                </c:pt>
                <c:pt idx="15">
                  <c:v>2236.1356000000001</c:v>
                </c:pt>
                <c:pt idx="16">
                  <c:v>2249.9028000000003</c:v>
                </c:pt>
                <c:pt idx="17">
                  <c:v>2259.067</c:v>
                </c:pt>
                <c:pt idx="18">
                  <c:v>2262.8542000000002</c:v>
                </c:pt>
                <c:pt idx="19">
                  <c:v>2261.663</c:v>
                </c:pt>
                <c:pt idx="20">
                  <c:v>2257.1718000000001</c:v>
                </c:pt>
                <c:pt idx="21">
                  <c:v>2251.8008</c:v>
                </c:pt>
                <c:pt idx="22">
                  <c:v>2254.4875999999999</c:v>
                </c:pt>
                <c:pt idx="23">
                  <c:v>2278.4533999999999</c:v>
                </c:pt>
                <c:pt idx="24">
                  <c:v>2326.134</c:v>
                </c:pt>
                <c:pt idx="25">
                  <c:v>2367.8535999999999</c:v>
                </c:pt>
                <c:pt idx="26">
                  <c:v>2382.4243999999999</c:v>
                </c:pt>
                <c:pt idx="27">
                  <c:v>2401.4766</c:v>
                </c:pt>
                <c:pt idx="28">
                  <c:v>2434.018</c:v>
                </c:pt>
                <c:pt idx="29">
                  <c:v>2453.9596000000001</c:v>
                </c:pt>
                <c:pt idx="30">
                  <c:v>2461.9148</c:v>
                </c:pt>
                <c:pt idx="31">
                  <c:v>2449.4013999999997</c:v>
                </c:pt>
                <c:pt idx="32">
                  <c:v>2363.4856</c:v>
                </c:pt>
                <c:pt idx="33">
                  <c:v>2200.8417999999997</c:v>
                </c:pt>
                <c:pt idx="34">
                  <c:v>2048.7141999999999</c:v>
                </c:pt>
                <c:pt idx="35">
                  <c:v>1943.2252000000001</c:v>
                </c:pt>
                <c:pt idx="36">
                  <c:v>1890.8205999999998</c:v>
                </c:pt>
                <c:pt idx="37">
                  <c:v>1876.0256000000002</c:v>
                </c:pt>
                <c:pt idx="38">
                  <c:v>1884.1858</c:v>
                </c:pt>
                <c:pt idx="39">
                  <c:v>1907.8643999999999</c:v>
                </c:pt>
                <c:pt idx="40">
                  <c:v>1941.9027999999998</c:v>
                </c:pt>
                <c:pt idx="41">
                  <c:v>2004.0336</c:v>
                </c:pt>
                <c:pt idx="42">
                  <c:v>2080.3522000000003</c:v>
                </c:pt>
                <c:pt idx="43">
                  <c:v>2160.1235999999999</c:v>
                </c:pt>
                <c:pt idx="44">
                  <c:v>2239.5065999999997</c:v>
                </c:pt>
                <c:pt idx="45">
                  <c:v>2293.1966000000002</c:v>
                </c:pt>
                <c:pt idx="46">
                  <c:v>2305.1916000000001</c:v>
                </c:pt>
                <c:pt idx="47">
                  <c:v>2277.9391999999998</c:v>
                </c:pt>
                <c:pt idx="48">
                  <c:v>2231.4910000000004</c:v>
                </c:pt>
                <c:pt idx="49">
                  <c:v>2156.3924000000002</c:v>
                </c:pt>
                <c:pt idx="50">
                  <c:v>2052.4900000000002</c:v>
                </c:pt>
                <c:pt idx="51">
                  <c:v>1956.3381999999997</c:v>
                </c:pt>
                <c:pt idx="52">
                  <c:v>1872.6991999999998</c:v>
                </c:pt>
                <c:pt idx="53">
                  <c:v>1794.1489999999999</c:v>
                </c:pt>
                <c:pt idx="54">
                  <c:v>1726.1712</c:v>
                </c:pt>
                <c:pt idx="55">
                  <c:v>1662.6976000000002</c:v>
                </c:pt>
                <c:pt idx="56">
                  <c:v>1608.6853999999998</c:v>
                </c:pt>
                <c:pt idx="57">
                  <c:v>1560.8722000000002</c:v>
                </c:pt>
                <c:pt idx="58">
                  <c:v>1517.8009999999999</c:v>
                </c:pt>
                <c:pt idx="59">
                  <c:v>1484.6016</c:v>
                </c:pt>
                <c:pt idx="60">
                  <c:v>1464.5693999999999</c:v>
                </c:pt>
                <c:pt idx="61">
                  <c:v>1450.5994000000001</c:v>
                </c:pt>
                <c:pt idx="62">
                  <c:v>1472.0634</c:v>
                </c:pt>
                <c:pt idx="63">
                  <c:v>1593.0610000000001</c:v>
                </c:pt>
                <c:pt idx="64">
                  <c:v>1809.3592000000001</c:v>
                </c:pt>
                <c:pt idx="65">
                  <c:v>1915.56</c:v>
                </c:pt>
                <c:pt idx="66">
                  <c:v>1823.4005999999997</c:v>
                </c:pt>
                <c:pt idx="67">
                  <c:v>1690.9232</c:v>
                </c:pt>
                <c:pt idx="68">
                  <c:v>1746.9036000000001</c:v>
                </c:pt>
                <c:pt idx="69">
                  <c:v>2250.4978000000001</c:v>
                </c:pt>
                <c:pt idx="70">
                  <c:v>3205.1044000000002</c:v>
                </c:pt>
                <c:pt idx="71">
                  <c:v>4134.5814</c:v>
                </c:pt>
                <c:pt idx="72">
                  <c:v>4487.5385999999999</c:v>
                </c:pt>
                <c:pt idx="73">
                  <c:v>4101.4516000000003</c:v>
                </c:pt>
                <c:pt idx="74">
                  <c:v>3395.2686000000003</c:v>
                </c:pt>
                <c:pt idx="75">
                  <c:v>3142.7442000000001</c:v>
                </c:pt>
                <c:pt idx="76">
                  <c:v>3424.3379999999997</c:v>
                </c:pt>
                <c:pt idx="77">
                  <c:v>3764.0801999999994</c:v>
                </c:pt>
                <c:pt idx="78">
                  <c:v>3852.7501999999999</c:v>
                </c:pt>
                <c:pt idx="79">
                  <c:v>3720.4351999999999</c:v>
                </c:pt>
                <c:pt idx="80">
                  <c:v>3603.7622000000001</c:v>
                </c:pt>
                <c:pt idx="81">
                  <c:v>3650.313799999999</c:v>
                </c:pt>
                <c:pt idx="82">
                  <c:v>3832.0114000000003</c:v>
                </c:pt>
                <c:pt idx="83">
                  <c:v>3933.2381999999998</c:v>
                </c:pt>
                <c:pt idx="84">
                  <c:v>3818.8513999999996</c:v>
                </c:pt>
                <c:pt idx="85">
                  <c:v>3536.0676000000008</c:v>
                </c:pt>
                <c:pt idx="86">
                  <c:v>3127.3141999999998</c:v>
                </c:pt>
                <c:pt idx="87">
                  <c:v>2748.7980000000002</c:v>
                </c:pt>
                <c:pt idx="88">
                  <c:v>2532.9859999999999</c:v>
                </c:pt>
                <c:pt idx="89">
                  <c:v>2351.2750000000001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89-4A11-B2E6-49DFA13FA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519112</xdr:colOff>
      <xdr:row>7</xdr:row>
      <xdr:rowOff>4762</xdr:rowOff>
    </xdr:from>
    <xdr:to>
      <xdr:col>13</xdr:col>
      <xdr:colOff>342900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95396-3466-4F51-B312-22BD19394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CO12-\_dark_profiles_CO12_DARK" connectionId="1" xr16:uid="{49523374-3620-4ACA-859E-6AF8CEF355F9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CO12-\_light_profiles_CO12_LIGHT" connectionId="2" xr16:uid="{9DC06F3A-97D1-4D62-8CD5-EDD18A6E5D82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tabSelected="1" workbookViewId="0">
      <selection activeCell="C9" sqref="C9"/>
    </sheetView>
  </sheetViews>
  <sheetFormatPr defaultRowHeight="15" x14ac:dyDescent="0.25"/>
  <cols>
    <col min="1" max="1" width="11.42578125" bestFit="1" customWidth="1"/>
    <col min="2" max="6" width="9" bestFit="1" customWidth="1"/>
    <col min="7" max="7" width="2.140625" style="1" customWidth="1"/>
    <col min="8" max="9" width="9.140625" style="2"/>
    <col min="10" max="10" width="2.85546875" style="1" customWidth="1"/>
    <col min="11" max="11" width="11.5703125" bestFit="1" customWidth="1"/>
    <col min="12" max="16" width="9" bestFit="1" customWidth="1"/>
    <col min="17" max="17" width="2.140625" style="1" customWidth="1"/>
    <col min="18" max="19" width="9.140625" style="3"/>
    <col min="20" max="20" width="2.85546875" style="1" customWidth="1"/>
  </cols>
  <sheetData>
    <row r="1" spans="1:19" x14ac:dyDescent="0.25">
      <c r="A1" s="4" t="s">
        <v>4</v>
      </c>
      <c r="B1" s="4"/>
      <c r="C1" s="4"/>
      <c r="D1" s="4"/>
      <c r="E1" s="4"/>
      <c r="F1" s="4"/>
      <c r="K1" s="5" t="s">
        <v>5</v>
      </c>
      <c r="L1" s="5"/>
      <c r="M1" s="5"/>
      <c r="N1" s="5"/>
      <c r="O1" s="5"/>
      <c r="P1" s="5"/>
    </row>
    <row r="2" spans="1:19" x14ac:dyDescent="0.25">
      <c r="A2" t="s">
        <v>6</v>
      </c>
      <c r="B2">
        <v>1</v>
      </c>
      <c r="C2">
        <v>2</v>
      </c>
      <c r="D2">
        <v>3</v>
      </c>
      <c r="E2">
        <v>4</v>
      </c>
      <c r="F2">
        <v>5</v>
      </c>
      <c r="K2" t="s">
        <v>7</v>
      </c>
      <c r="L2">
        <v>1</v>
      </c>
      <c r="M2">
        <v>2</v>
      </c>
      <c r="N2">
        <v>3</v>
      </c>
      <c r="O2">
        <v>4</v>
      </c>
      <c r="P2">
        <v>5</v>
      </c>
    </row>
    <row r="3" spans="1:19" x14ac:dyDescent="0.25">
      <c r="A3" t="s">
        <v>0</v>
      </c>
      <c r="B3">
        <v>-5.3970000000000002</v>
      </c>
      <c r="C3">
        <v>-3.9180000000000001</v>
      </c>
      <c r="D3">
        <v>-2.8679999999999999</v>
      </c>
      <c r="E3">
        <v>1.4350000000000001</v>
      </c>
      <c r="F3">
        <v>-1.988</v>
      </c>
      <c r="K3" t="s">
        <v>0</v>
      </c>
      <c r="L3">
        <v>-1.6719999999999999</v>
      </c>
      <c r="M3">
        <v>-0.26400000000000001</v>
      </c>
      <c r="N3">
        <v>-2.1520000000000001</v>
      </c>
      <c r="O3">
        <v>-0.54900000000000004</v>
      </c>
      <c r="P3">
        <v>-0.58899999999999997</v>
      </c>
    </row>
    <row r="4" spans="1:19" x14ac:dyDescent="0.25">
      <c r="A4" t="s">
        <v>1</v>
      </c>
      <c r="B4">
        <v>328.55200000000002</v>
      </c>
      <c r="C4">
        <v>329.839</v>
      </c>
      <c r="D4">
        <v>329.21800000000002</v>
      </c>
      <c r="E4">
        <v>330.47699999999998</v>
      </c>
      <c r="F4">
        <v>326.892</v>
      </c>
      <c r="H4" s="2">
        <f>AVERAGE(B4:F4)</f>
        <v>328.99560000000008</v>
      </c>
      <c r="I4" s="2">
        <f>STDEV(B4:F4)/SQRT(COUNT(B4:F4))</f>
        <v>0.61551787951285097</v>
      </c>
      <c r="K4" t="s">
        <v>1</v>
      </c>
      <c r="L4">
        <v>327.85899999999998</v>
      </c>
      <c r="M4">
        <v>328.60399999999998</v>
      </c>
      <c r="N4">
        <v>327.13499999999999</v>
      </c>
      <c r="O4">
        <v>328.74900000000002</v>
      </c>
      <c r="P4">
        <v>326.94400000000002</v>
      </c>
      <c r="R4" s="3">
        <f>AVERAGE(L4:P4)</f>
        <v>327.85820000000001</v>
      </c>
      <c r="S4" s="3">
        <f>STDEV(L4:P4)/SQRT(COUNT(L4:P4))</f>
        <v>0.36800290759720916</v>
      </c>
    </row>
    <row r="5" spans="1:19" x14ac:dyDescent="0.25">
      <c r="A5" t="s">
        <v>2</v>
      </c>
      <c r="B5">
        <v>73.355999999999995</v>
      </c>
      <c r="C5">
        <v>73.228999999999999</v>
      </c>
      <c r="D5">
        <v>73.524000000000001</v>
      </c>
      <c r="E5">
        <v>74.213999999999999</v>
      </c>
      <c r="F5">
        <v>73.004999999999995</v>
      </c>
      <c r="H5" s="2">
        <f t="shared" ref="H5:H68" si="0">AVERAGE(B5:F5)</f>
        <v>73.465599999999995</v>
      </c>
      <c r="I5" s="2">
        <f t="shared" ref="I5:I68" si="1">STDEV(B5:F5)/SQRT(COUNT(B5:F5))</f>
        <v>0.20538466349754594</v>
      </c>
      <c r="K5" t="s">
        <v>2</v>
      </c>
      <c r="L5">
        <v>74.152000000000001</v>
      </c>
      <c r="M5">
        <v>74.134</v>
      </c>
      <c r="N5">
        <v>73.453999999999994</v>
      </c>
      <c r="O5">
        <v>73.789000000000001</v>
      </c>
      <c r="P5">
        <v>73.894999999999996</v>
      </c>
      <c r="R5" s="3">
        <f t="shared" ref="R5:R68" si="2">AVERAGE(L5:P5)</f>
        <v>73.884799999999998</v>
      </c>
      <c r="S5" s="3">
        <f t="shared" ref="S5:S68" si="3">STDEV(L5:P5)/SQRT(COUNT(L5:P5))</f>
        <v>0.12813407041064565</v>
      </c>
    </row>
    <row r="6" spans="1:19" x14ac:dyDescent="0.25">
      <c r="A6" t="s">
        <v>3</v>
      </c>
      <c r="B6">
        <v>36.494999999999997</v>
      </c>
      <c r="C6">
        <v>35.518999999999998</v>
      </c>
      <c r="D6">
        <v>36.948</v>
      </c>
      <c r="E6">
        <v>38.750999999999998</v>
      </c>
      <c r="F6">
        <v>36.491999999999997</v>
      </c>
      <c r="H6" s="2">
        <f t="shared" si="0"/>
        <v>36.840999999999994</v>
      </c>
      <c r="I6" s="2">
        <f t="shared" si="1"/>
        <v>0.53144849233015978</v>
      </c>
      <c r="K6" t="s">
        <v>3</v>
      </c>
      <c r="L6">
        <v>37.219000000000001</v>
      </c>
      <c r="M6">
        <v>37.200000000000003</v>
      </c>
      <c r="N6">
        <v>36.215000000000003</v>
      </c>
      <c r="O6">
        <v>37.680999999999997</v>
      </c>
      <c r="P6">
        <v>36.304000000000002</v>
      </c>
      <c r="R6" s="3">
        <f t="shared" si="2"/>
        <v>36.9238</v>
      </c>
      <c r="S6" s="3">
        <f t="shared" si="3"/>
        <v>0.28489742013573854</v>
      </c>
    </row>
    <row r="7" spans="1:19" x14ac:dyDescent="0.25">
      <c r="A7">
        <v>-3.75</v>
      </c>
      <c r="B7">
        <v>705.55700000000002</v>
      </c>
      <c r="C7">
        <v>763.93100000000004</v>
      </c>
      <c r="D7">
        <v>691.26099999999997</v>
      </c>
      <c r="E7">
        <v>1075.78</v>
      </c>
      <c r="F7">
        <v>877.64400000000001</v>
      </c>
      <c r="H7" s="2">
        <f t="shared" si="0"/>
        <v>822.83459999999991</v>
      </c>
      <c r="I7" s="2">
        <f t="shared" si="1"/>
        <v>71.246307792474539</v>
      </c>
      <c r="K7">
        <v>-3.75</v>
      </c>
      <c r="L7">
        <v>856.28599999999994</v>
      </c>
      <c r="M7">
        <v>1034.5650000000001</v>
      </c>
      <c r="N7">
        <v>957.07600000000002</v>
      </c>
      <c r="O7">
        <v>939.99699999999996</v>
      </c>
      <c r="P7">
        <v>1098.7280000000001</v>
      </c>
      <c r="R7" s="3">
        <f t="shared" si="2"/>
        <v>977.33040000000005</v>
      </c>
      <c r="S7" s="3">
        <f t="shared" si="3"/>
        <v>41.514423378628322</v>
      </c>
    </row>
    <row r="8" spans="1:19" x14ac:dyDescent="0.25">
      <c r="A8">
        <v>-2.5</v>
      </c>
      <c r="B8">
        <v>901.86800000000005</v>
      </c>
      <c r="C8">
        <v>938.17700000000002</v>
      </c>
      <c r="D8">
        <v>839.13400000000001</v>
      </c>
      <c r="E8">
        <v>1264.154</v>
      </c>
      <c r="F8">
        <v>1091.963</v>
      </c>
      <c r="H8" s="2">
        <f t="shared" si="0"/>
        <v>1007.0592</v>
      </c>
      <c r="I8" s="2">
        <f t="shared" si="1"/>
        <v>76.588253104115026</v>
      </c>
      <c r="K8">
        <v>-2.5</v>
      </c>
      <c r="L8">
        <v>1074.0999999999999</v>
      </c>
      <c r="M8">
        <v>1265.498</v>
      </c>
      <c r="N8">
        <v>1185.568</v>
      </c>
      <c r="O8">
        <v>1204.0060000000001</v>
      </c>
      <c r="P8">
        <v>1334.32</v>
      </c>
      <c r="R8" s="3">
        <f t="shared" si="2"/>
        <v>1212.6984</v>
      </c>
      <c r="S8" s="3">
        <f t="shared" si="3"/>
        <v>43.359395897083253</v>
      </c>
    </row>
    <row r="9" spans="1:19" x14ac:dyDescent="0.25">
      <c r="A9">
        <v>-1.25</v>
      </c>
      <c r="B9">
        <v>1272.4069999999999</v>
      </c>
      <c r="C9">
        <v>1266.3900000000001</v>
      </c>
      <c r="D9">
        <v>1156.0840000000001</v>
      </c>
      <c r="E9">
        <v>1775.4179999999999</v>
      </c>
      <c r="F9">
        <v>1496.2650000000001</v>
      </c>
      <c r="H9" s="2">
        <f t="shared" si="0"/>
        <v>1393.3128000000002</v>
      </c>
      <c r="I9" s="2">
        <f t="shared" si="1"/>
        <v>110.36499728962933</v>
      </c>
      <c r="K9">
        <v>-1.25</v>
      </c>
      <c r="L9">
        <v>1515.7380000000001</v>
      </c>
      <c r="M9">
        <v>1697.1880000000001</v>
      </c>
      <c r="N9">
        <v>1584.501</v>
      </c>
      <c r="O9">
        <v>1675.1880000000001</v>
      </c>
      <c r="P9">
        <v>1756.75</v>
      </c>
      <c r="R9" s="3">
        <f t="shared" si="2"/>
        <v>1645.8730000000003</v>
      </c>
      <c r="S9" s="3">
        <f t="shared" si="3"/>
        <v>42.712965354795962</v>
      </c>
    </row>
    <row r="10" spans="1:19" x14ac:dyDescent="0.25">
      <c r="A10">
        <v>0</v>
      </c>
      <c r="B10">
        <v>1673.5350000000001</v>
      </c>
      <c r="C10">
        <v>1629.308</v>
      </c>
      <c r="D10">
        <v>1528.529</v>
      </c>
      <c r="E10">
        <v>2410.8049999999998</v>
      </c>
      <c r="F10">
        <v>1989.4939999999999</v>
      </c>
      <c r="H10" s="2">
        <f t="shared" si="0"/>
        <v>1846.3342</v>
      </c>
      <c r="I10" s="2">
        <f t="shared" si="1"/>
        <v>160.79211618465584</v>
      </c>
      <c r="K10">
        <v>0</v>
      </c>
      <c r="L10">
        <v>1974.078</v>
      </c>
      <c r="M10">
        <v>2201.0100000000002</v>
      </c>
      <c r="N10">
        <v>2027.777</v>
      </c>
      <c r="O10">
        <v>2197.585</v>
      </c>
      <c r="P10">
        <v>2291.201</v>
      </c>
      <c r="R10" s="3">
        <f t="shared" si="2"/>
        <v>2138.3302000000003</v>
      </c>
      <c r="S10" s="3">
        <f t="shared" si="3"/>
        <v>59.165093331625883</v>
      </c>
    </row>
    <row r="11" spans="1:19" x14ac:dyDescent="0.25">
      <c r="A11">
        <v>1.25</v>
      </c>
      <c r="B11">
        <v>2098.1379999999999</v>
      </c>
      <c r="C11">
        <v>2013.713</v>
      </c>
      <c r="D11">
        <v>1983.2370000000001</v>
      </c>
      <c r="E11">
        <v>2919.2020000000002</v>
      </c>
      <c r="F11">
        <v>2535.86</v>
      </c>
      <c r="H11" s="2">
        <f t="shared" si="0"/>
        <v>2310.0300000000002</v>
      </c>
      <c r="I11" s="2">
        <f t="shared" si="1"/>
        <v>181.87706885228764</v>
      </c>
      <c r="K11">
        <v>1.25</v>
      </c>
      <c r="L11">
        <v>2464.3919999999998</v>
      </c>
      <c r="M11">
        <v>2739.5720000000001</v>
      </c>
      <c r="N11">
        <v>2537.7080000000001</v>
      </c>
      <c r="O11">
        <v>2769.2289999999998</v>
      </c>
      <c r="P11">
        <v>2897.14</v>
      </c>
      <c r="R11" s="3">
        <f t="shared" si="2"/>
        <v>2681.6081999999997</v>
      </c>
      <c r="S11" s="3">
        <f t="shared" si="3"/>
        <v>79.177430059581994</v>
      </c>
    </row>
    <row r="12" spans="1:19" x14ac:dyDescent="0.25">
      <c r="A12">
        <v>2.5</v>
      </c>
      <c r="B12">
        <v>2433.6999999999998</v>
      </c>
      <c r="C12">
        <v>2286.9639999999999</v>
      </c>
      <c r="D12">
        <v>2231.1170000000002</v>
      </c>
      <c r="E12">
        <v>3249.3110000000001</v>
      </c>
      <c r="F12">
        <v>2947.3969999999999</v>
      </c>
      <c r="H12" s="2">
        <f t="shared" si="0"/>
        <v>2629.6978000000004</v>
      </c>
      <c r="I12" s="2">
        <f t="shared" si="1"/>
        <v>199.95018738310654</v>
      </c>
      <c r="K12">
        <v>2.5</v>
      </c>
      <c r="L12">
        <v>2847.3850000000002</v>
      </c>
      <c r="M12">
        <v>3094.7849999999999</v>
      </c>
      <c r="N12">
        <v>2880.5390000000002</v>
      </c>
      <c r="O12">
        <v>3201.453</v>
      </c>
      <c r="P12">
        <v>3319.3609999999999</v>
      </c>
      <c r="R12" s="3">
        <f t="shared" si="2"/>
        <v>3068.7046</v>
      </c>
      <c r="S12" s="3">
        <f t="shared" si="3"/>
        <v>90.972417301949193</v>
      </c>
    </row>
    <row r="13" spans="1:19" x14ac:dyDescent="0.25">
      <c r="A13">
        <v>3.75</v>
      </c>
      <c r="B13">
        <v>2625.78</v>
      </c>
      <c r="C13">
        <v>2420.6210000000001</v>
      </c>
      <c r="D13">
        <v>2394.1790000000001</v>
      </c>
      <c r="E13">
        <v>3450.877</v>
      </c>
      <c r="F13">
        <v>3129.9540000000002</v>
      </c>
      <c r="H13" s="2">
        <f t="shared" si="0"/>
        <v>2804.2822000000001</v>
      </c>
      <c r="I13" s="2">
        <f t="shared" si="1"/>
        <v>208.73314819917834</v>
      </c>
      <c r="K13">
        <v>3.75</v>
      </c>
      <c r="L13">
        <v>3064.3429999999998</v>
      </c>
      <c r="M13">
        <v>3194.4830000000002</v>
      </c>
      <c r="N13">
        <v>3040.7269999999999</v>
      </c>
      <c r="O13">
        <v>3395.5340000000001</v>
      </c>
      <c r="P13">
        <v>3475.0590000000002</v>
      </c>
      <c r="R13" s="3">
        <f t="shared" si="2"/>
        <v>3234.0291999999999</v>
      </c>
      <c r="S13" s="3">
        <f t="shared" si="3"/>
        <v>87.149932254936445</v>
      </c>
    </row>
    <row r="14" spans="1:19" x14ac:dyDescent="0.25">
      <c r="A14">
        <v>5</v>
      </c>
      <c r="B14">
        <v>2698.99</v>
      </c>
      <c r="C14">
        <v>2513.4740000000002</v>
      </c>
      <c r="D14">
        <v>2462.6990000000001</v>
      </c>
      <c r="E14">
        <v>3613.1689999999999</v>
      </c>
      <c r="F14">
        <v>3210.4059999999999</v>
      </c>
      <c r="H14" s="2">
        <f t="shared" si="0"/>
        <v>2899.7476000000001</v>
      </c>
      <c r="I14" s="2">
        <f t="shared" si="1"/>
        <v>222.03615947016294</v>
      </c>
      <c r="K14">
        <v>5</v>
      </c>
      <c r="L14">
        <v>3157.3029999999999</v>
      </c>
      <c r="M14">
        <v>3264.7089999999998</v>
      </c>
      <c r="N14">
        <v>3155.3739999999998</v>
      </c>
      <c r="O14">
        <v>3468.1109999999999</v>
      </c>
      <c r="P14">
        <v>3572.424</v>
      </c>
      <c r="R14" s="3">
        <f t="shared" si="2"/>
        <v>3323.5841999999998</v>
      </c>
      <c r="S14" s="3">
        <f t="shared" si="3"/>
        <v>84.326638737352752</v>
      </c>
    </row>
    <row r="15" spans="1:19" x14ac:dyDescent="0.25">
      <c r="A15">
        <v>6.25</v>
      </c>
      <c r="B15">
        <v>2713.3380000000002</v>
      </c>
      <c r="C15">
        <v>2552.846</v>
      </c>
      <c r="D15">
        <v>2468.277</v>
      </c>
      <c r="E15">
        <v>3735.3330000000001</v>
      </c>
      <c r="F15">
        <v>3252.8710000000001</v>
      </c>
      <c r="H15" s="2">
        <f t="shared" si="0"/>
        <v>2944.5330000000004</v>
      </c>
      <c r="I15" s="2">
        <f t="shared" si="1"/>
        <v>240.22141596597865</v>
      </c>
      <c r="K15">
        <v>6.25</v>
      </c>
      <c r="L15">
        <v>3214.2950000000001</v>
      </c>
      <c r="M15">
        <v>3323.21</v>
      </c>
      <c r="N15">
        <v>3239.8910000000001</v>
      </c>
      <c r="O15">
        <v>3520.46</v>
      </c>
      <c r="P15">
        <v>3645.6060000000002</v>
      </c>
      <c r="R15" s="3">
        <f t="shared" si="2"/>
        <v>3388.6923999999999</v>
      </c>
      <c r="S15" s="3">
        <f t="shared" si="3"/>
        <v>83.729192266855179</v>
      </c>
    </row>
    <row r="16" spans="1:19" x14ac:dyDescent="0.25">
      <c r="A16">
        <v>7.5</v>
      </c>
      <c r="B16">
        <v>2670.846</v>
      </c>
      <c r="C16">
        <v>2516.5520000000001</v>
      </c>
      <c r="D16">
        <v>2417.748</v>
      </c>
      <c r="E16">
        <v>3677.3980000000001</v>
      </c>
      <c r="F16">
        <v>3238.634</v>
      </c>
      <c r="H16" s="2">
        <f t="shared" si="0"/>
        <v>2904.2356000000004</v>
      </c>
      <c r="I16" s="2">
        <f t="shared" si="1"/>
        <v>239.9001720244475</v>
      </c>
      <c r="K16">
        <v>7.5</v>
      </c>
      <c r="L16">
        <v>3168.674</v>
      </c>
      <c r="M16">
        <v>3319.7049999999999</v>
      </c>
      <c r="N16">
        <v>3191.2750000000001</v>
      </c>
      <c r="O16">
        <v>3467.16</v>
      </c>
      <c r="P16">
        <v>3614.7910000000002</v>
      </c>
      <c r="R16" s="3">
        <f t="shared" si="2"/>
        <v>3352.3209999999999</v>
      </c>
      <c r="S16" s="3">
        <f t="shared" si="3"/>
        <v>84.49980325480054</v>
      </c>
    </row>
    <row r="17" spans="1:19" x14ac:dyDescent="0.25">
      <c r="A17">
        <v>8.75</v>
      </c>
      <c r="B17">
        <v>2526.0459999999998</v>
      </c>
      <c r="C17">
        <v>2383.1619999999998</v>
      </c>
      <c r="D17">
        <v>2262.3029999999999</v>
      </c>
      <c r="E17">
        <v>3416.63</v>
      </c>
      <c r="F17">
        <v>3069.3780000000002</v>
      </c>
      <c r="H17" s="2">
        <f t="shared" si="0"/>
        <v>2731.5038</v>
      </c>
      <c r="I17" s="2">
        <f t="shared" si="1"/>
        <v>219.916028620107</v>
      </c>
      <c r="K17">
        <v>8.75</v>
      </c>
      <c r="L17">
        <v>3003.5880000000002</v>
      </c>
      <c r="M17">
        <v>3128.6759999999999</v>
      </c>
      <c r="N17">
        <v>3043.35</v>
      </c>
      <c r="O17">
        <v>3270.98</v>
      </c>
      <c r="P17">
        <v>3414.2530000000002</v>
      </c>
      <c r="R17" s="3">
        <f t="shared" si="2"/>
        <v>3172.1693999999998</v>
      </c>
      <c r="S17" s="3">
        <f t="shared" si="3"/>
        <v>75.918971985663788</v>
      </c>
    </row>
    <row r="18" spans="1:19" x14ac:dyDescent="0.25">
      <c r="A18">
        <v>10</v>
      </c>
      <c r="B18">
        <v>2222.9279999999999</v>
      </c>
      <c r="C18">
        <v>2131.4940000000001</v>
      </c>
      <c r="D18">
        <v>1993.28</v>
      </c>
      <c r="E18">
        <v>2901.759</v>
      </c>
      <c r="F18">
        <v>2725.1390000000001</v>
      </c>
      <c r="H18" s="2">
        <f t="shared" si="0"/>
        <v>2394.9199999999996</v>
      </c>
      <c r="I18" s="2">
        <f t="shared" si="1"/>
        <v>176.94908236863012</v>
      </c>
      <c r="K18">
        <v>10</v>
      </c>
      <c r="L18">
        <v>2623.0929999999998</v>
      </c>
      <c r="M18">
        <v>2714.3339999999998</v>
      </c>
      <c r="N18">
        <v>2671.9850000000001</v>
      </c>
      <c r="O18">
        <v>2891.9839999999999</v>
      </c>
      <c r="P18">
        <v>3003.7440000000001</v>
      </c>
      <c r="R18" s="3">
        <f t="shared" si="2"/>
        <v>2781.0280000000002</v>
      </c>
      <c r="S18" s="3">
        <f t="shared" si="3"/>
        <v>71.831601785704336</v>
      </c>
    </row>
    <row r="19" spans="1:19" x14ac:dyDescent="0.25">
      <c r="A19">
        <v>11.25</v>
      </c>
      <c r="B19">
        <v>1987.8589999999999</v>
      </c>
      <c r="C19">
        <v>1935.7170000000001</v>
      </c>
      <c r="D19">
        <v>1772.384</v>
      </c>
      <c r="E19">
        <v>2547.078</v>
      </c>
      <c r="F19">
        <v>2443.9369999999999</v>
      </c>
      <c r="H19" s="2">
        <f t="shared" si="0"/>
        <v>2137.395</v>
      </c>
      <c r="I19" s="2">
        <f t="shared" si="1"/>
        <v>151.34005077209403</v>
      </c>
      <c r="K19">
        <v>11.25</v>
      </c>
      <c r="L19">
        <v>2325.77</v>
      </c>
      <c r="M19">
        <v>2377.1170000000002</v>
      </c>
      <c r="N19">
        <v>2357.9259999999999</v>
      </c>
      <c r="O19">
        <v>2595.1860000000001</v>
      </c>
      <c r="P19">
        <v>2667.12</v>
      </c>
      <c r="R19" s="3">
        <f t="shared" si="2"/>
        <v>2464.6237999999998</v>
      </c>
      <c r="S19" s="3">
        <f t="shared" si="3"/>
        <v>69.416654136021265</v>
      </c>
    </row>
    <row r="20" spans="1:19" x14ac:dyDescent="0.25">
      <c r="A20">
        <v>12.5</v>
      </c>
      <c r="B20">
        <v>1875.5519999999999</v>
      </c>
      <c r="C20">
        <v>1851.4880000000001</v>
      </c>
      <c r="D20">
        <v>1659.6369999999999</v>
      </c>
      <c r="E20">
        <v>2391.5859999999998</v>
      </c>
      <c r="F20">
        <v>2285.1329999999998</v>
      </c>
      <c r="H20" s="2">
        <f t="shared" si="0"/>
        <v>2012.6791999999998</v>
      </c>
      <c r="I20" s="2">
        <f t="shared" si="1"/>
        <v>139.14501484760461</v>
      </c>
      <c r="K20">
        <v>12.5</v>
      </c>
      <c r="L20">
        <v>2170.9870000000001</v>
      </c>
      <c r="M20">
        <v>2210.1390000000001</v>
      </c>
      <c r="N20">
        <v>2195.87</v>
      </c>
      <c r="O20">
        <v>2396.4389999999999</v>
      </c>
      <c r="P20">
        <v>2462.5230000000001</v>
      </c>
      <c r="R20" s="3">
        <f t="shared" si="2"/>
        <v>2287.1915999999997</v>
      </c>
      <c r="S20" s="3">
        <f t="shared" si="3"/>
        <v>59.353323869518874</v>
      </c>
    </row>
    <row r="21" spans="1:19" x14ac:dyDescent="0.25">
      <c r="A21">
        <v>13.75</v>
      </c>
      <c r="B21">
        <v>1851.991</v>
      </c>
      <c r="C21">
        <v>1838.258</v>
      </c>
      <c r="D21">
        <v>1627.828</v>
      </c>
      <c r="E21">
        <v>2351.9879999999998</v>
      </c>
      <c r="F21">
        <v>2218.9540000000002</v>
      </c>
      <c r="H21" s="2">
        <f t="shared" si="0"/>
        <v>1977.8037999999997</v>
      </c>
      <c r="I21" s="2">
        <f t="shared" si="1"/>
        <v>133.40768081651171</v>
      </c>
      <c r="K21">
        <v>13.75</v>
      </c>
      <c r="L21">
        <v>2124.6469999999999</v>
      </c>
      <c r="M21">
        <v>2171.3049999999998</v>
      </c>
      <c r="N21">
        <v>2153.4520000000002</v>
      </c>
      <c r="O21">
        <v>2319.5079999999998</v>
      </c>
      <c r="P21">
        <v>2393.5549999999998</v>
      </c>
      <c r="R21" s="3">
        <f t="shared" si="2"/>
        <v>2232.4934000000003</v>
      </c>
      <c r="S21" s="3">
        <f t="shared" si="3"/>
        <v>52.504661130798624</v>
      </c>
    </row>
    <row r="22" spans="1:19" x14ac:dyDescent="0.25">
      <c r="A22">
        <v>15</v>
      </c>
      <c r="B22">
        <v>1866.335</v>
      </c>
      <c r="C22">
        <v>1850.5650000000001</v>
      </c>
      <c r="D22">
        <v>1641.414</v>
      </c>
      <c r="E22">
        <v>2362.1280000000002</v>
      </c>
      <c r="F22">
        <v>2201.9140000000002</v>
      </c>
      <c r="H22" s="2">
        <f t="shared" si="0"/>
        <v>1984.4712000000004</v>
      </c>
      <c r="I22" s="2">
        <f t="shared" si="1"/>
        <v>130.28455481729176</v>
      </c>
      <c r="K22">
        <v>15</v>
      </c>
      <c r="L22">
        <v>2136.395</v>
      </c>
      <c r="M22">
        <v>2175.41</v>
      </c>
      <c r="N22">
        <v>2161.5630000000001</v>
      </c>
      <c r="O22">
        <v>2319.8560000000002</v>
      </c>
      <c r="P22">
        <v>2387.4540000000002</v>
      </c>
      <c r="R22" s="3">
        <f t="shared" si="2"/>
        <v>2236.1356000000001</v>
      </c>
      <c r="S22" s="3">
        <f t="shared" si="3"/>
        <v>49.549582243042224</v>
      </c>
    </row>
    <row r="23" spans="1:19" x14ac:dyDescent="0.25">
      <c r="A23">
        <v>16.25</v>
      </c>
      <c r="B23">
        <v>1878.8309999999999</v>
      </c>
      <c r="C23">
        <v>1864.876</v>
      </c>
      <c r="D23">
        <v>1664.896</v>
      </c>
      <c r="E23">
        <v>2388.482</v>
      </c>
      <c r="F23">
        <v>2212.8020000000001</v>
      </c>
      <c r="H23" s="2">
        <f t="shared" si="0"/>
        <v>2001.9774000000002</v>
      </c>
      <c r="I23" s="2">
        <f t="shared" si="1"/>
        <v>130.65575336111303</v>
      </c>
      <c r="K23">
        <v>16.25</v>
      </c>
      <c r="L23">
        <v>2148.3620000000001</v>
      </c>
      <c r="M23">
        <v>2193.375</v>
      </c>
      <c r="N23">
        <v>2183.8989999999999</v>
      </c>
      <c r="O23">
        <v>2329.5210000000002</v>
      </c>
      <c r="P23">
        <v>2394.357</v>
      </c>
      <c r="R23" s="3">
        <f t="shared" si="2"/>
        <v>2249.9028000000003</v>
      </c>
      <c r="S23" s="3">
        <f t="shared" si="3"/>
        <v>47.470254644777299</v>
      </c>
    </row>
    <row r="24" spans="1:19" x14ac:dyDescent="0.25">
      <c r="A24">
        <v>17.5</v>
      </c>
      <c r="B24">
        <v>1888.385</v>
      </c>
      <c r="C24">
        <v>1873.5039999999999</v>
      </c>
      <c r="D24">
        <v>1680.0440000000001</v>
      </c>
      <c r="E24">
        <v>2401.6529999999998</v>
      </c>
      <c r="F24">
        <v>2230.5329999999999</v>
      </c>
      <c r="H24" s="2">
        <f t="shared" si="0"/>
        <v>2014.8237999999997</v>
      </c>
      <c r="I24" s="2">
        <f t="shared" si="1"/>
        <v>131.18743450552037</v>
      </c>
      <c r="K24">
        <v>17.5</v>
      </c>
      <c r="L24">
        <v>2152.9160000000002</v>
      </c>
      <c r="M24">
        <v>2204.5360000000001</v>
      </c>
      <c r="N24">
        <v>2193.0169999999998</v>
      </c>
      <c r="O24">
        <v>2344.0770000000002</v>
      </c>
      <c r="P24">
        <v>2400.7890000000002</v>
      </c>
      <c r="R24" s="3">
        <f t="shared" si="2"/>
        <v>2259.067</v>
      </c>
      <c r="S24" s="3">
        <f t="shared" si="3"/>
        <v>47.914555536913866</v>
      </c>
    </row>
    <row r="25" spans="1:19" x14ac:dyDescent="0.25">
      <c r="A25">
        <v>18.75</v>
      </c>
      <c r="B25">
        <v>1902.7850000000001</v>
      </c>
      <c r="C25">
        <v>1875.915</v>
      </c>
      <c r="D25">
        <v>1690.77</v>
      </c>
      <c r="E25">
        <v>2398.8249999999998</v>
      </c>
      <c r="F25">
        <v>2235.37</v>
      </c>
      <c r="H25" s="2">
        <f t="shared" si="0"/>
        <v>2020.7329999999997</v>
      </c>
      <c r="I25" s="2">
        <f t="shared" si="1"/>
        <v>128.99266789821857</v>
      </c>
      <c r="K25">
        <v>18.75</v>
      </c>
      <c r="L25">
        <v>2151.748</v>
      </c>
      <c r="M25">
        <v>2201.5410000000002</v>
      </c>
      <c r="N25">
        <v>2194.3029999999999</v>
      </c>
      <c r="O25">
        <v>2354.7539999999999</v>
      </c>
      <c r="P25">
        <v>2411.9250000000002</v>
      </c>
      <c r="R25" s="3">
        <f t="shared" si="2"/>
        <v>2262.8542000000002</v>
      </c>
      <c r="S25" s="3">
        <f t="shared" si="3"/>
        <v>50.730089614941555</v>
      </c>
    </row>
    <row r="26" spans="1:19" x14ac:dyDescent="0.25">
      <c r="A26">
        <v>20</v>
      </c>
      <c r="B26">
        <v>1898.559</v>
      </c>
      <c r="C26">
        <v>1867.826</v>
      </c>
      <c r="D26">
        <v>1687.8409999999999</v>
      </c>
      <c r="E26">
        <v>2397.2600000000002</v>
      </c>
      <c r="F26">
        <v>2232.741</v>
      </c>
      <c r="H26" s="2">
        <f t="shared" si="0"/>
        <v>2016.8454000000002</v>
      </c>
      <c r="I26" s="2">
        <f t="shared" si="1"/>
        <v>129.57015999318617</v>
      </c>
      <c r="K26">
        <v>20</v>
      </c>
      <c r="L26">
        <v>2161.462</v>
      </c>
      <c r="M26">
        <v>2186.04</v>
      </c>
      <c r="N26">
        <v>2188.384</v>
      </c>
      <c r="O26">
        <v>2359.078</v>
      </c>
      <c r="P26">
        <v>2413.3510000000001</v>
      </c>
      <c r="R26" s="3">
        <f t="shared" si="2"/>
        <v>2261.663</v>
      </c>
      <c r="S26" s="3">
        <f t="shared" si="3"/>
        <v>51.782150370566903</v>
      </c>
    </row>
    <row r="27" spans="1:19" x14ac:dyDescent="0.25">
      <c r="A27">
        <v>21.25</v>
      </c>
      <c r="B27">
        <v>1886.5360000000001</v>
      </c>
      <c r="C27">
        <v>1869.258</v>
      </c>
      <c r="D27">
        <v>1676.434</v>
      </c>
      <c r="E27">
        <v>2386.701</v>
      </c>
      <c r="F27">
        <v>2233.3229999999999</v>
      </c>
      <c r="H27" s="2">
        <f t="shared" si="0"/>
        <v>2010.4504000000002</v>
      </c>
      <c r="I27" s="2">
        <f t="shared" si="1"/>
        <v>130.01802522058193</v>
      </c>
      <c r="K27">
        <v>21.25</v>
      </c>
      <c r="L27">
        <v>2163.058</v>
      </c>
      <c r="M27">
        <v>2180.9110000000001</v>
      </c>
      <c r="N27">
        <v>2187.518</v>
      </c>
      <c r="O27">
        <v>2351.2370000000001</v>
      </c>
      <c r="P27">
        <v>2403.1350000000002</v>
      </c>
      <c r="R27" s="3">
        <f t="shared" si="2"/>
        <v>2257.1718000000001</v>
      </c>
      <c r="S27" s="3">
        <f t="shared" si="3"/>
        <v>49.838883628548537</v>
      </c>
    </row>
    <row r="28" spans="1:19" x14ac:dyDescent="0.25">
      <c r="A28">
        <v>22.5</v>
      </c>
      <c r="B28">
        <v>1889.873</v>
      </c>
      <c r="C28">
        <v>1876.6020000000001</v>
      </c>
      <c r="D28">
        <v>1670.356</v>
      </c>
      <c r="E28">
        <v>2375.3449999999998</v>
      </c>
      <c r="F28">
        <v>2242.1509999999998</v>
      </c>
      <c r="H28" s="2">
        <f t="shared" si="0"/>
        <v>2010.8653999999999</v>
      </c>
      <c r="I28" s="2">
        <f t="shared" si="1"/>
        <v>129.4123024501931</v>
      </c>
      <c r="K28">
        <v>22.5</v>
      </c>
      <c r="L28">
        <v>2153.3440000000001</v>
      </c>
      <c r="M28">
        <v>2188.3130000000001</v>
      </c>
      <c r="N28">
        <v>2184.8589999999999</v>
      </c>
      <c r="O28">
        <v>2334.0320000000002</v>
      </c>
      <c r="P28">
        <v>2398.4560000000001</v>
      </c>
      <c r="R28" s="3">
        <f t="shared" si="2"/>
        <v>2251.8008</v>
      </c>
      <c r="S28" s="3">
        <f t="shared" si="3"/>
        <v>48.20547932693961</v>
      </c>
    </row>
    <row r="29" spans="1:19" x14ac:dyDescent="0.25">
      <c r="A29">
        <v>23.75</v>
      </c>
      <c r="B29">
        <v>1901.904</v>
      </c>
      <c r="C29">
        <v>1881.6880000000001</v>
      </c>
      <c r="D29">
        <v>1672.3040000000001</v>
      </c>
      <c r="E29">
        <v>2378.3380000000002</v>
      </c>
      <c r="F29">
        <v>2250.5889999999999</v>
      </c>
      <c r="H29" s="2">
        <f t="shared" si="0"/>
        <v>2016.9646</v>
      </c>
      <c r="I29" s="2">
        <f t="shared" si="1"/>
        <v>129.51847819427201</v>
      </c>
      <c r="K29">
        <v>23.75</v>
      </c>
      <c r="L29">
        <v>2147.6669999999999</v>
      </c>
      <c r="M29">
        <v>2190.2089999999998</v>
      </c>
      <c r="N29">
        <v>2191.1909999999998</v>
      </c>
      <c r="O29">
        <v>2335.6990000000001</v>
      </c>
      <c r="P29">
        <v>2407.672</v>
      </c>
      <c r="R29" s="3">
        <f t="shared" si="2"/>
        <v>2254.4875999999999</v>
      </c>
      <c r="S29" s="3">
        <f t="shared" si="3"/>
        <v>49.804412689640301</v>
      </c>
    </row>
    <row r="30" spans="1:19" x14ac:dyDescent="0.25">
      <c r="A30">
        <v>25</v>
      </c>
      <c r="B30">
        <v>1921.866</v>
      </c>
      <c r="C30">
        <v>1904.4870000000001</v>
      </c>
      <c r="D30">
        <v>1696.0920000000001</v>
      </c>
      <c r="E30">
        <v>2417.623</v>
      </c>
      <c r="F30">
        <v>2273.8519999999999</v>
      </c>
      <c r="H30" s="2">
        <f t="shared" si="0"/>
        <v>2042.7839999999997</v>
      </c>
      <c r="I30" s="2">
        <f t="shared" si="1"/>
        <v>131.87859233818162</v>
      </c>
      <c r="K30">
        <v>25</v>
      </c>
      <c r="L30">
        <v>2169.558</v>
      </c>
      <c r="M30">
        <v>2206.018</v>
      </c>
      <c r="N30">
        <v>2223.4499999999998</v>
      </c>
      <c r="O30">
        <v>2365.145</v>
      </c>
      <c r="P30">
        <v>2428.096</v>
      </c>
      <c r="R30" s="3">
        <f t="shared" si="2"/>
        <v>2278.4533999999999</v>
      </c>
      <c r="S30" s="3">
        <f t="shared" si="3"/>
        <v>50.019401521409669</v>
      </c>
    </row>
    <row r="31" spans="1:19" x14ac:dyDescent="0.25">
      <c r="A31">
        <v>26.25</v>
      </c>
      <c r="B31">
        <v>1961.5429999999999</v>
      </c>
      <c r="C31">
        <v>1951.5060000000001</v>
      </c>
      <c r="D31">
        <v>1733.681</v>
      </c>
      <c r="E31">
        <v>2472.7069999999999</v>
      </c>
      <c r="F31">
        <v>2314.404</v>
      </c>
      <c r="H31" s="2">
        <f t="shared" si="0"/>
        <v>2086.7682</v>
      </c>
      <c r="I31" s="2">
        <f t="shared" si="1"/>
        <v>134.05495124291352</v>
      </c>
      <c r="K31">
        <v>26.25</v>
      </c>
      <c r="L31">
        <v>2216.239</v>
      </c>
      <c r="M31">
        <v>2237.06</v>
      </c>
      <c r="N31">
        <v>2267.8150000000001</v>
      </c>
      <c r="O31">
        <v>2421.672</v>
      </c>
      <c r="P31">
        <v>2487.884</v>
      </c>
      <c r="R31" s="3">
        <f t="shared" si="2"/>
        <v>2326.134</v>
      </c>
      <c r="S31" s="3">
        <f t="shared" si="3"/>
        <v>54.176916766276022</v>
      </c>
    </row>
    <row r="32" spans="1:19" x14ac:dyDescent="0.25">
      <c r="A32">
        <v>27.5</v>
      </c>
      <c r="B32">
        <v>1993.644</v>
      </c>
      <c r="C32">
        <v>1992.3240000000001</v>
      </c>
      <c r="D32">
        <v>1771.58</v>
      </c>
      <c r="E32">
        <v>2524.83</v>
      </c>
      <c r="F32">
        <v>2358.4470000000001</v>
      </c>
      <c r="H32" s="2">
        <f t="shared" si="0"/>
        <v>2128.165</v>
      </c>
      <c r="I32" s="2">
        <f t="shared" si="1"/>
        <v>136.76155539770545</v>
      </c>
      <c r="K32">
        <v>27.5</v>
      </c>
      <c r="L32">
        <v>2252.6089999999999</v>
      </c>
      <c r="M32">
        <v>2266.1619999999998</v>
      </c>
      <c r="N32">
        <v>2304.4760000000001</v>
      </c>
      <c r="O32">
        <v>2474.19</v>
      </c>
      <c r="P32">
        <v>2541.8310000000001</v>
      </c>
      <c r="R32" s="3">
        <f t="shared" si="2"/>
        <v>2367.8535999999999</v>
      </c>
      <c r="S32" s="3">
        <f t="shared" si="3"/>
        <v>58.82804824112393</v>
      </c>
    </row>
    <row r="33" spans="1:19" x14ac:dyDescent="0.25">
      <c r="A33">
        <v>28.75</v>
      </c>
      <c r="B33">
        <v>2017.1089999999999</v>
      </c>
      <c r="C33">
        <v>2007.865</v>
      </c>
      <c r="D33">
        <v>1796.6189999999999</v>
      </c>
      <c r="E33">
        <v>2560.4940000000001</v>
      </c>
      <c r="F33">
        <v>2387.2440000000001</v>
      </c>
      <c r="H33" s="2">
        <f t="shared" si="0"/>
        <v>2153.8661999999999</v>
      </c>
      <c r="I33" s="2">
        <f t="shared" si="1"/>
        <v>139.18617196524974</v>
      </c>
      <c r="K33">
        <v>28.75</v>
      </c>
      <c r="L33">
        <v>2272.0729999999999</v>
      </c>
      <c r="M33">
        <v>2274.8870000000002</v>
      </c>
      <c r="N33">
        <v>2326.1089999999999</v>
      </c>
      <c r="O33">
        <v>2485.7539999999999</v>
      </c>
      <c r="P33">
        <v>2553.299</v>
      </c>
      <c r="R33" s="3">
        <f t="shared" si="2"/>
        <v>2382.4243999999999</v>
      </c>
      <c r="S33" s="3">
        <f t="shared" si="3"/>
        <v>57.787664479194852</v>
      </c>
    </row>
    <row r="34" spans="1:19" x14ac:dyDescent="0.25">
      <c r="A34">
        <v>30</v>
      </c>
      <c r="B34">
        <v>2028.0709999999999</v>
      </c>
      <c r="C34">
        <v>2027.625</v>
      </c>
      <c r="D34">
        <v>1818.5450000000001</v>
      </c>
      <c r="E34">
        <v>2577.4920000000002</v>
      </c>
      <c r="F34">
        <v>2409.2910000000002</v>
      </c>
      <c r="H34" s="2">
        <f t="shared" si="0"/>
        <v>2172.2048000000004</v>
      </c>
      <c r="I34" s="2">
        <f t="shared" si="1"/>
        <v>139.14393729530531</v>
      </c>
      <c r="K34">
        <v>30</v>
      </c>
      <c r="L34">
        <v>2298.9259999999999</v>
      </c>
      <c r="M34">
        <v>2289.9029999999998</v>
      </c>
      <c r="N34">
        <v>2345.1930000000002</v>
      </c>
      <c r="O34">
        <v>2496.9780000000001</v>
      </c>
      <c r="P34">
        <v>2576.3829999999998</v>
      </c>
      <c r="R34" s="3">
        <f t="shared" si="2"/>
        <v>2401.4766</v>
      </c>
      <c r="S34" s="3">
        <f t="shared" si="3"/>
        <v>57.378525412038947</v>
      </c>
    </row>
    <row r="35" spans="1:19" x14ac:dyDescent="0.25">
      <c r="A35">
        <v>31.25</v>
      </c>
      <c r="B35">
        <v>2045.626</v>
      </c>
      <c r="C35">
        <v>2053.1689999999999</v>
      </c>
      <c r="D35">
        <v>1834.297</v>
      </c>
      <c r="E35">
        <v>2586.1950000000002</v>
      </c>
      <c r="F35">
        <v>2435.3530000000001</v>
      </c>
      <c r="H35" s="2">
        <f t="shared" si="0"/>
        <v>2190.9279999999999</v>
      </c>
      <c r="I35" s="2">
        <f t="shared" si="1"/>
        <v>138.42966903088382</v>
      </c>
      <c r="K35">
        <v>31.25</v>
      </c>
      <c r="L35">
        <v>2328.4740000000002</v>
      </c>
      <c r="M35">
        <v>2318.2620000000002</v>
      </c>
      <c r="N35">
        <v>2369.7750000000001</v>
      </c>
      <c r="O35">
        <v>2534.2979999999998</v>
      </c>
      <c r="P35">
        <v>2619.2809999999999</v>
      </c>
      <c r="R35" s="3">
        <f t="shared" si="2"/>
        <v>2434.018</v>
      </c>
      <c r="S35" s="3">
        <f t="shared" si="3"/>
        <v>60.43368600788795</v>
      </c>
    </row>
    <row r="36" spans="1:19" x14ac:dyDescent="0.25">
      <c r="A36">
        <v>32.5</v>
      </c>
      <c r="B36">
        <v>2059.8850000000002</v>
      </c>
      <c r="C36">
        <v>2072.4639999999999</v>
      </c>
      <c r="D36">
        <v>1849.787</v>
      </c>
      <c r="E36">
        <v>2602.1089999999999</v>
      </c>
      <c r="F36">
        <v>2455.627</v>
      </c>
      <c r="H36" s="2">
        <f t="shared" si="0"/>
        <v>2207.9744000000001</v>
      </c>
      <c r="I36" s="2">
        <f t="shared" si="1"/>
        <v>138.79222701995818</v>
      </c>
      <c r="K36">
        <v>32.5</v>
      </c>
      <c r="L36">
        <v>2344.8510000000001</v>
      </c>
      <c r="M36">
        <v>2340.2139999999999</v>
      </c>
      <c r="N36">
        <v>2387.8180000000002</v>
      </c>
      <c r="O36">
        <v>2552.38</v>
      </c>
      <c r="P36">
        <v>2644.5349999999999</v>
      </c>
      <c r="R36" s="3">
        <f t="shared" si="2"/>
        <v>2453.9596000000001</v>
      </c>
      <c r="S36" s="3">
        <f t="shared" si="3"/>
        <v>61.328222534653619</v>
      </c>
    </row>
    <row r="37" spans="1:19" x14ac:dyDescent="0.25">
      <c r="A37">
        <v>33.75</v>
      </c>
      <c r="B37">
        <v>2085.8969999999999</v>
      </c>
      <c r="C37">
        <v>2078.741</v>
      </c>
      <c r="D37">
        <v>1863.8720000000001</v>
      </c>
      <c r="E37">
        <v>2638.5230000000001</v>
      </c>
      <c r="F37">
        <v>2484.328</v>
      </c>
      <c r="H37" s="2">
        <f t="shared" si="0"/>
        <v>2230.2721999999999</v>
      </c>
      <c r="I37" s="2">
        <f t="shared" si="1"/>
        <v>143.05035384835719</v>
      </c>
      <c r="K37">
        <v>33.75</v>
      </c>
      <c r="L37">
        <v>2347.94</v>
      </c>
      <c r="M37">
        <v>2358.9720000000002</v>
      </c>
      <c r="N37">
        <v>2404.5529999999999</v>
      </c>
      <c r="O37">
        <v>2552.9140000000002</v>
      </c>
      <c r="P37">
        <v>2645.1950000000002</v>
      </c>
      <c r="R37" s="3">
        <f t="shared" si="2"/>
        <v>2461.9148</v>
      </c>
      <c r="S37" s="3">
        <f t="shared" si="3"/>
        <v>58.630340830836076</v>
      </c>
    </row>
    <row r="38" spans="1:19" x14ac:dyDescent="0.25">
      <c r="A38">
        <v>35</v>
      </c>
      <c r="B38">
        <v>2093.335</v>
      </c>
      <c r="C38">
        <v>2054.2350000000001</v>
      </c>
      <c r="D38">
        <v>1849.9369999999999</v>
      </c>
      <c r="E38">
        <v>2616.3249999999998</v>
      </c>
      <c r="F38">
        <v>2483.4110000000001</v>
      </c>
      <c r="H38" s="2">
        <f t="shared" si="0"/>
        <v>2219.4485999999997</v>
      </c>
      <c r="I38" s="2">
        <f t="shared" si="1"/>
        <v>142.6404609069964</v>
      </c>
      <c r="K38">
        <v>35</v>
      </c>
      <c r="L38">
        <v>2332.2399999999998</v>
      </c>
      <c r="M38">
        <v>2363.076</v>
      </c>
      <c r="N38">
        <v>2398.1439999999998</v>
      </c>
      <c r="O38">
        <v>2531.605</v>
      </c>
      <c r="P38">
        <v>2621.942</v>
      </c>
      <c r="R38" s="3">
        <f t="shared" si="2"/>
        <v>2449.4013999999997</v>
      </c>
      <c r="S38" s="3">
        <f t="shared" si="3"/>
        <v>54.924438955350318</v>
      </c>
    </row>
    <row r="39" spans="1:19" x14ac:dyDescent="0.25">
      <c r="A39">
        <v>36.25</v>
      </c>
      <c r="B39">
        <v>2017.3040000000001</v>
      </c>
      <c r="C39">
        <v>1965.5260000000001</v>
      </c>
      <c r="D39">
        <v>1783.742</v>
      </c>
      <c r="E39">
        <v>2492.2869999999998</v>
      </c>
      <c r="F39">
        <v>2394.4630000000002</v>
      </c>
      <c r="H39" s="2">
        <f t="shared" si="0"/>
        <v>2130.6644000000001</v>
      </c>
      <c r="I39" s="2">
        <f t="shared" si="1"/>
        <v>134.31995928699513</v>
      </c>
      <c r="K39">
        <v>36.25</v>
      </c>
      <c r="L39">
        <v>2238.8969999999999</v>
      </c>
      <c r="M39">
        <v>2284.1410000000001</v>
      </c>
      <c r="N39">
        <v>2318.7020000000002</v>
      </c>
      <c r="O39">
        <v>2446.5149999999999</v>
      </c>
      <c r="P39">
        <v>2529.1729999999998</v>
      </c>
      <c r="R39" s="3">
        <f t="shared" si="2"/>
        <v>2363.4856</v>
      </c>
      <c r="S39" s="3">
        <f t="shared" si="3"/>
        <v>53.930349253087492</v>
      </c>
    </row>
    <row r="40" spans="1:19" x14ac:dyDescent="0.25">
      <c r="A40">
        <v>37.5</v>
      </c>
      <c r="B40">
        <v>1867.28</v>
      </c>
      <c r="C40">
        <v>1836.925</v>
      </c>
      <c r="D40">
        <v>1659.7639999999999</v>
      </c>
      <c r="E40">
        <v>2327.6869999999999</v>
      </c>
      <c r="F40">
        <v>2218.654</v>
      </c>
      <c r="H40" s="2">
        <f t="shared" si="0"/>
        <v>1982.0619999999999</v>
      </c>
      <c r="I40" s="2">
        <f t="shared" si="1"/>
        <v>125.20943897845733</v>
      </c>
      <c r="K40">
        <v>37.5</v>
      </c>
      <c r="L40">
        <v>2091.2809999999999</v>
      </c>
      <c r="M40">
        <v>2115.5830000000001</v>
      </c>
      <c r="N40">
        <v>2151.3339999999998</v>
      </c>
      <c r="O40">
        <v>2296.4229999999998</v>
      </c>
      <c r="P40">
        <v>2349.5880000000002</v>
      </c>
      <c r="R40" s="3">
        <f t="shared" si="2"/>
        <v>2200.8417999999997</v>
      </c>
      <c r="S40" s="3">
        <f t="shared" si="3"/>
        <v>51.470793632311526</v>
      </c>
    </row>
    <row r="41" spans="1:19" x14ac:dyDescent="0.25">
      <c r="A41">
        <v>38.75</v>
      </c>
      <c r="B41">
        <v>1741.8420000000001</v>
      </c>
      <c r="C41">
        <v>1733.761</v>
      </c>
      <c r="D41">
        <v>1542.3689999999999</v>
      </c>
      <c r="E41">
        <v>2182.2130000000002</v>
      </c>
      <c r="F41">
        <v>2062.288</v>
      </c>
      <c r="H41" s="2">
        <f t="shared" si="0"/>
        <v>1852.4946</v>
      </c>
      <c r="I41" s="2">
        <f t="shared" si="1"/>
        <v>117.31305285713097</v>
      </c>
      <c r="K41">
        <v>38.75</v>
      </c>
      <c r="L41">
        <v>1952.357</v>
      </c>
      <c r="M41">
        <v>1953.77</v>
      </c>
      <c r="N41">
        <v>2009.327</v>
      </c>
      <c r="O41">
        <v>2145.576</v>
      </c>
      <c r="P41">
        <v>2182.5410000000002</v>
      </c>
      <c r="R41" s="3">
        <f t="shared" si="2"/>
        <v>2048.7141999999999</v>
      </c>
      <c r="S41" s="3">
        <f t="shared" si="3"/>
        <v>48.550120147534166</v>
      </c>
    </row>
    <row r="42" spans="1:19" x14ac:dyDescent="0.25">
      <c r="A42">
        <v>40</v>
      </c>
      <c r="B42">
        <v>1672.0609999999999</v>
      </c>
      <c r="C42">
        <v>1658.175</v>
      </c>
      <c r="D42">
        <v>1475.9069999999999</v>
      </c>
      <c r="E42">
        <v>2075.2080000000001</v>
      </c>
      <c r="F42">
        <v>1961.31</v>
      </c>
      <c r="H42" s="2">
        <f t="shared" si="0"/>
        <v>1768.5322000000001</v>
      </c>
      <c r="I42" s="2">
        <f t="shared" si="1"/>
        <v>109.16231908831865</v>
      </c>
      <c r="K42">
        <v>40</v>
      </c>
      <c r="L42">
        <v>1842.9290000000001</v>
      </c>
      <c r="M42">
        <v>1855.92</v>
      </c>
      <c r="N42">
        <v>1909.0820000000001</v>
      </c>
      <c r="O42">
        <v>2036.944</v>
      </c>
      <c r="P42">
        <v>2071.2510000000002</v>
      </c>
      <c r="R42" s="3">
        <f t="shared" si="2"/>
        <v>1943.2252000000001</v>
      </c>
      <c r="S42" s="3">
        <f t="shared" si="3"/>
        <v>46.915404041103599</v>
      </c>
    </row>
    <row r="43" spans="1:19" x14ac:dyDescent="0.25">
      <c r="A43">
        <v>41.25</v>
      </c>
      <c r="B43">
        <v>1639.626</v>
      </c>
      <c r="C43">
        <v>1614.9849999999999</v>
      </c>
      <c r="D43">
        <v>1445.9349999999999</v>
      </c>
      <c r="E43">
        <v>2010.6569999999999</v>
      </c>
      <c r="F43">
        <v>1912.511</v>
      </c>
      <c r="H43" s="2">
        <f t="shared" si="0"/>
        <v>1724.7428</v>
      </c>
      <c r="I43" s="2">
        <f t="shared" si="1"/>
        <v>103.44787584498764</v>
      </c>
      <c r="K43">
        <v>41.25</v>
      </c>
      <c r="L43">
        <v>1784.846</v>
      </c>
      <c r="M43">
        <v>1804.242</v>
      </c>
      <c r="N43">
        <v>1863.864</v>
      </c>
      <c r="O43">
        <v>1979.567</v>
      </c>
      <c r="P43">
        <v>2021.5840000000001</v>
      </c>
      <c r="R43" s="3">
        <f t="shared" si="2"/>
        <v>1890.8205999999998</v>
      </c>
      <c r="S43" s="3">
        <f t="shared" si="3"/>
        <v>47.131793090863844</v>
      </c>
    </row>
    <row r="44" spans="1:19" x14ac:dyDescent="0.25">
      <c r="A44">
        <v>42.5</v>
      </c>
      <c r="B44">
        <v>1636.6690000000001</v>
      </c>
      <c r="C44">
        <v>1602.4</v>
      </c>
      <c r="D44">
        <v>1435.048</v>
      </c>
      <c r="E44">
        <v>1987.9169999999999</v>
      </c>
      <c r="F44">
        <v>1897.962</v>
      </c>
      <c r="H44" s="2">
        <f t="shared" si="0"/>
        <v>1711.9991999999997</v>
      </c>
      <c r="I44" s="2">
        <f t="shared" si="1"/>
        <v>101.26731609823646</v>
      </c>
      <c r="K44">
        <v>42.5</v>
      </c>
      <c r="L44">
        <v>1777.752</v>
      </c>
      <c r="M44">
        <v>1786.3440000000001</v>
      </c>
      <c r="N44">
        <v>1846.921</v>
      </c>
      <c r="O44">
        <v>1963.0129999999999</v>
      </c>
      <c r="P44">
        <v>2006.098</v>
      </c>
      <c r="R44" s="3">
        <f t="shared" si="2"/>
        <v>1876.0256000000002</v>
      </c>
      <c r="S44" s="3">
        <f t="shared" si="3"/>
        <v>46.385991730909439</v>
      </c>
    </row>
    <row r="45" spans="1:19" x14ac:dyDescent="0.25">
      <c r="A45">
        <v>43.75</v>
      </c>
      <c r="B45">
        <v>1639.2670000000001</v>
      </c>
      <c r="C45">
        <v>1619.3489999999999</v>
      </c>
      <c r="D45">
        <v>1449.1690000000001</v>
      </c>
      <c r="E45">
        <v>2000.002</v>
      </c>
      <c r="F45">
        <v>1910.182</v>
      </c>
      <c r="H45" s="2">
        <f t="shared" si="0"/>
        <v>1723.5938000000001</v>
      </c>
      <c r="I45" s="2">
        <f t="shared" si="1"/>
        <v>101.11963404472867</v>
      </c>
      <c r="K45">
        <v>43.75</v>
      </c>
      <c r="L45">
        <v>1783.0340000000001</v>
      </c>
      <c r="M45">
        <v>1796.797</v>
      </c>
      <c r="N45">
        <v>1849.79</v>
      </c>
      <c r="O45">
        <v>1974.271</v>
      </c>
      <c r="P45">
        <v>2017.037</v>
      </c>
      <c r="R45" s="3">
        <f t="shared" si="2"/>
        <v>1884.1858</v>
      </c>
      <c r="S45" s="3">
        <f t="shared" si="3"/>
        <v>47.337271080407653</v>
      </c>
    </row>
    <row r="46" spans="1:19" x14ac:dyDescent="0.25">
      <c r="A46">
        <v>45</v>
      </c>
      <c r="B46">
        <v>1652.2449999999999</v>
      </c>
      <c r="C46">
        <v>1650.6089999999999</v>
      </c>
      <c r="D46">
        <v>1468.82</v>
      </c>
      <c r="E46">
        <v>2029.414</v>
      </c>
      <c r="F46">
        <v>1942.086</v>
      </c>
      <c r="H46" s="2">
        <f t="shared" si="0"/>
        <v>1748.6347999999998</v>
      </c>
      <c r="I46" s="2">
        <f t="shared" si="1"/>
        <v>103.30941371501493</v>
      </c>
      <c r="K46">
        <v>45</v>
      </c>
      <c r="L46">
        <v>1800.6980000000001</v>
      </c>
      <c r="M46">
        <v>1814.5250000000001</v>
      </c>
      <c r="N46">
        <v>1872.0920000000001</v>
      </c>
      <c r="O46">
        <v>2006.748</v>
      </c>
      <c r="P46">
        <v>2045.259</v>
      </c>
      <c r="R46" s="3">
        <f t="shared" si="2"/>
        <v>1907.8643999999999</v>
      </c>
      <c r="S46" s="3">
        <f t="shared" si="3"/>
        <v>50.065850607574802</v>
      </c>
    </row>
    <row r="47" spans="1:19" x14ac:dyDescent="0.25">
      <c r="A47">
        <v>46.25</v>
      </c>
      <c r="B47">
        <v>1686.5250000000001</v>
      </c>
      <c r="C47">
        <v>1684.8340000000001</v>
      </c>
      <c r="D47">
        <v>1502.4169999999999</v>
      </c>
      <c r="E47">
        <v>2086.5160000000001</v>
      </c>
      <c r="F47">
        <v>1986.635</v>
      </c>
      <c r="H47" s="2">
        <f t="shared" si="0"/>
        <v>1789.3853999999999</v>
      </c>
      <c r="I47" s="2">
        <f t="shared" si="1"/>
        <v>107.4839797098163</v>
      </c>
      <c r="K47">
        <v>46.25</v>
      </c>
      <c r="L47">
        <v>1826.598</v>
      </c>
      <c r="M47">
        <v>1850.191</v>
      </c>
      <c r="N47">
        <v>1903.4570000000001</v>
      </c>
      <c r="O47">
        <v>2040.2860000000001</v>
      </c>
      <c r="P47">
        <v>2088.982</v>
      </c>
      <c r="R47" s="3">
        <f t="shared" si="2"/>
        <v>1941.9027999999998</v>
      </c>
      <c r="S47" s="3">
        <f t="shared" si="3"/>
        <v>52.1995573806905</v>
      </c>
    </row>
    <row r="48" spans="1:19" x14ac:dyDescent="0.25">
      <c r="A48">
        <v>47.5</v>
      </c>
      <c r="B48">
        <v>1730.865</v>
      </c>
      <c r="C48">
        <v>1741.0309999999999</v>
      </c>
      <c r="D48">
        <v>1556.894</v>
      </c>
      <c r="E48">
        <v>2168.3789999999999</v>
      </c>
      <c r="F48">
        <v>2059.4760000000001</v>
      </c>
      <c r="H48" s="2">
        <f t="shared" si="0"/>
        <v>1851.3290000000002</v>
      </c>
      <c r="I48" s="2">
        <f t="shared" si="1"/>
        <v>113.40526209880973</v>
      </c>
      <c r="K48">
        <v>47.5</v>
      </c>
      <c r="L48">
        <v>1871.4870000000001</v>
      </c>
      <c r="M48">
        <v>1916.1130000000001</v>
      </c>
      <c r="N48">
        <v>1967.07</v>
      </c>
      <c r="O48">
        <v>2100.5790000000002</v>
      </c>
      <c r="P48">
        <v>2164.9189999999999</v>
      </c>
      <c r="R48" s="3">
        <f t="shared" si="2"/>
        <v>2004.0336</v>
      </c>
      <c r="S48" s="3">
        <f t="shared" si="3"/>
        <v>55.61927138825174</v>
      </c>
    </row>
    <row r="49" spans="1:19" x14ac:dyDescent="0.25">
      <c r="A49">
        <v>48.75</v>
      </c>
      <c r="B49">
        <v>1787.136</v>
      </c>
      <c r="C49">
        <v>1813.7270000000001</v>
      </c>
      <c r="D49">
        <v>1617.559</v>
      </c>
      <c r="E49">
        <v>2251.6709999999998</v>
      </c>
      <c r="F49">
        <v>2143.9760000000001</v>
      </c>
      <c r="H49" s="2">
        <f t="shared" si="0"/>
        <v>1922.8138000000004</v>
      </c>
      <c r="I49" s="2">
        <f t="shared" si="1"/>
        <v>118.43746556111299</v>
      </c>
      <c r="K49">
        <v>48.75</v>
      </c>
      <c r="L49">
        <v>1940.325</v>
      </c>
      <c r="M49">
        <v>1982.7180000000001</v>
      </c>
      <c r="N49">
        <v>2040.558</v>
      </c>
      <c r="O49">
        <v>2186.1529999999998</v>
      </c>
      <c r="P49">
        <v>2252.0070000000001</v>
      </c>
      <c r="R49" s="3">
        <f t="shared" si="2"/>
        <v>2080.3522000000003</v>
      </c>
      <c r="S49" s="3">
        <f t="shared" si="3"/>
        <v>59.742284751589452</v>
      </c>
    </row>
    <row r="50" spans="1:19" x14ac:dyDescent="0.25">
      <c r="A50">
        <v>50</v>
      </c>
      <c r="B50">
        <v>1867.539</v>
      </c>
      <c r="C50">
        <v>1893.277</v>
      </c>
      <c r="D50">
        <v>1685.3340000000001</v>
      </c>
      <c r="E50">
        <v>2317.8150000000001</v>
      </c>
      <c r="F50">
        <v>2232.085</v>
      </c>
      <c r="H50" s="2">
        <f t="shared" si="0"/>
        <v>1999.2099999999998</v>
      </c>
      <c r="I50" s="2">
        <f t="shared" si="1"/>
        <v>118.9153286494218</v>
      </c>
      <c r="K50">
        <v>50</v>
      </c>
      <c r="L50">
        <v>2020.2270000000001</v>
      </c>
      <c r="M50">
        <v>2048.52</v>
      </c>
      <c r="N50">
        <v>2126.0059999999999</v>
      </c>
      <c r="O50">
        <v>2273.4360000000001</v>
      </c>
      <c r="P50">
        <v>2332.4290000000001</v>
      </c>
      <c r="R50" s="3">
        <f t="shared" si="2"/>
        <v>2160.1235999999999</v>
      </c>
      <c r="S50" s="3">
        <f t="shared" si="3"/>
        <v>61.530189223339804</v>
      </c>
    </row>
    <row r="51" spans="1:19" x14ac:dyDescent="0.25">
      <c r="A51">
        <v>51.25</v>
      </c>
      <c r="B51">
        <v>1947.454</v>
      </c>
      <c r="C51">
        <v>1964.913</v>
      </c>
      <c r="D51">
        <v>1752.691</v>
      </c>
      <c r="E51">
        <v>2395.9070000000002</v>
      </c>
      <c r="F51">
        <v>2308.0970000000002</v>
      </c>
      <c r="H51" s="2">
        <f t="shared" si="0"/>
        <v>2073.8123999999998</v>
      </c>
      <c r="I51" s="2">
        <f t="shared" si="1"/>
        <v>120.3284428668466</v>
      </c>
      <c r="K51">
        <v>51.25</v>
      </c>
      <c r="L51">
        <v>2095.518</v>
      </c>
      <c r="M51">
        <v>2120.6790000000001</v>
      </c>
      <c r="N51">
        <v>2212.114</v>
      </c>
      <c r="O51">
        <v>2357.0010000000002</v>
      </c>
      <c r="P51">
        <v>2412.221</v>
      </c>
      <c r="R51" s="3">
        <f t="shared" si="2"/>
        <v>2239.5065999999997</v>
      </c>
      <c r="S51" s="3">
        <f t="shared" si="3"/>
        <v>62.943732009311304</v>
      </c>
    </row>
    <row r="52" spans="1:19" x14ac:dyDescent="0.25">
      <c r="A52">
        <v>52.5</v>
      </c>
      <c r="B52">
        <v>2011.5740000000001</v>
      </c>
      <c r="C52">
        <v>2017.027</v>
      </c>
      <c r="D52">
        <v>1788.2449999999999</v>
      </c>
      <c r="E52">
        <v>2446.306</v>
      </c>
      <c r="F52">
        <v>2364.221</v>
      </c>
      <c r="H52" s="2">
        <f t="shared" si="0"/>
        <v>2125.4746</v>
      </c>
      <c r="I52" s="2">
        <f t="shared" si="1"/>
        <v>122.14554074570221</v>
      </c>
      <c r="K52">
        <v>52.5</v>
      </c>
      <c r="L52">
        <v>2149.732</v>
      </c>
      <c r="M52">
        <v>2174.8009999999999</v>
      </c>
      <c r="N52">
        <v>2268.71</v>
      </c>
      <c r="O52">
        <v>2409.8829999999998</v>
      </c>
      <c r="P52">
        <v>2462.857</v>
      </c>
      <c r="R52" s="3">
        <f t="shared" si="2"/>
        <v>2293.1966000000002</v>
      </c>
      <c r="S52" s="3">
        <f t="shared" si="3"/>
        <v>62.28947359112933</v>
      </c>
    </row>
    <row r="53" spans="1:19" x14ac:dyDescent="0.25">
      <c r="A53">
        <v>53.75</v>
      </c>
      <c r="B53">
        <v>2038.9079999999999</v>
      </c>
      <c r="C53">
        <v>2043.923</v>
      </c>
      <c r="D53">
        <v>1809.537</v>
      </c>
      <c r="E53">
        <v>2424.2440000000001</v>
      </c>
      <c r="F53">
        <v>2375.5100000000002</v>
      </c>
      <c r="H53" s="2">
        <f t="shared" si="0"/>
        <v>2138.4244000000003</v>
      </c>
      <c r="I53" s="2">
        <f t="shared" si="1"/>
        <v>115.08765698831381</v>
      </c>
      <c r="K53">
        <v>53.75</v>
      </c>
      <c r="L53">
        <v>2174.6770000000001</v>
      </c>
      <c r="M53">
        <v>2178.0520000000001</v>
      </c>
      <c r="N53">
        <v>2282.3670000000002</v>
      </c>
      <c r="O53">
        <v>2418.123</v>
      </c>
      <c r="P53">
        <v>2472.739</v>
      </c>
      <c r="R53" s="3">
        <f t="shared" si="2"/>
        <v>2305.1916000000001</v>
      </c>
      <c r="S53" s="3">
        <f t="shared" si="3"/>
        <v>61.05126264836786</v>
      </c>
    </row>
    <row r="54" spans="1:19" x14ac:dyDescent="0.25">
      <c r="A54">
        <v>55</v>
      </c>
      <c r="B54">
        <v>2057.9760000000001</v>
      </c>
      <c r="C54">
        <v>2066.1860000000001</v>
      </c>
      <c r="D54">
        <v>1832.184</v>
      </c>
      <c r="E54">
        <v>2341.4479999999999</v>
      </c>
      <c r="F54">
        <v>2366.7370000000001</v>
      </c>
      <c r="H54" s="2">
        <f t="shared" si="0"/>
        <v>2132.9061999999999</v>
      </c>
      <c r="I54" s="2">
        <f t="shared" si="1"/>
        <v>99.666064161478744</v>
      </c>
      <c r="K54">
        <v>55</v>
      </c>
      <c r="L54">
        <v>2157.5030000000002</v>
      </c>
      <c r="M54">
        <v>2145.569</v>
      </c>
      <c r="N54">
        <v>2259.748</v>
      </c>
      <c r="O54">
        <v>2385.4659999999999</v>
      </c>
      <c r="P54">
        <v>2441.41</v>
      </c>
      <c r="R54" s="3">
        <f t="shared" si="2"/>
        <v>2277.9391999999998</v>
      </c>
      <c r="S54" s="3">
        <f t="shared" si="3"/>
        <v>59.431634272834827</v>
      </c>
    </row>
    <row r="55" spans="1:19" x14ac:dyDescent="0.25">
      <c r="A55">
        <v>56.25</v>
      </c>
      <c r="B55">
        <v>2083.0189999999998</v>
      </c>
      <c r="C55">
        <v>2084.2159999999999</v>
      </c>
      <c r="D55">
        <v>1829.675</v>
      </c>
      <c r="E55">
        <v>2219.384</v>
      </c>
      <c r="F55">
        <v>2370.0830000000001</v>
      </c>
      <c r="H55" s="2">
        <f t="shared" si="0"/>
        <v>2117.2754</v>
      </c>
      <c r="I55" s="2">
        <f t="shared" si="1"/>
        <v>89.251964617368515</v>
      </c>
      <c r="K55">
        <v>56.25</v>
      </c>
      <c r="L55">
        <v>2122.527</v>
      </c>
      <c r="M55">
        <v>2094.605</v>
      </c>
      <c r="N55">
        <v>2233.1030000000001</v>
      </c>
      <c r="O55">
        <v>2326.3580000000002</v>
      </c>
      <c r="P55">
        <v>2380.8620000000001</v>
      </c>
      <c r="R55" s="3">
        <f t="shared" si="2"/>
        <v>2231.4910000000004</v>
      </c>
      <c r="S55" s="3">
        <f t="shared" si="3"/>
        <v>55.643944938330911</v>
      </c>
    </row>
    <row r="56" spans="1:19" x14ac:dyDescent="0.25">
      <c r="A56">
        <v>57.5</v>
      </c>
      <c r="B56">
        <v>2080.165</v>
      </c>
      <c r="C56">
        <v>2080.9929999999999</v>
      </c>
      <c r="D56">
        <v>1787.865</v>
      </c>
      <c r="E56">
        <v>2069.0230000000001</v>
      </c>
      <c r="F56">
        <v>2331.4349999999999</v>
      </c>
      <c r="H56" s="2">
        <f t="shared" si="0"/>
        <v>2069.8962000000001</v>
      </c>
      <c r="I56" s="2">
        <f t="shared" si="1"/>
        <v>86.073657811434956</v>
      </c>
      <c r="K56">
        <v>57.5</v>
      </c>
      <c r="L56">
        <v>2070.9110000000001</v>
      </c>
      <c r="M56">
        <v>2009.912</v>
      </c>
      <c r="N56">
        <v>2191.424</v>
      </c>
      <c r="O56">
        <v>2226.1320000000001</v>
      </c>
      <c r="P56">
        <v>2283.5830000000001</v>
      </c>
      <c r="R56" s="3">
        <f t="shared" si="2"/>
        <v>2156.3924000000002</v>
      </c>
      <c r="S56" s="3">
        <f t="shared" si="3"/>
        <v>50.51329075857165</v>
      </c>
    </row>
    <row r="57" spans="1:19" x14ac:dyDescent="0.25">
      <c r="A57">
        <v>58.75</v>
      </c>
      <c r="B57">
        <v>2074.4740000000002</v>
      </c>
      <c r="C57">
        <v>2056.9119999999998</v>
      </c>
      <c r="D57">
        <v>1717.52</v>
      </c>
      <c r="E57">
        <v>1932.5160000000001</v>
      </c>
      <c r="F57">
        <v>2227.2620000000002</v>
      </c>
      <c r="H57" s="2">
        <f t="shared" si="0"/>
        <v>2001.7368000000001</v>
      </c>
      <c r="I57" s="2">
        <f t="shared" si="1"/>
        <v>85.078589359720837</v>
      </c>
      <c r="K57">
        <v>58.75</v>
      </c>
      <c r="L57">
        <v>1999.848</v>
      </c>
      <c r="M57">
        <v>1894.2909999999999</v>
      </c>
      <c r="N57">
        <v>2101.4549999999999</v>
      </c>
      <c r="O57">
        <v>2103.2370000000001</v>
      </c>
      <c r="P57">
        <v>2163.6190000000001</v>
      </c>
      <c r="R57" s="3">
        <f t="shared" si="2"/>
        <v>2052.4900000000002</v>
      </c>
      <c r="S57" s="3">
        <f t="shared" si="3"/>
        <v>47.497677648491432</v>
      </c>
    </row>
    <row r="58" spans="1:19" x14ac:dyDescent="0.25">
      <c r="A58">
        <v>60</v>
      </c>
      <c r="B58">
        <v>2031.701</v>
      </c>
      <c r="C58">
        <v>2041.1010000000001</v>
      </c>
      <c r="D58">
        <v>1665.671</v>
      </c>
      <c r="E58">
        <v>1826.3720000000001</v>
      </c>
      <c r="F58">
        <v>2127.5450000000001</v>
      </c>
      <c r="H58" s="2">
        <f t="shared" si="0"/>
        <v>1938.4779999999998</v>
      </c>
      <c r="I58" s="2">
        <f t="shared" si="1"/>
        <v>84.249555735327178</v>
      </c>
      <c r="K58">
        <v>60</v>
      </c>
      <c r="L58">
        <v>1927.489</v>
      </c>
      <c r="M58">
        <v>1790.4949999999999</v>
      </c>
      <c r="N58">
        <v>1996.364</v>
      </c>
      <c r="O58">
        <v>2004.856</v>
      </c>
      <c r="P58">
        <v>2062.4870000000001</v>
      </c>
      <c r="R58" s="3">
        <f t="shared" si="2"/>
        <v>1956.3381999999997</v>
      </c>
      <c r="S58" s="3">
        <f t="shared" si="3"/>
        <v>46.668968625201074</v>
      </c>
    </row>
    <row r="59" spans="1:19" x14ac:dyDescent="0.25">
      <c r="A59">
        <v>61.25</v>
      </c>
      <c r="B59">
        <v>1978.5650000000001</v>
      </c>
      <c r="C59">
        <v>2003.3150000000001</v>
      </c>
      <c r="D59">
        <v>1611.326</v>
      </c>
      <c r="E59">
        <v>1756.287</v>
      </c>
      <c r="F59">
        <v>2027.922</v>
      </c>
      <c r="H59" s="2">
        <f t="shared" si="0"/>
        <v>1875.4830000000002</v>
      </c>
      <c r="I59" s="2">
        <f t="shared" si="1"/>
        <v>81.911896185474788</v>
      </c>
      <c r="K59">
        <v>61.25</v>
      </c>
      <c r="L59">
        <v>1836.62</v>
      </c>
      <c r="M59">
        <v>1725.0229999999999</v>
      </c>
      <c r="N59">
        <v>1920.037</v>
      </c>
      <c r="O59">
        <v>1922.5509999999999</v>
      </c>
      <c r="P59">
        <v>1959.2650000000001</v>
      </c>
      <c r="R59" s="3">
        <f t="shared" si="2"/>
        <v>1872.6991999999998</v>
      </c>
      <c r="S59" s="3">
        <f t="shared" si="3"/>
        <v>42.029558480193465</v>
      </c>
    </row>
    <row r="60" spans="1:19" x14ac:dyDescent="0.25">
      <c r="A60">
        <v>62.5</v>
      </c>
      <c r="B60">
        <v>1914.2550000000001</v>
      </c>
      <c r="C60">
        <v>1942.0150000000001</v>
      </c>
      <c r="D60">
        <v>1551.4659999999999</v>
      </c>
      <c r="E60">
        <v>1709.05</v>
      </c>
      <c r="F60">
        <v>1924.7940000000001</v>
      </c>
      <c r="H60" s="2">
        <f t="shared" si="0"/>
        <v>1808.3160000000003</v>
      </c>
      <c r="I60" s="2">
        <f t="shared" si="1"/>
        <v>76.971189435398529</v>
      </c>
      <c r="K60">
        <v>62.5</v>
      </c>
      <c r="L60">
        <v>1748.4649999999999</v>
      </c>
      <c r="M60">
        <v>1662.623</v>
      </c>
      <c r="N60">
        <v>1837.6020000000001</v>
      </c>
      <c r="O60">
        <v>1851.7370000000001</v>
      </c>
      <c r="P60">
        <v>1870.318</v>
      </c>
      <c r="R60" s="3">
        <f t="shared" si="2"/>
        <v>1794.1489999999999</v>
      </c>
      <c r="S60" s="3">
        <f t="shared" si="3"/>
        <v>38.982287032702438</v>
      </c>
    </row>
    <row r="61" spans="1:19" x14ac:dyDescent="0.25">
      <c r="A61">
        <v>63.75</v>
      </c>
      <c r="B61">
        <v>1849.0550000000001</v>
      </c>
      <c r="C61">
        <v>1864.3240000000001</v>
      </c>
      <c r="D61">
        <v>1479.55</v>
      </c>
      <c r="E61">
        <v>1663.454</v>
      </c>
      <c r="F61">
        <v>1846.7139999999999</v>
      </c>
      <c r="H61" s="2">
        <f t="shared" si="0"/>
        <v>1740.6194</v>
      </c>
      <c r="I61" s="2">
        <f t="shared" si="1"/>
        <v>74.976296964840841</v>
      </c>
      <c r="K61">
        <v>63.75</v>
      </c>
      <c r="L61">
        <v>1670.502</v>
      </c>
      <c r="M61">
        <v>1596.421</v>
      </c>
      <c r="N61">
        <v>1757.741</v>
      </c>
      <c r="O61">
        <v>1788.1130000000001</v>
      </c>
      <c r="P61">
        <v>1818.079</v>
      </c>
      <c r="R61" s="3">
        <f t="shared" si="2"/>
        <v>1726.1712</v>
      </c>
      <c r="S61" s="3">
        <f t="shared" si="3"/>
        <v>40.752090000882156</v>
      </c>
    </row>
    <row r="62" spans="1:19" x14ac:dyDescent="0.25">
      <c r="A62">
        <v>65</v>
      </c>
      <c r="B62">
        <v>1755.471</v>
      </c>
      <c r="C62">
        <v>1781.1669999999999</v>
      </c>
      <c r="D62">
        <v>1411.614</v>
      </c>
      <c r="E62">
        <v>1631.2190000000001</v>
      </c>
      <c r="F62">
        <v>1779.5039999999999</v>
      </c>
      <c r="H62" s="2">
        <f t="shared" si="0"/>
        <v>1671.7950000000001</v>
      </c>
      <c r="I62" s="2">
        <f t="shared" si="1"/>
        <v>70.677330374738943</v>
      </c>
      <c r="K62">
        <v>65</v>
      </c>
      <c r="L62">
        <v>1590.518</v>
      </c>
      <c r="M62">
        <v>1532.1120000000001</v>
      </c>
      <c r="N62">
        <v>1693.9480000000001</v>
      </c>
      <c r="O62">
        <v>1730.885</v>
      </c>
      <c r="P62">
        <v>1766.0250000000001</v>
      </c>
      <c r="R62" s="3">
        <f t="shared" si="2"/>
        <v>1662.6976000000002</v>
      </c>
      <c r="S62" s="3">
        <f t="shared" si="3"/>
        <v>43.91193129048186</v>
      </c>
    </row>
    <row r="63" spans="1:19" x14ac:dyDescent="0.25">
      <c r="A63">
        <v>66.25</v>
      </c>
      <c r="B63">
        <v>1659.5070000000001</v>
      </c>
      <c r="C63">
        <v>1670.7139999999999</v>
      </c>
      <c r="D63">
        <v>1342.454</v>
      </c>
      <c r="E63">
        <v>1607.2429999999999</v>
      </c>
      <c r="F63">
        <v>1712.8979999999999</v>
      </c>
      <c r="H63" s="2">
        <f t="shared" si="0"/>
        <v>1598.5632000000001</v>
      </c>
      <c r="I63" s="2">
        <f t="shared" si="1"/>
        <v>66.204075570466202</v>
      </c>
      <c r="K63">
        <v>66.25</v>
      </c>
      <c r="L63">
        <v>1551.5709999999999</v>
      </c>
      <c r="M63">
        <v>1479.5889999999999</v>
      </c>
      <c r="N63">
        <v>1629.452</v>
      </c>
      <c r="O63">
        <v>1676.1869999999999</v>
      </c>
      <c r="P63">
        <v>1706.6279999999999</v>
      </c>
      <c r="R63" s="3">
        <f t="shared" si="2"/>
        <v>1608.6853999999998</v>
      </c>
      <c r="S63" s="3">
        <f t="shared" si="3"/>
        <v>41.538178675286183</v>
      </c>
    </row>
    <row r="64" spans="1:19" x14ac:dyDescent="0.25">
      <c r="A64">
        <v>67.5</v>
      </c>
      <c r="B64">
        <v>1561.7719999999999</v>
      </c>
      <c r="C64">
        <v>1539.893</v>
      </c>
      <c r="D64">
        <v>1277.296</v>
      </c>
      <c r="E64">
        <v>1593.029</v>
      </c>
      <c r="F64">
        <v>1658.501</v>
      </c>
      <c r="H64" s="2">
        <f t="shared" si="0"/>
        <v>1526.0981999999999</v>
      </c>
      <c r="I64" s="2">
        <f t="shared" si="1"/>
        <v>65.335933709865955</v>
      </c>
      <c r="K64">
        <v>67.5</v>
      </c>
      <c r="L64">
        <v>1492.4949999999999</v>
      </c>
      <c r="M64">
        <v>1450.7840000000001</v>
      </c>
      <c r="N64">
        <v>1575.7339999999999</v>
      </c>
      <c r="O64">
        <v>1635.3720000000001</v>
      </c>
      <c r="P64">
        <v>1649.9760000000001</v>
      </c>
      <c r="R64" s="3">
        <f t="shared" si="2"/>
        <v>1560.8722000000002</v>
      </c>
      <c r="S64" s="3">
        <f t="shared" si="3"/>
        <v>39.054726815585347</v>
      </c>
    </row>
    <row r="65" spans="1:19" x14ac:dyDescent="0.25">
      <c r="A65">
        <v>68.75</v>
      </c>
      <c r="B65">
        <v>1426.6389999999999</v>
      </c>
      <c r="C65">
        <v>1407.875</v>
      </c>
      <c r="D65">
        <v>1213.508</v>
      </c>
      <c r="E65">
        <v>1581.4010000000001</v>
      </c>
      <c r="F65">
        <v>1588.9829999999999</v>
      </c>
      <c r="H65" s="2">
        <f t="shared" si="0"/>
        <v>1443.6812</v>
      </c>
      <c r="I65" s="2">
        <f t="shared" si="1"/>
        <v>68.786473573225123</v>
      </c>
      <c r="K65">
        <v>68.75</v>
      </c>
      <c r="L65">
        <v>1429.0989999999999</v>
      </c>
      <c r="M65">
        <v>1423.037</v>
      </c>
      <c r="N65">
        <v>1524.521</v>
      </c>
      <c r="O65">
        <v>1595.3209999999999</v>
      </c>
      <c r="P65">
        <v>1617.027</v>
      </c>
      <c r="R65" s="3">
        <f t="shared" si="2"/>
        <v>1517.8009999999999</v>
      </c>
      <c r="S65" s="3">
        <f t="shared" si="3"/>
        <v>40.465150670669694</v>
      </c>
    </row>
    <row r="66" spans="1:19" x14ac:dyDescent="0.25">
      <c r="A66">
        <v>70</v>
      </c>
      <c r="B66">
        <v>1343.8589999999999</v>
      </c>
      <c r="C66">
        <v>1318.6579999999999</v>
      </c>
      <c r="D66">
        <v>1182.8920000000001</v>
      </c>
      <c r="E66">
        <v>1567.5450000000001</v>
      </c>
      <c r="F66">
        <v>1537.9390000000001</v>
      </c>
      <c r="H66" s="2">
        <f t="shared" si="0"/>
        <v>1390.1786</v>
      </c>
      <c r="I66" s="2">
        <f t="shared" si="1"/>
        <v>71.944566078752302</v>
      </c>
      <c r="K66">
        <v>70</v>
      </c>
      <c r="L66">
        <v>1391.2660000000001</v>
      </c>
      <c r="M66">
        <v>1389.8409999999999</v>
      </c>
      <c r="N66">
        <v>1489.2</v>
      </c>
      <c r="O66">
        <v>1562.385</v>
      </c>
      <c r="P66">
        <v>1590.316</v>
      </c>
      <c r="R66" s="3">
        <f t="shared" si="2"/>
        <v>1484.6016</v>
      </c>
      <c r="S66" s="3">
        <f t="shared" si="3"/>
        <v>41.795958240719877</v>
      </c>
    </row>
    <row r="67" spans="1:19" x14ac:dyDescent="0.25">
      <c r="A67">
        <v>71.25</v>
      </c>
      <c r="B67">
        <v>1323.3620000000001</v>
      </c>
      <c r="C67">
        <v>1293.296</v>
      </c>
      <c r="D67">
        <v>1169.8920000000001</v>
      </c>
      <c r="E67">
        <v>1558.8510000000001</v>
      </c>
      <c r="F67">
        <v>1518.183</v>
      </c>
      <c r="H67" s="2">
        <f t="shared" si="0"/>
        <v>1372.7167999999999</v>
      </c>
      <c r="I67" s="2">
        <f t="shared" si="1"/>
        <v>72.693815074874465</v>
      </c>
      <c r="K67">
        <v>71.25</v>
      </c>
      <c r="L67">
        <v>1359.9929999999999</v>
      </c>
      <c r="M67">
        <v>1374.4380000000001</v>
      </c>
      <c r="N67">
        <v>1474.9670000000001</v>
      </c>
      <c r="O67">
        <v>1536.539</v>
      </c>
      <c r="P67">
        <v>1576.91</v>
      </c>
      <c r="R67" s="3">
        <f t="shared" si="2"/>
        <v>1464.5693999999999</v>
      </c>
      <c r="S67" s="3">
        <f t="shared" si="3"/>
        <v>42.993043926430708</v>
      </c>
    </row>
    <row r="68" spans="1:19" x14ac:dyDescent="0.25">
      <c r="A68">
        <v>72.5</v>
      </c>
      <c r="B68">
        <v>1311.6859999999999</v>
      </c>
      <c r="C68">
        <v>1287.7139999999999</v>
      </c>
      <c r="D68">
        <v>1155.9880000000001</v>
      </c>
      <c r="E68">
        <v>1547.8309999999999</v>
      </c>
      <c r="F68">
        <v>1505.08</v>
      </c>
      <c r="H68" s="2">
        <f t="shared" si="0"/>
        <v>1361.6597999999999</v>
      </c>
      <c r="I68" s="2">
        <f t="shared" si="1"/>
        <v>72.627584572529372</v>
      </c>
      <c r="K68">
        <v>72.5</v>
      </c>
      <c r="L68">
        <v>1343.7370000000001</v>
      </c>
      <c r="M68">
        <v>1360.086</v>
      </c>
      <c r="N68">
        <v>1454.991</v>
      </c>
      <c r="O68">
        <v>1529.7809999999999</v>
      </c>
      <c r="P68">
        <v>1564.402</v>
      </c>
      <c r="R68" s="3">
        <f t="shared" si="2"/>
        <v>1450.5994000000001</v>
      </c>
      <c r="S68" s="3">
        <f t="shared" si="3"/>
        <v>44.07510170674594</v>
      </c>
    </row>
    <row r="69" spans="1:19" x14ac:dyDescent="0.25">
      <c r="A69">
        <v>73.75</v>
      </c>
      <c r="B69">
        <v>1321.971</v>
      </c>
      <c r="C69">
        <v>1307.7149999999999</v>
      </c>
      <c r="D69">
        <v>1165.7139999999999</v>
      </c>
      <c r="E69">
        <v>1560.0129999999999</v>
      </c>
      <c r="F69">
        <v>1510.2539999999999</v>
      </c>
      <c r="H69" s="2">
        <f t="shared" ref="H69:H96" si="4">AVERAGE(B69:F69)</f>
        <v>1373.1333999999999</v>
      </c>
      <c r="I69" s="2">
        <f t="shared" ref="I69:I96" si="5">STDEV(B69:F69)/SQRT(COUNT(B69:F69))</f>
        <v>71.988196799614869</v>
      </c>
      <c r="K69">
        <v>73.75</v>
      </c>
      <c r="L69">
        <v>1360.796</v>
      </c>
      <c r="M69">
        <v>1373.6389999999999</v>
      </c>
      <c r="N69">
        <v>1460.5820000000001</v>
      </c>
      <c r="O69">
        <v>1570.175</v>
      </c>
      <c r="P69">
        <v>1595.125</v>
      </c>
      <c r="R69" s="3">
        <f t="shared" ref="R69:R96" si="6">AVERAGE(L69:P69)</f>
        <v>1472.0634</v>
      </c>
      <c r="S69" s="3">
        <f t="shared" ref="S69:S96" si="7">STDEV(L69:P69)/SQRT(COUNT(L69:P69))</f>
        <v>48.46115083920315</v>
      </c>
    </row>
    <row r="70" spans="1:19" x14ac:dyDescent="0.25">
      <c r="A70">
        <v>75</v>
      </c>
      <c r="B70">
        <v>1406.9649999999999</v>
      </c>
      <c r="C70">
        <v>1387.43</v>
      </c>
      <c r="D70">
        <v>1240.721</v>
      </c>
      <c r="E70">
        <v>1665.91</v>
      </c>
      <c r="F70">
        <v>1612.6369999999999</v>
      </c>
      <c r="H70" s="2">
        <f t="shared" si="4"/>
        <v>1462.7325999999998</v>
      </c>
      <c r="I70" s="2">
        <f t="shared" si="5"/>
        <v>78.045513106520545</v>
      </c>
      <c r="K70">
        <v>75</v>
      </c>
      <c r="L70">
        <v>1472.8530000000001</v>
      </c>
      <c r="M70">
        <v>1490.8409999999999</v>
      </c>
      <c r="N70">
        <v>1553.652</v>
      </c>
      <c r="O70">
        <v>1714.8230000000001</v>
      </c>
      <c r="P70">
        <v>1733.136</v>
      </c>
      <c r="R70" s="3">
        <f t="shared" si="6"/>
        <v>1593.0610000000001</v>
      </c>
      <c r="S70" s="3">
        <f t="shared" si="7"/>
        <v>55.18104349049591</v>
      </c>
    </row>
    <row r="71" spans="1:19" x14ac:dyDescent="0.25">
      <c r="A71">
        <v>76.25</v>
      </c>
      <c r="B71">
        <v>1579.7080000000001</v>
      </c>
      <c r="C71">
        <v>1531.7270000000001</v>
      </c>
      <c r="D71">
        <v>1397.8489999999999</v>
      </c>
      <c r="E71">
        <v>1959.1130000000001</v>
      </c>
      <c r="F71">
        <v>1815.069</v>
      </c>
      <c r="H71" s="2">
        <f t="shared" si="4"/>
        <v>1656.6932000000002</v>
      </c>
      <c r="I71" s="2">
        <f t="shared" si="5"/>
        <v>101.26307853625599</v>
      </c>
      <c r="K71">
        <v>76.25</v>
      </c>
      <c r="L71">
        <v>1661.0239999999999</v>
      </c>
      <c r="M71">
        <v>1734.0429999999999</v>
      </c>
      <c r="N71">
        <v>1766.9359999999999</v>
      </c>
      <c r="O71">
        <v>1930.37</v>
      </c>
      <c r="P71">
        <v>1954.423</v>
      </c>
      <c r="R71" s="3">
        <f t="shared" si="6"/>
        <v>1809.3592000000001</v>
      </c>
      <c r="S71" s="3">
        <f t="shared" si="7"/>
        <v>57.080079373981263</v>
      </c>
    </row>
    <row r="72" spans="1:19" x14ac:dyDescent="0.25">
      <c r="A72">
        <v>77.5</v>
      </c>
      <c r="B72">
        <v>1667.1790000000001</v>
      </c>
      <c r="C72">
        <v>1598.7539999999999</v>
      </c>
      <c r="D72">
        <v>1480.8230000000001</v>
      </c>
      <c r="E72">
        <v>2088.3200000000002</v>
      </c>
      <c r="F72">
        <v>1922.797</v>
      </c>
      <c r="H72" s="2">
        <f t="shared" si="4"/>
        <v>1751.5746000000004</v>
      </c>
      <c r="I72" s="2">
        <f t="shared" si="5"/>
        <v>111.01751138203231</v>
      </c>
      <c r="K72">
        <v>77.5</v>
      </c>
      <c r="L72">
        <v>1747.31</v>
      </c>
      <c r="M72">
        <v>1849.008</v>
      </c>
      <c r="N72">
        <v>1878.585</v>
      </c>
      <c r="O72">
        <v>2030.652</v>
      </c>
      <c r="P72">
        <v>2072.2449999999999</v>
      </c>
      <c r="R72" s="3">
        <f t="shared" si="6"/>
        <v>1915.56</v>
      </c>
      <c r="S72" s="3">
        <f t="shared" si="7"/>
        <v>59.958627201596258</v>
      </c>
    </row>
    <row r="73" spans="1:19" x14ac:dyDescent="0.25">
      <c r="A73">
        <v>78.75</v>
      </c>
      <c r="B73">
        <v>1611.81</v>
      </c>
      <c r="C73">
        <v>1555.366</v>
      </c>
      <c r="D73">
        <v>1419.4349999999999</v>
      </c>
      <c r="E73">
        <v>1999.518</v>
      </c>
      <c r="F73">
        <v>1851.069</v>
      </c>
      <c r="H73" s="2">
        <f t="shared" si="4"/>
        <v>1687.4396000000002</v>
      </c>
      <c r="I73" s="2">
        <f t="shared" si="5"/>
        <v>104.67980849361516</v>
      </c>
      <c r="K73">
        <v>78.75</v>
      </c>
      <c r="L73">
        <v>1665.9860000000001</v>
      </c>
      <c r="M73">
        <v>1744.3810000000001</v>
      </c>
      <c r="N73">
        <v>1794.16</v>
      </c>
      <c r="O73">
        <v>1950.4169999999999</v>
      </c>
      <c r="P73">
        <v>1962.059</v>
      </c>
      <c r="R73" s="3">
        <f t="shared" si="6"/>
        <v>1823.4005999999997</v>
      </c>
      <c r="S73" s="3">
        <f t="shared" si="7"/>
        <v>57.981800560693138</v>
      </c>
    </row>
    <row r="74" spans="1:19" x14ac:dyDescent="0.25">
      <c r="A74">
        <v>80</v>
      </c>
      <c r="B74">
        <v>1517.175</v>
      </c>
      <c r="C74">
        <v>1513.933</v>
      </c>
      <c r="D74">
        <v>1320.0730000000001</v>
      </c>
      <c r="E74">
        <v>1832.5139999999999</v>
      </c>
      <c r="F74">
        <v>1733.87</v>
      </c>
      <c r="H74" s="2">
        <f t="shared" si="4"/>
        <v>1583.5130000000001</v>
      </c>
      <c r="I74" s="2">
        <f t="shared" si="5"/>
        <v>90.346960572561343</v>
      </c>
      <c r="K74">
        <v>80</v>
      </c>
      <c r="L74">
        <v>1546.2070000000001</v>
      </c>
      <c r="M74">
        <v>1590.798</v>
      </c>
      <c r="N74">
        <v>1657.367</v>
      </c>
      <c r="O74">
        <v>1839.5909999999999</v>
      </c>
      <c r="P74">
        <v>1820.653</v>
      </c>
      <c r="R74" s="3">
        <f t="shared" si="6"/>
        <v>1690.9232</v>
      </c>
      <c r="S74" s="3">
        <f t="shared" si="7"/>
        <v>59.592696088027402</v>
      </c>
    </row>
    <row r="75" spans="1:19" x14ac:dyDescent="0.25">
      <c r="A75">
        <v>81.25</v>
      </c>
      <c r="B75">
        <v>1545.0650000000001</v>
      </c>
      <c r="C75">
        <v>1655.896</v>
      </c>
      <c r="D75">
        <v>1322.944</v>
      </c>
      <c r="E75">
        <v>1847.546</v>
      </c>
      <c r="F75">
        <v>1742.011</v>
      </c>
      <c r="H75" s="2">
        <f t="shared" si="4"/>
        <v>1622.6924000000004</v>
      </c>
      <c r="I75" s="2">
        <f t="shared" si="5"/>
        <v>89.937107282031974</v>
      </c>
      <c r="K75">
        <v>81.25</v>
      </c>
      <c r="L75">
        <v>1596.172</v>
      </c>
      <c r="M75">
        <v>1616.5409999999999</v>
      </c>
      <c r="N75">
        <v>1670.34</v>
      </c>
      <c r="O75">
        <v>1958.3109999999999</v>
      </c>
      <c r="P75">
        <v>1893.154</v>
      </c>
      <c r="R75" s="3">
        <f t="shared" si="6"/>
        <v>1746.9036000000001</v>
      </c>
      <c r="S75" s="3">
        <f t="shared" si="7"/>
        <v>74.719032326844271</v>
      </c>
    </row>
    <row r="76" spans="1:19" x14ac:dyDescent="0.25">
      <c r="A76">
        <v>82.5</v>
      </c>
      <c r="B76">
        <v>1904.1659999999999</v>
      </c>
      <c r="C76">
        <v>2051.511</v>
      </c>
      <c r="D76">
        <v>1630.38</v>
      </c>
      <c r="E76">
        <v>2442.9349999999999</v>
      </c>
      <c r="F76">
        <v>2155.8980000000001</v>
      </c>
      <c r="H76" s="2">
        <f t="shared" si="4"/>
        <v>2036.9779999999998</v>
      </c>
      <c r="I76" s="2">
        <f t="shared" si="5"/>
        <v>134.55764959414284</v>
      </c>
      <c r="K76">
        <v>82.5</v>
      </c>
      <c r="L76">
        <v>2038.6120000000001</v>
      </c>
      <c r="M76">
        <v>2075.2249999999999</v>
      </c>
      <c r="N76">
        <v>2100.91</v>
      </c>
      <c r="O76">
        <v>2569.9899999999998</v>
      </c>
      <c r="P76">
        <v>2467.752</v>
      </c>
      <c r="R76" s="3">
        <f t="shared" si="6"/>
        <v>2250.4978000000001</v>
      </c>
      <c r="S76" s="3">
        <f t="shared" si="7"/>
        <v>111.19067178698037</v>
      </c>
    </row>
    <row r="77" spans="1:19" x14ac:dyDescent="0.25">
      <c r="A77">
        <v>83.75</v>
      </c>
      <c r="B77">
        <v>2607.8989999999999</v>
      </c>
      <c r="C77">
        <v>2581.9340000000002</v>
      </c>
      <c r="D77">
        <v>2298.3670000000002</v>
      </c>
      <c r="E77">
        <v>3502.5360000000001</v>
      </c>
      <c r="F77">
        <v>3033.3310000000001</v>
      </c>
      <c r="H77" s="2">
        <f t="shared" si="4"/>
        <v>2804.8134</v>
      </c>
      <c r="I77" s="2">
        <f t="shared" si="5"/>
        <v>210.23505702013631</v>
      </c>
      <c r="K77">
        <v>83.75</v>
      </c>
      <c r="L77">
        <v>2867.8620000000001</v>
      </c>
      <c r="M77">
        <v>3064.9079999999999</v>
      </c>
      <c r="N77">
        <v>2998.6010000000001</v>
      </c>
      <c r="O77">
        <v>3548.8209999999999</v>
      </c>
      <c r="P77">
        <v>3545.33</v>
      </c>
      <c r="R77" s="3">
        <f t="shared" si="6"/>
        <v>3205.1044000000002</v>
      </c>
      <c r="S77" s="3">
        <f t="shared" si="7"/>
        <v>143.16523341111832</v>
      </c>
    </row>
    <row r="78" spans="1:19" x14ac:dyDescent="0.25">
      <c r="A78">
        <v>85</v>
      </c>
      <c r="B78">
        <v>3304.2469999999998</v>
      </c>
      <c r="C78">
        <v>3059.1109999999999</v>
      </c>
      <c r="D78">
        <v>3041.68</v>
      </c>
      <c r="E78">
        <v>4468.2049999999999</v>
      </c>
      <c r="F78">
        <v>3948.39</v>
      </c>
      <c r="H78" s="2">
        <f t="shared" si="4"/>
        <v>3564.3266000000003</v>
      </c>
      <c r="I78" s="2">
        <f t="shared" si="5"/>
        <v>279.3335395649064</v>
      </c>
      <c r="K78">
        <v>85</v>
      </c>
      <c r="L78">
        <v>3664.9079999999999</v>
      </c>
      <c r="M78">
        <v>4003.2150000000001</v>
      </c>
      <c r="N78">
        <v>3947.8440000000001</v>
      </c>
      <c r="O78">
        <v>4494.933</v>
      </c>
      <c r="P78">
        <v>4562.0069999999996</v>
      </c>
      <c r="R78" s="3">
        <f t="shared" si="6"/>
        <v>4134.5814</v>
      </c>
      <c r="S78" s="3">
        <f t="shared" si="7"/>
        <v>171.06533977302354</v>
      </c>
    </row>
    <row r="79" spans="1:19" x14ac:dyDescent="0.25">
      <c r="A79">
        <v>86.25</v>
      </c>
      <c r="B79">
        <v>3535.1559999999999</v>
      </c>
      <c r="C79">
        <v>3267.4830000000002</v>
      </c>
      <c r="D79">
        <v>3339.1509999999998</v>
      </c>
      <c r="E79">
        <v>4936.9830000000002</v>
      </c>
      <c r="F79">
        <v>4314.6949999999997</v>
      </c>
      <c r="H79" s="2">
        <f t="shared" si="4"/>
        <v>3878.6936000000001</v>
      </c>
      <c r="I79" s="2">
        <f t="shared" si="5"/>
        <v>323.47923985436688</v>
      </c>
      <c r="K79">
        <v>86.25</v>
      </c>
      <c r="L79">
        <v>3880.902</v>
      </c>
      <c r="M79">
        <v>4447.82</v>
      </c>
      <c r="N79">
        <v>4317.8549999999996</v>
      </c>
      <c r="O79">
        <v>4893.5020000000004</v>
      </c>
      <c r="P79">
        <v>4897.6139999999996</v>
      </c>
      <c r="R79" s="3">
        <f t="shared" si="6"/>
        <v>4487.5385999999999</v>
      </c>
      <c r="S79" s="3">
        <f t="shared" si="7"/>
        <v>191.22580521195354</v>
      </c>
    </row>
    <row r="80" spans="1:19" x14ac:dyDescent="0.25">
      <c r="A80">
        <v>87.5</v>
      </c>
      <c r="B80">
        <v>3213.2289999999998</v>
      </c>
      <c r="C80">
        <v>3042.5140000000001</v>
      </c>
      <c r="D80">
        <v>3050.0340000000001</v>
      </c>
      <c r="E80">
        <v>4523.5540000000001</v>
      </c>
      <c r="F80">
        <v>3937.4270000000001</v>
      </c>
      <c r="H80" s="2">
        <f t="shared" si="4"/>
        <v>3553.3516000000004</v>
      </c>
      <c r="I80" s="2">
        <f t="shared" si="5"/>
        <v>293.15300211026204</v>
      </c>
      <c r="K80">
        <v>87.5</v>
      </c>
      <c r="L80">
        <v>3457.6080000000002</v>
      </c>
      <c r="M80">
        <v>4075.547</v>
      </c>
      <c r="N80">
        <v>3946.654</v>
      </c>
      <c r="O80">
        <v>4610.5590000000002</v>
      </c>
      <c r="P80">
        <v>4416.8900000000003</v>
      </c>
      <c r="R80" s="3">
        <f t="shared" si="6"/>
        <v>4101.4516000000003</v>
      </c>
      <c r="S80" s="3">
        <f t="shared" si="7"/>
        <v>199.73227774413431</v>
      </c>
    </row>
    <row r="81" spans="1:19" x14ac:dyDescent="0.25">
      <c r="A81">
        <v>88.75</v>
      </c>
      <c r="B81">
        <v>2686.0509999999999</v>
      </c>
      <c r="C81">
        <v>2604.5120000000002</v>
      </c>
      <c r="D81">
        <v>2520.453</v>
      </c>
      <c r="E81">
        <v>3766.0830000000001</v>
      </c>
      <c r="F81">
        <v>3313.547</v>
      </c>
      <c r="H81" s="2">
        <f t="shared" si="4"/>
        <v>2978.1292000000003</v>
      </c>
      <c r="I81" s="2">
        <f t="shared" si="5"/>
        <v>241.63436040728999</v>
      </c>
      <c r="K81">
        <v>88.75</v>
      </c>
      <c r="L81">
        <v>2900.701</v>
      </c>
      <c r="M81">
        <v>3309.67</v>
      </c>
      <c r="N81">
        <v>3254.201</v>
      </c>
      <c r="O81">
        <v>3841.86</v>
      </c>
      <c r="P81">
        <v>3669.9110000000001</v>
      </c>
      <c r="R81" s="3">
        <f t="shared" si="6"/>
        <v>3395.2686000000003</v>
      </c>
      <c r="S81" s="3">
        <f t="shared" si="7"/>
        <v>165.33248705157737</v>
      </c>
    </row>
    <row r="82" spans="1:19" x14ac:dyDescent="0.25">
      <c r="A82">
        <v>90</v>
      </c>
      <c r="B82">
        <v>2429.8820000000001</v>
      </c>
      <c r="C82">
        <v>2343.3960000000002</v>
      </c>
      <c r="D82">
        <v>2292.8850000000002</v>
      </c>
      <c r="E82">
        <v>3529.4859999999999</v>
      </c>
      <c r="F82">
        <v>3077.9879999999998</v>
      </c>
      <c r="H82" s="2">
        <f t="shared" si="4"/>
        <v>2734.7274000000002</v>
      </c>
      <c r="I82" s="2">
        <f t="shared" si="5"/>
        <v>244.00458609944073</v>
      </c>
      <c r="K82">
        <v>90</v>
      </c>
      <c r="L82">
        <v>2762.1669999999999</v>
      </c>
      <c r="M82">
        <v>3014.8760000000002</v>
      </c>
      <c r="N82">
        <v>2985.9589999999998</v>
      </c>
      <c r="O82">
        <v>3512.1709999999998</v>
      </c>
      <c r="P82">
        <v>3438.5479999999998</v>
      </c>
      <c r="R82" s="3">
        <f t="shared" si="6"/>
        <v>3142.7442000000001</v>
      </c>
      <c r="S82" s="3">
        <f t="shared" si="7"/>
        <v>143.13401575495598</v>
      </c>
    </row>
    <row r="83" spans="1:19" x14ac:dyDescent="0.25">
      <c r="A83">
        <v>91.25</v>
      </c>
      <c r="B83">
        <v>2520.623</v>
      </c>
      <c r="C83">
        <v>2351.5659999999998</v>
      </c>
      <c r="D83">
        <v>2417.5639999999999</v>
      </c>
      <c r="E83">
        <v>3909.0169999999998</v>
      </c>
      <c r="F83">
        <v>3269.7069999999999</v>
      </c>
      <c r="H83" s="2">
        <f t="shared" si="4"/>
        <v>2893.6954000000001</v>
      </c>
      <c r="I83" s="2">
        <f t="shared" si="5"/>
        <v>302.65913886856191</v>
      </c>
      <c r="K83">
        <v>91.25</v>
      </c>
      <c r="L83">
        <v>2963.3490000000002</v>
      </c>
      <c r="M83">
        <v>3389.1320000000001</v>
      </c>
      <c r="N83">
        <v>3186.4009999999998</v>
      </c>
      <c r="O83">
        <v>3803.0340000000001</v>
      </c>
      <c r="P83">
        <v>3779.7739999999999</v>
      </c>
      <c r="R83" s="3">
        <f t="shared" si="6"/>
        <v>3424.3379999999997</v>
      </c>
      <c r="S83" s="3">
        <f t="shared" si="7"/>
        <v>164.33346388334905</v>
      </c>
    </row>
    <row r="84" spans="1:19" x14ac:dyDescent="0.25">
      <c r="A84">
        <v>92.5</v>
      </c>
      <c r="B84">
        <v>2707.248</v>
      </c>
      <c r="C84">
        <v>2493.645</v>
      </c>
      <c r="D84">
        <v>2603.0819999999999</v>
      </c>
      <c r="E84">
        <v>4369.4480000000003</v>
      </c>
      <c r="F84">
        <v>3548.2890000000002</v>
      </c>
      <c r="H84" s="2">
        <f t="shared" si="4"/>
        <v>3144.3424000000005</v>
      </c>
      <c r="I84" s="2">
        <f t="shared" si="5"/>
        <v>358.57203099859856</v>
      </c>
      <c r="K84">
        <v>92.5</v>
      </c>
      <c r="L84">
        <v>3212.038</v>
      </c>
      <c r="M84">
        <v>3754.8739999999998</v>
      </c>
      <c r="N84">
        <v>3490.1179999999999</v>
      </c>
      <c r="O84">
        <v>4185.1819999999998</v>
      </c>
      <c r="P84">
        <v>4178.1890000000003</v>
      </c>
      <c r="R84" s="3">
        <f t="shared" si="6"/>
        <v>3764.0801999999994</v>
      </c>
      <c r="S84" s="3">
        <f t="shared" si="7"/>
        <v>190.87999579956215</v>
      </c>
    </row>
    <row r="85" spans="1:19" x14ac:dyDescent="0.25">
      <c r="A85">
        <v>93.75</v>
      </c>
      <c r="B85">
        <v>2831.4639999999999</v>
      </c>
      <c r="C85">
        <v>2648.0210000000002</v>
      </c>
      <c r="D85">
        <v>2677.6709999999998</v>
      </c>
      <c r="E85">
        <v>4436.8490000000002</v>
      </c>
      <c r="F85">
        <v>3643.0160000000001</v>
      </c>
      <c r="H85" s="2">
        <f t="shared" si="4"/>
        <v>3247.4041999999999</v>
      </c>
      <c r="I85" s="2">
        <f t="shared" si="5"/>
        <v>348.43579165656888</v>
      </c>
      <c r="K85">
        <v>93.75</v>
      </c>
      <c r="L85">
        <v>3291.491</v>
      </c>
      <c r="M85">
        <v>3832.1559999999999</v>
      </c>
      <c r="N85">
        <v>3609.9029999999998</v>
      </c>
      <c r="O85">
        <v>4266.0379999999996</v>
      </c>
      <c r="P85">
        <v>4264.1629999999996</v>
      </c>
      <c r="R85" s="3">
        <f t="shared" si="6"/>
        <v>3852.7501999999999</v>
      </c>
      <c r="S85" s="3">
        <f t="shared" si="7"/>
        <v>189.0076811717978</v>
      </c>
    </row>
    <row r="86" spans="1:19" x14ac:dyDescent="0.25">
      <c r="A86">
        <v>95</v>
      </c>
      <c r="B86">
        <v>2929.1190000000001</v>
      </c>
      <c r="C86">
        <v>2782.895</v>
      </c>
      <c r="D86">
        <v>2677.8690000000001</v>
      </c>
      <c r="E86">
        <v>4212.2330000000002</v>
      </c>
      <c r="F86">
        <v>3580.9389999999999</v>
      </c>
      <c r="H86" s="2">
        <f t="shared" si="4"/>
        <v>3236.6109999999999</v>
      </c>
      <c r="I86" s="2">
        <f t="shared" si="5"/>
        <v>290.08638538821486</v>
      </c>
      <c r="K86">
        <v>95</v>
      </c>
      <c r="L86">
        <v>3253.25</v>
      </c>
      <c r="M86">
        <v>3561.7130000000002</v>
      </c>
      <c r="N86">
        <v>3585.7249999999999</v>
      </c>
      <c r="O86">
        <v>4081.0189999999998</v>
      </c>
      <c r="P86">
        <v>4120.4690000000001</v>
      </c>
      <c r="R86" s="3">
        <f t="shared" si="6"/>
        <v>3720.4351999999999</v>
      </c>
      <c r="S86" s="3">
        <f t="shared" si="7"/>
        <v>166.07969530029851</v>
      </c>
    </row>
    <row r="87" spans="1:19" x14ac:dyDescent="0.25">
      <c r="A87">
        <v>96.25</v>
      </c>
      <c r="B87">
        <v>3028.7829999999999</v>
      </c>
      <c r="C87">
        <v>2911.2689999999998</v>
      </c>
      <c r="D87">
        <v>2724.7150000000001</v>
      </c>
      <c r="E87">
        <v>4003.54</v>
      </c>
      <c r="F87">
        <v>3589.1860000000001</v>
      </c>
      <c r="H87" s="2">
        <f t="shared" si="4"/>
        <v>3251.4985999999999</v>
      </c>
      <c r="I87" s="2">
        <f t="shared" si="5"/>
        <v>236.90276780371298</v>
      </c>
      <c r="K87">
        <v>96.25</v>
      </c>
      <c r="L87">
        <v>3234.7069999999999</v>
      </c>
      <c r="M87">
        <v>3364.74</v>
      </c>
      <c r="N87">
        <v>3546.4360000000001</v>
      </c>
      <c r="O87">
        <v>3903.7530000000002</v>
      </c>
      <c r="P87">
        <v>3969.1750000000002</v>
      </c>
      <c r="R87" s="3">
        <f t="shared" si="6"/>
        <v>3603.7622000000001</v>
      </c>
      <c r="S87" s="3">
        <f t="shared" si="7"/>
        <v>144.93802821116347</v>
      </c>
    </row>
    <row r="88" spans="1:19" x14ac:dyDescent="0.25">
      <c r="A88">
        <v>97.5</v>
      </c>
      <c r="B88">
        <v>3190.277</v>
      </c>
      <c r="C88">
        <v>3068.52</v>
      </c>
      <c r="D88">
        <v>2807.1840000000002</v>
      </c>
      <c r="E88">
        <v>4013.9409999999998</v>
      </c>
      <c r="F88">
        <v>3707.6439999999998</v>
      </c>
      <c r="H88" s="2">
        <f t="shared" si="4"/>
        <v>3357.5131999999999</v>
      </c>
      <c r="I88" s="2">
        <f t="shared" si="5"/>
        <v>219.98139447812432</v>
      </c>
      <c r="K88">
        <v>97.5</v>
      </c>
      <c r="L88">
        <v>3339.0859999999998</v>
      </c>
      <c r="M88">
        <v>3377.6419999999998</v>
      </c>
      <c r="N88">
        <v>3581.4780000000001</v>
      </c>
      <c r="O88">
        <v>3928.105</v>
      </c>
      <c r="P88">
        <v>4025.2579999999998</v>
      </c>
      <c r="R88" s="3">
        <f t="shared" si="6"/>
        <v>3650.313799999999</v>
      </c>
      <c r="S88" s="3">
        <f t="shared" si="7"/>
        <v>140.30362170678276</v>
      </c>
    </row>
    <row r="89" spans="1:19" x14ac:dyDescent="0.25">
      <c r="A89">
        <v>98.75</v>
      </c>
      <c r="B89">
        <v>3398.2040000000002</v>
      </c>
      <c r="C89">
        <v>3225.71</v>
      </c>
      <c r="D89">
        <v>2963.9380000000001</v>
      </c>
      <c r="E89">
        <v>4168.2960000000003</v>
      </c>
      <c r="F89">
        <v>3869.1469999999999</v>
      </c>
      <c r="H89" s="2">
        <f t="shared" si="4"/>
        <v>3525.0590000000002</v>
      </c>
      <c r="I89" s="2">
        <f t="shared" si="5"/>
        <v>218.25549035247445</v>
      </c>
      <c r="K89">
        <v>98.75</v>
      </c>
      <c r="L89">
        <v>3549.92</v>
      </c>
      <c r="M89">
        <v>3537.1379999999999</v>
      </c>
      <c r="N89">
        <v>3774.8209999999999</v>
      </c>
      <c r="O89">
        <v>4088.6819999999998</v>
      </c>
      <c r="P89">
        <v>4209.4960000000001</v>
      </c>
      <c r="R89" s="3">
        <f t="shared" si="6"/>
        <v>3832.0114000000003</v>
      </c>
      <c r="S89" s="3">
        <f t="shared" si="7"/>
        <v>137.50837101340409</v>
      </c>
    </row>
    <row r="90" spans="1:19" x14ac:dyDescent="0.25">
      <c r="A90">
        <v>100</v>
      </c>
      <c r="B90">
        <v>3498.12</v>
      </c>
      <c r="C90">
        <v>3296.1590000000001</v>
      </c>
      <c r="D90">
        <v>3043.9110000000001</v>
      </c>
      <c r="E90">
        <v>4231.3649999999998</v>
      </c>
      <c r="F90">
        <v>3965.1060000000002</v>
      </c>
      <c r="H90" s="2">
        <f t="shared" si="4"/>
        <v>3606.9322000000002</v>
      </c>
      <c r="I90" s="2">
        <f t="shared" si="5"/>
        <v>217.21161813756666</v>
      </c>
      <c r="K90">
        <v>100</v>
      </c>
      <c r="L90">
        <v>3648.4189999999999</v>
      </c>
      <c r="M90">
        <v>3674.114</v>
      </c>
      <c r="N90">
        <v>3898.2139999999999</v>
      </c>
      <c r="O90">
        <v>4169.1790000000001</v>
      </c>
      <c r="P90">
        <v>4276.2650000000003</v>
      </c>
      <c r="R90" s="3">
        <f t="shared" si="6"/>
        <v>3933.2381999999998</v>
      </c>
      <c r="S90" s="3">
        <f t="shared" si="7"/>
        <v>127.04909856484625</v>
      </c>
    </row>
    <row r="91" spans="1:19" x14ac:dyDescent="0.25">
      <c r="A91">
        <v>101.25</v>
      </c>
      <c r="B91">
        <v>3401.8780000000002</v>
      </c>
      <c r="C91">
        <v>3187.1689999999999</v>
      </c>
      <c r="D91">
        <v>2934.4319999999998</v>
      </c>
      <c r="E91">
        <v>4083.7159999999999</v>
      </c>
      <c r="F91">
        <v>3873.6709999999998</v>
      </c>
      <c r="H91" s="2">
        <f t="shared" si="4"/>
        <v>3496.1731999999997</v>
      </c>
      <c r="I91" s="2">
        <f t="shared" si="5"/>
        <v>213.03045404059256</v>
      </c>
      <c r="K91">
        <v>101.25</v>
      </c>
      <c r="L91">
        <v>3506.241</v>
      </c>
      <c r="M91">
        <v>3604.8159999999998</v>
      </c>
      <c r="N91">
        <v>3827.2950000000001</v>
      </c>
      <c r="O91">
        <v>4057.3130000000001</v>
      </c>
      <c r="P91">
        <v>4098.5919999999996</v>
      </c>
      <c r="R91" s="3">
        <f t="shared" si="6"/>
        <v>3818.8513999999996</v>
      </c>
      <c r="S91" s="3">
        <f t="shared" si="7"/>
        <v>118.05220179759459</v>
      </c>
    </row>
    <row r="92" spans="1:19" x14ac:dyDescent="0.25">
      <c r="A92">
        <v>102.5</v>
      </c>
      <c r="B92">
        <v>3144.8510000000001</v>
      </c>
      <c r="C92">
        <v>2945.4810000000002</v>
      </c>
      <c r="D92">
        <v>2714.9870000000001</v>
      </c>
      <c r="E92">
        <v>3797.7489999999998</v>
      </c>
      <c r="F92">
        <v>3596.4369999999999</v>
      </c>
      <c r="H92" s="2">
        <f t="shared" si="4"/>
        <v>3239.9009999999998</v>
      </c>
      <c r="I92" s="2">
        <f t="shared" si="5"/>
        <v>201.19202974969048</v>
      </c>
      <c r="K92">
        <v>102.5</v>
      </c>
      <c r="L92">
        <v>3182.8029999999999</v>
      </c>
      <c r="M92">
        <v>3398.0030000000002</v>
      </c>
      <c r="N92">
        <v>3556.3380000000002</v>
      </c>
      <c r="O92">
        <v>3787.5590000000002</v>
      </c>
      <c r="P92">
        <v>3755.6350000000002</v>
      </c>
      <c r="R92" s="3">
        <f t="shared" si="6"/>
        <v>3536.0676000000008</v>
      </c>
      <c r="S92" s="3">
        <f t="shared" si="7"/>
        <v>113.07660410518177</v>
      </c>
    </row>
    <row r="93" spans="1:19" x14ac:dyDescent="0.25">
      <c r="A93">
        <v>103.75</v>
      </c>
      <c r="B93">
        <v>2775.752</v>
      </c>
      <c r="C93">
        <v>2642.9920000000002</v>
      </c>
      <c r="D93">
        <v>2401.5520000000001</v>
      </c>
      <c r="E93">
        <v>3395.607</v>
      </c>
      <c r="F93">
        <v>3168.8989999999999</v>
      </c>
      <c r="H93" s="2">
        <f t="shared" si="4"/>
        <v>2876.9603999999999</v>
      </c>
      <c r="I93" s="2">
        <f t="shared" si="5"/>
        <v>179.61346568133416</v>
      </c>
      <c r="K93">
        <v>103.75</v>
      </c>
      <c r="L93">
        <v>2786.857</v>
      </c>
      <c r="M93">
        <v>3038.0680000000002</v>
      </c>
      <c r="N93">
        <v>3116.2269999999999</v>
      </c>
      <c r="O93">
        <v>3391.39</v>
      </c>
      <c r="P93">
        <v>3304.029</v>
      </c>
      <c r="R93" s="3">
        <f t="shared" si="6"/>
        <v>3127.3141999999998</v>
      </c>
      <c r="S93" s="3">
        <f t="shared" si="7"/>
        <v>106.05731090660367</v>
      </c>
    </row>
    <row r="94" spans="1:19" x14ac:dyDescent="0.25">
      <c r="A94">
        <v>105</v>
      </c>
      <c r="B94">
        <v>2442.5949999999998</v>
      </c>
      <c r="C94">
        <v>2324.7550000000001</v>
      </c>
      <c r="D94">
        <v>2083.029</v>
      </c>
      <c r="E94">
        <v>3007.7550000000001</v>
      </c>
      <c r="F94">
        <v>2752.8040000000001</v>
      </c>
      <c r="H94" s="2">
        <f t="shared" si="4"/>
        <v>2522.1876000000002</v>
      </c>
      <c r="I94" s="2">
        <f t="shared" si="5"/>
        <v>162.34754592589164</v>
      </c>
      <c r="K94">
        <v>105</v>
      </c>
      <c r="L94">
        <v>2473.491</v>
      </c>
      <c r="M94">
        <v>2640.4029999999998</v>
      </c>
      <c r="N94">
        <v>2723.741</v>
      </c>
      <c r="O94">
        <v>2980.5909999999999</v>
      </c>
      <c r="P94">
        <v>2925.7640000000001</v>
      </c>
      <c r="R94" s="3">
        <f t="shared" si="6"/>
        <v>2748.7980000000002</v>
      </c>
      <c r="S94" s="3">
        <f t="shared" si="7"/>
        <v>93.063481970104704</v>
      </c>
    </row>
    <row r="95" spans="1:19" x14ac:dyDescent="0.25">
      <c r="A95">
        <v>106.25</v>
      </c>
      <c r="B95">
        <v>2248.5239999999999</v>
      </c>
      <c r="C95">
        <v>2083.1529999999998</v>
      </c>
      <c r="D95">
        <v>1910.211</v>
      </c>
      <c r="E95">
        <v>2787.9490000000001</v>
      </c>
      <c r="F95">
        <v>2513.6970000000001</v>
      </c>
      <c r="H95" s="2">
        <f t="shared" si="4"/>
        <v>2308.7067999999999</v>
      </c>
      <c r="I95" s="2">
        <f t="shared" si="5"/>
        <v>155.72242245174601</v>
      </c>
      <c r="K95">
        <v>106.25</v>
      </c>
      <c r="L95">
        <v>2289.5970000000002</v>
      </c>
      <c r="M95">
        <v>2405.13</v>
      </c>
      <c r="N95">
        <v>2532.6570000000002</v>
      </c>
      <c r="O95">
        <v>2720.9119999999998</v>
      </c>
      <c r="P95">
        <v>2716.634</v>
      </c>
      <c r="R95" s="3">
        <f t="shared" si="6"/>
        <v>2532.9859999999999</v>
      </c>
      <c r="S95" s="3">
        <f t="shared" si="7"/>
        <v>85.037709187747936</v>
      </c>
    </row>
    <row r="96" spans="1:19" x14ac:dyDescent="0.25">
      <c r="A96">
        <v>107.5</v>
      </c>
      <c r="B96">
        <v>2085.0030000000002</v>
      </c>
      <c r="C96">
        <v>1924.5920000000001</v>
      </c>
      <c r="D96">
        <v>1774.4639999999999</v>
      </c>
      <c r="E96">
        <v>2582.732</v>
      </c>
      <c r="F96">
        <v>2353.1950000000002</v>
      </c>
      <c r="H96" s="2">
        <f t="shared" si="4"/>
        <v>2143.9972000000002</v>
      </c>
      <c r="I96" s="2">
        <f t="shared" si="5"/>
        <v>145.67527030673349</v>
      </c>
      <c r="K96">
        <v>107.5</v>
      </c>
      <c r="L96">
        <v>2111.8519999999999</v>
      </c>
      <c r="M96">
        <v>2244.8510000000001</v>
      </c>
      <c r="N96">
        <v>2349.36</v>
      </c>
      <c r="O96">
        <v>2534.8879999999999</v>
      </c>
      <c r="P96">
        <v>2515.424</v>
      </c>
      <c r="R96" s="3">
        <f t="shared" si="6"/>
        <v>2351.2750000000001</v>
      </c>
      <c r="S96" s="3">
        <f t="shared" si="7"/>
        <v>80.408872613661231</v>
      </c>
    </row>
  </sheetData>
  <mergeCells count="2">
    <mergeCell ref="A1:F1"/>
    <mergeCell ref="K1:P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BRIGHT</vt:lpstr>
      <vt:lpstr>BRIGHT!OCT_RAW___\CO12_\_dark_profiles_CO12_DARK</vt:lpstr>
      <vt:lpstr>BRIGHT!OCT_RAW___\CO12_\_light_profiles_CO12_LIGHT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2015-06-05T18:17:20Z</dcterms:created>
  <dcterms:modified xsi:type="dcterms:W3CDTF">2019-11-17T03:45:34Z</dcterms:modified>
</cp:coreProperties>
</file>