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508\"/>
    </mc:Choice>
  </mc:AlternateContent>
  <xr:revisionPtr revIDLastSave="0" documentId="13_ncr:1_{BBE37009-CEFA-4E09-9404-4BA973C6167C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9\_dark_profiles_AD09_DARK" localSheetId="0">BRIGHT!$A$2:$F$96</definedName>
    <definedName name="OCT_RAW___\AD09\_fovea_dark_profiles_AD09_DARK" localSheetId="0">BRIGHT!#REF!</definedName>
    <definedName name="OCT_RAW___\AD09\_fovea_light_profiles_AD09_LIGHT" localSheetId="0">BRIGHT!#REF!</definedName>
    <definedName name="OCT_RAW___\AD09\_light_profiles_AD09_LIGHT" localSheetId="0">BRIGHT!$K$2:$O$96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CDC41-3699-461E-8E24-9D6E3BEAA435}" name="[[[OCT RAW]]]\AD09\_dark_profiles_AD09_DARK" type="6" refreshedVersion="6" background="1" saveData="1">
    <textPr codePage="437" sourceFile="E:\[Documents]\[[[OCT RAW]]]\AD09\_dark_profiles_AD09_DARK.txt" space="1" consecutive="1">
      <textFields count="6">
        <textField/>
        <textField/>
        <textField/>
        <textField/>
        <textField/>
        <textField/>
      </textFields>
    </textPr>
  </connection>
  <connection id="2" xr16:uid="{48AE87CB-1FB0-46B9-A8FF-72053CD52439}" name="[[[OCT RAW]]]\AD09\_light_profiles_AD09_LIGHT" type="6" refreshedVersion="6" background="1" saveData="1">
    <textPr codePage="437" sourceFile="E:\[Documents]\[[[OCT RAW]]]\AD09\_light_profiles_AD09_LIGHT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<sst xmlns="http://schemas.openxmlformats.org/spreadsheetml/2006/main" count="106" uniqueCount="9">
  <si>
    <t>angle</t>
  </si>
  <si>
    <t>whole</t>
  </si>
  <si>
    <t>RPEtoOLM</t>
  </si>
  <si>
    <t>RNFL</t>
  </si>
  <si>
    <t>DARK 500 microns to 2750 microns</t>
  </si>
  <si>
    <t>LIGHT 500 microns to 2750 microns</t>
  </si>
  <si>
    <t>NA</t>
  </si>
  <si>
    <t>AD508_DARK</t>
  </si>
  <si>
    <t>AD508_LIGHT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</si>
</sst>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526.86320000000001</c:v>
                </c:pt>
                <c:pt idx="1">
                  <c:v>643.76260000000002</c:v>
                </c:pt>
                <c:pt idx="2">
                  <c:v>1168.4216000000001</c:v>
                </c:pt>
                <c:pt idx="3">
                  <c:v>1775.8932</c:v>
                </c:pt>
                <c:pt idx="4">
                  <c:v>2311.2669999999998</c:v>
                </c:pt>
                <c:pt idx="5">
                  <c:v>2721.1262000000002</c:v>
                </c:pt>
                <c:pt idx="6">
                  <c:v>2967.4946</c:v>
                </c:pt>
                <c:pt idx="7">
                  <c:v>3075.7692000000002</c:v>
                </c:pt>
                <c:pt idx="8">
                  <c:v>3088.0949999999998</c:v>
                </c:pt>
                <c:pt idx="9">
                  <c:v>3013.4209999999998</c:v>
                </c:pt>
                <c:pt idx="10">
                  <c:v>2840.2147999999997</c:v>
                </c:pt>
                <c:pt idx="11">
                  <c:v>2580.1099999999997</c:v>
                </c:pt>
                <c:pt idx="12">
                  <c:v>2353.0375999999997</c:v>
                </c:pt>
                <c:pt idx="13">
                  <c:v>2227.2366000000002</c:v>
                </c:pt>
                <c:pt idx="14">
                  <c:v>2173.6022000000003</c:v>
                </c:pt>
                <c:pt idx="15">
                  <c:v>2155.7614000000003</c:v>
                </c:pt>
                <c:pt idx="16">
                  <c:v>2160.3056000000001</c:v>
                </c:pt>
                <c:pt idx="17">
                  <c:v>2173.2902000000004</c:v>
                </c:pt>
                <c:pt idx="18">
                  <c:v>2188.6632</c:v>
                </c:pt>
                <c:pt idx="19">
                  <c:v>2195.6754000000001</c:v>
                </c:pt>
                <c:pt idx="20">
                  <c:v>2191.52</c:v>
                </c:pt>
                <c:pt idx="21">
                  <c:v>2188.8512000000001</c:v>
                </c:pt>
                <c:pt idx="22">
                  <c:v>2199.6761999999999</c:v>
                </c:pt>
                <c:pt idx="23">
                  <c:v>2217.8231999999998</c:v>
                </c:pt>
                <c:pt idx="24">
                  <c:v>2237.1570000000002</c:v>
                </c:pt>
                <c:pt idx="25">
                  <c:v>2253.5626000000002</c:v>
                </c:pt>
                <c:pt idx="26">
                  <c:v>2270.3058000000001</c:v>
                </c:pt>
                <c:pt idx="27">
                  <c:v>2291.5965999999999</c:v>
                </c:pt>
                <c:pt idx="28">
                  <c:v>2313.6346000000003</c:v>
                </c:pt>
                <c:pt idx="29">
                  <c:v>2319.6786000000002</c:v>
                </c:pt>
                <c:pt idx="30">
                  <c:v>2305.3527999999997</c:v>
                </c:pt>
                <c:pt idx="31">
                  <c:v>2262.8072000000002</c:v>
                </c:pt>
                <c:pt idx="32">
                  <c:v>2169.1256000000003</c:v>
                </c:pt>
                <c:pt idx="33">
                  <c:v>2043.3936000000001</c:v>
                </c:pt>
                <c:pt idx="34">
                  <c:v>1918.8715999999999</c:v>
                </c:pt>
                <c:pt idx="35">
                  <c:v>1836.8559999999998</c:v>
                </c:pt>
                <c:pt idx="36">
                  <c:v>1800.3607999999999</c:v>
                </c:pt>
                <c:pt idx="37">
                  <c:v>1793.6</c:v>
                </c:pt>
                <c:pt idx="38">
                  <c:v>1808.8774000000001</c:v>
                </c:pt>
                <c:pt idx="39">
                  <c:v>1848.7576000000001</c:v>
                </c:pt>
                <c:pt idx="40">
                  <c:v>1908.4054000000001</c:v>
                </c:pt>
                <c:pt idx="41">
                  <c:v>1980.893</c:v>
                </c:pt>
                <c:pt idx="42">
                  <c:v>2049.9353999999998</c:v>
                </c:pt>
                <c:pt idx="43">
                  <c:v>2124.4461999999999</c:v>
                </c:pt>
                <c:pt idx="44">
                  <c:v>2192.6212</c:v>
                </c:pt>
                <c:pt idx="45">
                  <c:v>2234.8101999999999</c:v>
                </c:pt>
                <c:pt idx="46">
                  <c:v>2242.4566</c:v>
                </c:pt>
                <c:pt idx="47">
                  <c:v>2206.5162000000005</c:v>
                </c:pt>
                <c:pt idx="48">
                  <c:v>2123.0293999999999</c:v>
                </c:pt>
                <c:pt idx="49">
                  <c:v>2015.8150000000001</c:v>
                </c:pt>
                <c:pt idx="50">
                  <c:v>1901.0338000000004</c:v>
                </c:pt>
                <c:pt idx="51">
                  <c:v>1809.4846000000002</c:v>
                </c:pt>
                <c:pt idx="52">
                  <c:v>1728.6754000000001</c:v>
                </c:pt>
                <c:pt idx="53">
                  <c:v>1658.0737999999997</c:v>
                </c:pt>
                <c:pt idx="54">
                  <c:v>1604.857</c:v>
                </c:pt>
                <c:pt idx="55">
                  <c:v>1560.3158000000001</c:v>
                </c:pt>
                <c:pt idx="56">
                  <c:v>1522.3646000000001</c:v>
                </c:pt>
                <c:pt idx="57">
                  <c:v>1485.6191999999999</c:v>
                </c:pt>
                <c:pt idx="58">
                  <c:v>1451.3709999999999</c:v>
                </c:pt>
                <c:pt idx="59">
                  <c:v>1435.1676000000002</c:v>
                </c:pt>
                <c:pt idx="60">
                  <c:v>1429.2422000000001</c:v>
                </c:pt>
                <c:pt idx="61">
                  <c:v>1440.2804000000001</c:v>
                </c:pt>
                <c:pt idx="62">
                  <c:v>1488.8186000000001</c:v>
                </c:pt>
                <c:pt idx="63">
                  <c:v>1629.3579999999999</c:v>
                </c:pt>
                <c:pt idx="64">
                  <c:v>1805.9349999999999</c:v>
                </c:pt>
                <c:pt idx="65">
                  <c:v>1882.0769999999998</c:v>
                </c:pt>
                <c:pt idx="66">
                  <c:v>1843.6414</c:v>
                </c:pt>
                <c:pt idx="67">
                  <c:v>1786.2578000000001</c:v>
                </c:pt>
                <c:pt idx="68">
                  <c:v>1946.7408</c:v>
                </c:pt>
                <c:pt idx="69">
                  <c:v>2516.3339999999998</c:v>
                </c:pt>
                <c:pt idx="70">
                  <c:v>3204.9479999999999</c:v>
                </c:pt>
                <c:pt idx="71">
                  <c:v>3688.2260000000001</c:v>
                </c:pt>
                <c:pt idx="72">
                  <c:v>3761.5057999999999</c:v>
                </c:pt>
                <c:pt idx="73">
                  <c:v>3434.6451999999999</c:v>
                </c:pt>
                <c:pt idx="74">
                  <c:v>2966.9144000000001</c:v>
                </c:pt>
                <c:pt idx="75">
                  <c:v>2705.3552</c:v>
                </c:pt>
                <c:pt idx="76">
                  <c:v>2756.6040000000003</c:v>
                </c:pt>
                <c:pt idx="77">
                  <c:v>2998.6426000000001</c:v>
                </c:pt>
                <c:pt idx="78">
                  <c:v>3303.1970000000001</c:v>
                </c:pt>
                <c:pt idx="79">
                  <c:v>3585.5538000000001</c:v>
                </c:pt>
                <c:pt idx="80">
                  <c:v>3819.1668</c:v>
                </c:pt>
                <c:pt idx="81">
                  <c:v>4052.8237999999997</c:v>
                </c:pt>
                <c:pt idx="82">
                  <c:v>4264.7276000000002</c:v>
                </c:pt>
                <c:pt idx="83">
                  <c:v>4336.6177999999991</c:v>
                </c:pt>
                <c:pt idx="84">
                  <c:v>4171.8557999999994</c:v>
                </c:pt>
                <c:pt idx="85">
                  <c:v>3846.7406000000001</c:v>
                </c:pt>
                <c:pt idx="86">
                  <c:v>3451.4101999999998</c:v>
                </c:pt>
                <c:pt idx="87">
                  <c:v>3083.0106000000001</c:v>
                </c:pt>
                <c:pt idx="88">
                  <c:v>2814.3184000000001</c:v>
                </c:pt>
                <c:pt idx="89">
                  <c:v>2604.4979999999996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579.00725</c:v>
                </c:pt>
                <c:pt idx="1">
                  <c:v>656.93100000000004</c:v>
                </c:pt>
                <c:pt idx="2">
                  <c:v>1063.6819999999998</c:v>
                </c:pt>
                <c:pt idx="3">
                  <c:v>1757.0857499999997</c:v>
                </c:pt>
                <c:pt idx="4">
                  <c:v>2305.8137499999998</c:v>
                </c:pt>
                <c:pt idx="5">
                  <c:v>2729.3665000000001</c:v>
                </c:pt>
                <c:pt idx="6">
                  <c:v>2945.4679999999998</c:v>
                </c:pt>
                <c:pt idx="7">
                  <c:v>3040.5550000000003</c:v>
                </c:pt>
                <c:pt idx="8">
                  <c:v>3048.7792500000005</c:v>
                </c:pt>
                <c:pt idx="9">
                  <c:v>2973.5765000000001</c:v>
                </c:pt>
                <c:pt idx="10">
                  <c:v>2801.7750000000001</c:v>
                </c:pt>
                <c:pt idx="11">
                  <c:v>2546.4722499999998</c:v>
                </c:pt>
                <c:pt idx="12">
                  <c:v>2321.2547500000001</c:v>
                </c:pt>
                <c:pt idx="13">
                  <c:v>2195.9097499999998</c:v>
                </c:pt>
                <c:pt idx="14">
                  <c:v>2142.2505000000001</c:v>
                </c:pt>
                <c:pt idx="15">
                  <c:v>2123.0572499999998</c:v>
                </c:pt>
                <c:pt idx="16">
                  <c:v>2124.8270000000002</c:v>
                </c:pt>
                <c:pt idx="17">
                  <c:v>2138.2374999999997</c:v>
                </c:pt>
                <c:pt idx="18">
                  <c:v>2145.26575</c:v>
                </c:pt>
                <c:pt idx="19">
                  <c:v>2141.8647499999997</c:v>
                </c:pt>
                <c:pt idx="20">
                  <c:v>2128.2682500000001</c:v>
                </c:pt>
                <c:pt idx="21">
                  <c:v>2120.02025</c:v>
                </c:pt>
                <c:pt idx="22">
                  <c:v>2136.7607499999999</c:v>
                </c:pt>
                <c:pt idx="23">
                  <c:v>2163.0955000000004</c:v>
                </c:pt>
                <c:pt idx="24">
                  <c:v>2194.8957500000001</c:v>
                </c:pt>
                <c:pt idx="25">
                  <c:v>2226.0047500000001</c:v>
                </c:pt>
                <c:pt idx="26">
                  <c:v>2246.4184999999998</c:v>
                </c:pt>
                <c:pt idx="27">
                  <c:v>2266.9742499999998</c:v>
                </c:pt>
                <c:pt idx="28">
                  <c:v>2292.9659999999994</c:v>
                </c:pt>
                <c:pt idx="29">
                  <c:v>2301.9845</c:v>
                </c:pt>
                <c:pt idx="30">
                  <c:v>2292.7314999999999</c:v>
                </c:pt>
                <c:pt idx="31">
                  <c:v>2251.5335</c:v>
                </c:pt>
                <c:pt idx="32">
                  <c:v>2156.5992500000002</c:v>
                </c:pt>
                <c:pt idx="33">
                  <c:v>2021.3407500000001</c:v>
                </c:pt>
                <c:pt idx="34">
                  <c:v>1881.1297500000001</c:v>
                </c:pt>
                <c:pt idx="35">
                  <c:v>1794.9500000000003</c:v>
                </c:pt>
                <c:pt idx="36">
                  <c:v>1759.0505000000001</c:v>
                </c:pt>
                <c:pt idx="37">
                  <c:v>1756.4479999999999</c:v>
                </c:pt>
                <c:pt idx="38">
                  <c:v>1776.0450000000001</c:v>
                </c:pt>
                <c:pt idx="39">
                  <c:v>1816.65825</c:v>
                </c:pt>
                <c:pt idx="40">
                  <c:v>1888.4412500000001</c:v>
                </c:pt>
                <c:pt idx="41">
                  <c:v>1964.3272499999998</c:v>
                </c:pt>
                <c:pt idx="42">
                  <c:v>2031.9852499999997</c:v>
                </c:pt>
                <c:pt idx="43">
                  <c:v>2098.7477499999995</c:v>
                </c:pt>
                <c:pt idx="44">
                  <c:v>2156.7797500000001</c:v>
                </c:pt>
                <c:pt idx="45">
                  <c:v>2200.2377499999998</c:v>
                </c:pt>
                <c:pt idx="46">
                  <c:v>2238.7645000000002</c:v>
                </c:pt>
                <c:pt idx="47">
                  <c:v>2235.1252500000001</c:v>
                </c:pt>
                <c:pt idx="48">
                  <c:v>2185.8674999999998</c:v>
                </c:pt>
                <c:pt idx="49">
                  <c:v>2094.3235</c:v>
                </c:pt>
                <c:pt idx="50">
                  <c:v>1983.7214999999999</c:v>
                </c:pt>
                <c:pt idx="51">
                  <c:v>1873.7549999999999</c:v>
                </c:pt>
                <c:pt idx="52">
                  <c:v>1776.9670000000001</c:v>
                </c:pt>
                <c:pt idx="53">
                  <c:v>1693.278</c:v>
                </c:pt>
                <c:pt idx="54">
                  <c:v>1615.2964999999999</c:v>
                </c:pt>
                <c:pt idx="55">
                  <c:v>1539.0182500000001</c:v>
                </c:pt>
                <c:pt idx="56">
                  <c:v>1471.3042499999999</c:v>
                </c:pt>
                <c:pt idx="57">
                  <c:v>1420.4947500000001</c:v>
                </c:pt>
                <c:pt idx="58">
                  <c:v>1385.2057500000001</c:v>
                </c:pt>
                <c:pt idx="59">
                  <c:v>1372.4692500000001</c:v>
                </c:pt>
                <c:pt idx="60">
                  <c:v>1352.8094999999998</c:v>
                </c:pt>
                <c:pt idx="61">
                  <c:v>1361.56375</c:v>
                </c:pt>
                <c:pt idx="62">
                  <c:v>1436.1502500000001</c:v>
                </c:pt>
                <c:pt idx="63">
                  <c:v>1587.6510000000001</c:v>
                </c:pt>
                <c:pt idx="64">
                  <c:v>1766.3712500000001</c:v>
                </c:pt>
                <c:pt idx="65">
                  <c:v>1832.1857500000001</c:v>
                </c:pt>
                <c:pt idx="66">
                  <c:v>1785.3415</c:v>
                </c:pt>
                <c:pt idx="67">
                  <c:v>1704.6102500000002</c:v>
                </c:pt>
                <c:pt idx="68">
                  <c:v>1842.0135</c:v>
                </c:pt>
                <c:pt idx="69">
                  <c:v>2443.8744999999999</c:v>
                </c:pt>
                <c:pt idx="70">
                  <c:v>3215.7934999999998</c:v>
                </c:pt>
                <c:pt idx="71">
                  <c:v>3783.9079999999999</c:v>
                </c:pt>
                <c:pt idx="72">
                  <c:v>3877.1525000000001</c:v>
                </c:pt>
                <c:pt idx="73">
                  <c:v>3518.9679999999998</c:v>
                </c:pt>
                <c:pt idx="74">
                  <c:v>2966.6315</c:v>
                </c:pt>
                <c:pt idx="75">
                  <c:v>2658.28125</c:v>
                </c:pt>
                <c:pt idx="76">
                  <c:v>2687.0072500000001</c:v>
                </c:pt>
                <c:pt idx="77">
                  <c:v>2896.6347500000002</c:v>
                </c:pt>
                <c:pt idx="78">
                  <c:v>3179.9249999999997</c:v>
                </c:pt>
                <c:pt idx="79">
                  <c:v>3450.8029999999999</c:v>
                </c:pt>
                <c:pt idx="80">
                  <c:v>3680.7407499999999</c:v>
                </c:pt>
                <c:pt idx="81">
                  <c:v>3920.9614999999999</c:v>
                </c:pt>
                <c:pt idx="82">
                  <c:v>4153.5997500000003</c:v>
                </c:pt>
                <c:pt idx="83">
                  <c:v>4240.4260000000004</c:v>
                </c:pt>
                <c:pt idx="84">
                  <c:v>4091.4454999999998</c:v>
                </c:pt>
                <c:pt idx="85">
                  <c:v>3779.9895000000001</c:v>
                </c:pt>
                <c:pt idx="86">
                  <c:v>3390.6102499999997</c:v>
                </c:pt>
                <c:pt idx="87">
                  <c:v>3027.99</c:v>
                </c:pt>
                <c:pt idx="88">
                  <c:v>2771.7220000000002</c:v>
                </c:pt>
                <c:pt idx="89">
                  <c:v>2562.85725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9\_dark_profiles_AD09_DARK" connectionId="1" xr16:uid="{23D55FE4-F1F7-4BB7-9867-EE5264F32C6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9\_light_profiles_AD09_LIGHT" connectionId="2" xr16:uid="{3F200C72-1034-4976-A7F5-80B143C9B9C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2" sqref="K2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7</v>
      </c>
      <c r="B2">
        <v>1</v>
      </c>
      <c r="C2">
        <v>2</v>
      </c>
      <c r="D2">
        <v>3</v>
      </c>
      <c r="E2">
        <v>4</v>
      </c>
      <c r="F2">
        <v>5</v>
      </c>
      <c r="K2" t="s">
        <v>8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-7.1870000000000003</v>
      </c>
      <c r="C3">
        <v>-2.1850000000000001</v>
      </c>
      <c r="D3">
        <v>-4.0430000000000001</v>
      </c>
      <c r="E3">
        <v>2.7E-2</v>
      </c>
      <c r="F3">
        <v>-1.6060000000000001</v>
      </c>
      <c r="K3" t="s">
        <v>0</v>
      </c>
      <c r="L3">
        <v>-3.8530000000000002</v>
      </c>
      <c r="M3">
        <v>-3.101</v>
      </c>
      <c r="N3" t="s">
        <v>6</v>
      </c>
      <c r="O3">
        <v>-1.216</v>
      </c>
      <c r="P3">
        <v>-2.7440000000000002</v>
      </c>
    </row>
    <row r="4" spans="1:19" x14ac:dyDescent="0.25">
      <c r="A4" t="s">
        <v>1</v>
      </c>
      <c r="B4">
        <v>308.44499999999999</v>
      </c>
      <c r="C4">
        <v>308.45499999999998</v>
      </c>
      <c r="D4">
        <v>307.76499999999999</v>
      </c>
      <c r="E4">
        <v>307.78100000000001</v>
      </c>
      <c r="F4">
        <v>308.91199999999998</v>
      </c>
      <c r="H4" s="2">
        <f>AVERAGE(B4:F4)</f>
        <v>308.27159999999998</v>
      </c>
      <c r="I4" s="2">
        <f>STDEV(B4:F4)/SQRT(COUNT(B4:F4))</f>
        <v>0.2203573461448439</v>
      </c>
      <c r="K4" t="s">
        <v>1</v>
      </c>
      <c r="L4">
        <v>309.95800000000003</v>
      </c>
      <c r="M4">
        <v>307.81</v>
      </c>
      <c r="N4" t="s">
        <v>6</v>
      </c>
      <c r="O4">
        <v>307.06799999999998</v>
      </c>
      <c r="P4">
        <v>307.53699999999998</v>
      </c>
      <c r="R4" s="3">
        <f>AVERAGE(L4:P4)</f>
        <v>308.09325000000001</v>
      </c>
      <c r="S4" s="3">
        <f>STDEV(L4:P4)/SQRT(COUNT(L4:P4))</f>
        <v>0.64018713084535928</v>
      </c>
    </row>
    <row r="5" spans="1:19" x14ac:dyDescent="0.25">
      <c r="A5" t="s">
        <v>2</v>
      </c>
      <c r="B5">
        <v>66.406999999999996</v>
      </c>
      <c r="C5">
        <v>66.025999999999996</v>
      </c>
      <c r="D5">
        <v>65.828999999999994</v>
      </c>
      <c r="E5">
        <v>65.72</v>
      </c>
      <c r="F5">
        <v>65.948999999999998</v>
      </c>
      <c r="H5" s="2">
        <f t="shared" ref="H5:H68" si="0">AVERAGE(B5:F5)</f>
        <v>65.986199999999997</v>
      </c>
      <c r="I5" s="2">
        <f t="shared" ref="I5:I68" si="1">STDEV(B5:F5)/SQRT(COUNT(B5:F5))</f>
        <v>0.11739139661832113</v>
      </c>
      <c r="K5" t="s">
        <v>2</v>
      </c>
      <c r="L5">
        <v>66.114000000000004</v>
      </c>
      <c r="M5">
        <v>66.828999999999994</v>
      </c>
      <c r="N5" t="s">
        <v>6</v>
      </c>
      <c r="O5">
        <v>65.799000000000007</v>
      </c>
      <c r="P5">
        <v>65.956000000000003</v>
      </c>
      <c r="R5" s="3">
        <f t="shared" ref="R5:R68" si="2">AVERAGE(L5:P5)</f>
        <v>66.174499999999995</v>
      </c>
      <c r="S5" s="3">
        <f t="shared" ref="S5:S68" si="3">STDEV(L5:P5)/SQRT(COUNT(L5:P5))</f>
        <v>0.22744468191921316</v>
      </c>
    </row>
    <row r="6" spans="1:19" x14ac:dyDescent="0.25">
      <c r="A6" t="s">
        <v>3</v>
      </c>
      <c r="B6">
        <v>30.475999999999999</v>
      </c>
      <c r="C6">
        <v>31.108000000000001</v>
      </c>
      <c r="D6">
        <v>31.748000000000001</v>
      </c>
      <c r="E6">
        <v>31.329000000000001</v>
      </c>
      <c r="F6">
        <v>31.492999999999999</v>
      </c>
      <c r="H6" s="2">
        <f t="shared" si="0"/>
        <v>31.230799999999999</v>
      </c>
      <c r="I6" s="2">
        <f t="shared" si="1"/>
        <v>0.21571865936909604</v>
      </c>
      <c r="K6" t="s">
        <v>3</v>
      </c>
      <c r="L6">
        <v>30.887</v>
      </c>
      <c r="M6">
        <v>31.071000000000002</v>
      </c>
      <c r="N6" t="s">
        <v>6</v>
      </c>
      <c r="O6">
        <v>29.902999999999999</v>
      </c>
      <c r="P6">
        <v>30.649000000000001</v>
      </c>
      <c r="R6" s="3">
        <f t="shared" si="2"/>
        <v>30.627499999999998</v>
      </c>
      <c r="S6" s="3">
        <f t="shared" si="3"/>
        <v>0.2564818057224858</v>
      </c>
    </row>
    <row r="7" spans="1:19" x14ac:dyDescent="0.25">
      <c r="A7">
        <v>-3.75</v>
      </c>
      <c r="B7">
        <v>535.10500000000002</v>
      </c>
      <c r="C7">
        <v>451.38499999999999</v>
      </c>
      <c r="D7">
        <v>521.86099999999999</v>
      </c>
      <c r="E7">
        <v>525.80700000000002</v>
      </c>
      <c r="F7">
        <v>600.15800000000002</v>
      </c>
      <c r="H7" s="2">
        <f t="shared" si="0"/>
        <v>526.86320000000001</v>
      </c>
      <c r="I7" s="2">
        <f t="shared" si="1"/>
        <v>23.625358423524499</v>
      </c>
      <c r="K7">
        <v>-3.75</v>
      </c>
      <c r="L7">
        <v>639.53599999999994</v>
      </c>
      <c r="M7">
        <v>584.822</v>
      </c>
      <c r="N7" t="s">
        <v>6</v>
      </c>
      <c r="O7">
        <v>586.42499999999995</v>
      </c>
      <c r="P7">
        <v>505.24599999999998</v>
      </c>
      <c r="R7" s="3">
        <f t="shared" si="2"/>
        <v>579.00725</v>
      </c>
      <c r="S7" s="3">
        <f t="shared" si="3"/>
        <v>27.678640848661018</v>
      </c>
    </row>
    <row r="8" spans="1:19" x14ac:dyDescent="0.25">
      <c r="A8">
        <v>-2.5</v>
      </c>
      <c r="B8">
        <v>590.87400000000002</v>
      </c>
      <c r="C8">
        <v>607.46900000000005</v>
      </c>
      <c r="D8">
        <v>630.81100000000004</v>
      </c>
      <c r="E8">
        <v>705.88</v>
      </c>
      <c r="F8">
        <v>683.779</v>
      </c>
      <c r="H8" s="2">
        <f t="shared" si="0"/>
        <v>643.76260000000002</v>
      </c>
      <c r="I8" s="2">
        <f t="shared" si="1"/>
        <v>22.070406662769031</v>
      </c>
      <c r="K8">
        <v>-2.5</v>
      </c>
      <c r="L8">
        <v>728.85199999999998</v>
      </c>
      <c r="M8">
        <v>682.33399999999995</v>
      </c>
      <c r="N8" t="s">
        <v>6</v>
      </c>
      <c r="O8">
        <v>622.20000000000005</v>
      </c>
      <c r="P8">
        <v>594.33799999999997</v>
      </c>
      <c r="R8" s="3">
        <f t="shared" si="2"/>
        <v>656.93100000000004</v>
      </c>
      <c r="S8" s="3">
        <f t="shared" si="3"/>
        <v>30.196672912756458</v>
      </c>
    </row>
    <row r="9" spans="1:19" x14ac:dyDescent="0.25">
      <c r="A9">
        <v>-1.25</v>
      </c>
      <c r="B9">
        <v>1088.6880000000001</v>
      </c>
      <c r="C9">
        <v>1123.183</v>
      </c>
      <c r="D9">
        <v>1157.625</v>
      </c>
      <c r="E9">
        <v>1187.8720000000001</v>
      </c>
      <c r="F9">
        <v>1284.74</v>
      </c>
      <c r="H9" s="2">
        <f t="shared" si="0"/>
        <v>1168.4216000000001</v>
      </c>
      <c r="I9" s="2">
        <f t="shared" si="1"/>
        <v>33.487932684177437</v>
      </c>
      <c r="K9">
        <v>-1.25</v>
      </c>
      <c r="L9">
        <v>1120.6079999999999</v>
      </c>
      <c r="M9">
        <v>1069.1990000000001</v>
      </c>
      <c r="N9" t="s">
        <v>6</v>
      </c>
      <c r="O9">
        <v>1017.015</v>
      </c>
      <c r="P9">
        <v>1047.9059999999999</v>
      </c>
      <c r="R9" s="3">
        <f t="shared" si="2"/>
        <v>1063.6819999999998</v>
      </c>
      <c r="S9" s="3">
        <f t="shared" si="3"/>
        <v>21.790092989705201</v>
      </c>
    </row>
    <row r="10" spans="1:19" x14ac:dyDescent="0.25">
      <c r="A10">
        <v>0</v>
      </c>
      <c r="B10">
        <v>1692.4860000000001</v>
      </c>
      <c r="C10">
        <v>1706.172</v>
      </c>
      <c r="D10">
        <v>1704.848</v>
      </c>
      <c r="E10">
        <v>1771.606</v>
      </c>
      <c r="F10">
        <v>2004.354</v>
      </c>
      <c r="H10" s="2">
        <f t="shared" si="0"/>
        <v>1775.8932</v>
      </c>
      <c r="I10" s="2">
        <f t="shared" si="1"/>
        <v>58.769866600495185</v>
      </c>
      <c r="K10">
        <v>0</v>
      </c>
      <c r="L10">
        <v>1906.2729999999999</v>
      </c>
      <c r="M10">
        <v>1632.9259999999999</v>
      </c>
      <c r="N10" t="s">
        <v>6</v>
      </c>
      <c r="O10">
        <v>1806.62</v>
      </c>
      <c r="P10">
        <v>1682.5239999999999</v>
      </c>
      <c r="R10" s="3">
        <f t="shared" si="2"/>
        <v>1757.0857499999997</v>
      </c>
      <c r="S10" s="3">
        <f t="shared" si="3"/>
        <v>61.701955377409504</v>
      </c>
    </row>
    <row r="11" spans="1:19" x14ac:dyDescent="0.25">
      <c r="A11">
        <v>1.25</v>
      </c>
      <c r="B11">
        <v>2194.857</v>
      </c>
      <c r="C11">
        <v>2217.558</v>
      </c>
      <c r="D11">
        <v>2197.3150000000001</v>
      </c>
      <c r="E11">
        <v>2349.848</v>
      </c>
      <c r="F11">
        <v>2596.7570000000001</v>
      </c>
      <c r="H11" s="2">
        <f t="shared" si="0"/>
        <v>2311.2669999999998</v>
      </c>
      <c r="I11" s="2">
        <f t="shared" si="1"/>
        <v>76.912533681448835</v>
      </c>
      <c r="K11">
        <v>1.25</v>
      </c>
      <c r="L11">
        <v>2504.6979999999999</v>
      </c>
      <c r="M11">
        <v>2147.4070000000002</v>
      </c>
      <c r="N11" t="s">
        <v>6</v>
      </c>
      <c r="O11">
        <v>2353.5129999999999</v>
      </c>
      <c r="P11">
        <v>2217.6370000000002</v>
      </c>
      <c r="R11" s="3">
        <f t="shared" si="2"/>
        <v>2305.8137499999998</v>
      </c>
      <c r="S11" s="3">
        <f t="shared" si="3"/>
        <v>78.897613522605923</v>
      </c>
    </row>
    <row r="12" spans="1:19" x14ac:dyDescent="0.25">
      <c r="A12">
        <v>2.5</v>
      </c>
      <c r="B12">
        <v>2560.4050000000002</v>
      </c>
      <c r="C12">
        <v>2608.9969999999998</v>
      </c>
      <c r="D12">
        <v>2597.654</v>
      </c>
      <c r="E12">
        <v>2772.6590000000001</v>
      </c>
      <c r="F12">
        <v>3065.9160000000002</v>
      </c>
      <c r="H12" s="2">
        <f t="shared" si="0"/>
        <v>2721.1262000000002</v>
      </c>
      <c r="I12" s="2">
        <f t="shared" si="1"/>
        <v>93.590940121039523</v>
      </c>
      <c r="K12">
        <v>2.5</v>
      </c>
      <c r="L12">
        <v>2970.3449999999998</v>
      </c>
      <c r="M12">
        <v>2528.1179999999999</v>
      </c>
      <c r="N12" t="s">
        <v>6</v>
      </c>
      <c r="O12">
        <v>2788.4749999999999</v>
      </c>
      <c r="P12">
        <v>2630.5279999999998</v>
      </c>
      <c r="R12" s="3">
        <f t="shared" si="2"/>
        <v>2729.3665000000001</v>
      </c>
      <c r="S12" s="3">
        <f t="shared" si="3"/>
        <v>96.537756028837393</v>
      </c>
    </row>
    <row r="13" spans="1:19" x14ac:dyDescent="0.25">
      <c r="A13">
        <v>3.75</v>
      </c>
      <c r="B13">
        <v>2785.3380000000002</v>
      </c>
      <c r="C13">
        <v>2851.7249999999999</v>
      </c>
      <c r="D13">
        <v>2881.4369999999999</v>
      </c>
      <c r="E13">
        <v>2999.931</v>
      </c>
      <c r="F13">
        <v>3319.0419999999999</v>
      </c>
      <c r="H13" s="2">
        <f t="shared" si="0"/>
        <v>2967.4946</v>
      </c>
      <c r="I13" s="2">
        <f t="shared" si="1"/>
        <v>94.50588135592406</v>
      </c>
      <c r="K13">
        <v>3.75</v>
      </c>
      <c r="L13">
        <v>3169.806</v>
      </c>
      <c r="M13">
        <v>2731.4760000000001</v>
      </c>
      <c r="N13" t="s">
        <v>6</v>
      </c>
      <c r="O13">
        <v>3048.4690000000001</v>
      </c>
      <c r="P13">
        <v>2832.1210000000001</v>
      </c>
      <c r="R13" s="3">
        <f t="shared" si="2"/>
        <v>2945.4679999999998</v>
      </c>
      <c r="S13" s="3">
        <f t="shared" si="3"/>
        <v>99.823537103397257</v>
      </c>
    </row>
    <row r="14" spans="1:19" x14ac:dyDescent="0.25">
      <c r="A14">
        <v>5</v>
      </c>
      <c r="B14">
        <v>2900.288</v>
      </c>
      <c r="C14">
        <v>2935.2890000000002</v>
      </c>
      <c r="D14">
        <v>3003.6309999999999</v>
      </c>
      <c r="E14">
        <v>3117.0839999999998</v>
      </c>
      <c r="F14">
        <v>3422.5540000000001</v>
      </c>
      <c r="H14" s="2">
        <f t="shared" si="0"/>
        <v>3075.7692000000002</v>
      </c>
      <c r="I14" s="2">
        <f t="shared" si="1"/>
        <v>94.259977788773114</v>
      </c>
      <c r="K14">
        <v>5</v>
      </c>
      <c r="L14">
        <v>3267.9279999999999</v>
      </c>
      <c r="M14">
        <v>2812.8760000000002</v>
      </c>
      <c r="N14" t="s">
        <v>6</v>
      </c>
      <c r="O14">
        <v>3150.0549999999998</v>
      </c>
      <c r="P14">
        <v>2931.3609999999999</v>
      </c>
      <c r="R14" s="3">
        <f t="shared" si="2"/>
        <v>3040.5550000000003</v>
      </c>
      <c r="S14" s="3">
        <f t="shared" si="3"/>
        <v>103.05734156526641</v>
      </c>
    </row>
    <row r="15" spans="1:19" x14ac:dyDescent="0.25">
      <c r="A15">
        <v>6.25</v>
      </c>
      <c r="B15">
        <v>2932.9490000000001</v>
      </c>
      <c r="C15">
        <v>2929.944</v>
      </c>
      <c r="D15">
        <v>3026.875</v>
      </c>
      <c r="E15">
        <v>3116.9</v>
      </c>
      <c r="F15">
        <v>3433.8069999999998</v>
      </c>
      <c r="H15" s="2">
        <f t="shared" si="0"/>
        <v>3088.0949999999998</v>
      </c>
      <c r="I15" s="2">
        <f t="shared" si="1"/>
        <v>93.052787031340387</v>
      </c>
      <c r="K15">
        <v>6.25</v>
      </c>
      <c r="L15">
        <v>3277.7570000000001</v>
      </c>
      <c r="M15">
        <v>2803.9059999999999</v>
      </c>
      <c r="N15" t="s">
        <v>6</v>
      </c>
      <c r="O15">
        <v>3165.9140000000002</v>
      </c>
      <c r="P15">
        <v>2947.54</v>
      </c>
      <c r="R15" s="3">
        <f t="shared" si="2"/>
        <v>3048.7792500000005</v>
      </c>
      <c r="S15" s="3">
        <f t="shared" si="3"/>
        <v>106.60036505517157</v>
      </c>
    </row>
    <row r="16" spans="1:19" x14ac:dyDescent="0.25">
      <c r="A16">
        <v>7.5</v>
      </c>
      <c r="B16">
        <v>2882.931</v>
      </c>
      <c r="C16">
        <v>2853.9119999999998</v>
      </c>
      <c r="D16">
        <v>2961.4380000000001</v>
      </c>
      <c r="E16">
        <v>3040.8470000000002</v>
      </c>
      <c r="F16">
        <v>3327.9769999999999</v>
      </c>
      <c r="H16" s="2">
        <f t="shared" si="0"/>
        <v>3013.4209999999998</v>
      </c>
      <c r="I16" s="2">
        <f t="shared" si="1"/>
        <v>85.108946674835536</v>
      </c>
      <c r="K16">
        <v>7.5</v>
      </c>
      <c r="L16">
        <v>3192.181</v>
      </c>
      <c r="M16">
        <v>2721.7449999999999</v>
      </c>
      <c r="N16" t="s">
        <v>6</v>
      </c>
      <c r="O16">
        <v>3098.538</v>
      </c>
      <c r="P16">
        <v>2881.8420000000001</v>
      </c>
      <c r="R16" s="3">
        <f t="shared" si="2"/>
        <v>2973.5765000000001</v>
      </c>
      <c r="S16" s="3">
        <f t="shared" si="3"/>
        <v>106.15932475333167</v>
      </c>
    </row>
    <row r="17" spans="1:19" x14ac:dyDescent="0.25">
      <c r="A17">
        <v>8.75</v>
      </c>
      <c r="B17">
        <v>2742.9</v>
      </c>
      <c r="C17">
        <v>2691.241</v>
      </c>
      <c r="D17">
        <v>2786.828</v>
      </c>
      <c r="E17">
        <v>2852.2310000000002</v>
      </c>
      <c r="F17">
        <v>3127.8739999999998</v>
      </c>
      <c r="H17" s="2">
        <f t="shared" si="0"/>
        <v>2840.2147999999997</v>
      </c>
      <c r="I17" s="2">
        <f t="shared" si="1"/>
        <v>76.617791082358892</v>
      </c>
      <c r="K17">
        <v>8.75</v>
      </c>
      <c r="L17">
        <v>3020.694</v>
      </c>
      <c r="M17">
        <v>2554.7669999999998</v>
      </c>
      <c r="N17" t="s">
        <v>6</v>
      </c>
      <c r="O17">
        <v>2892.145</v>
      </c>
      <c r="P17">
        <v>2739.4940000000001</v>
      </c>
      <c r="R17" s="3">
        <f t="shared" si="2"/>
        <v>2801.7750000000001</v>
      </c>
      <c r="S17" s="3">
        <f t="shared" si="3"/>
        <v>100.40922122577523</v>
      </c>
    </row>
    <row r="18" spans="1:19" x14ac:dyDescent="0.25">
      <c r="A18">
        <v>10</v>
      </c>
      <c r="B18">
        <v>2541.4490000000001</v>
      </c>
      <c r="C18">
        <v>2415.3510000000001</v>
      </c>
      <c r="D18">
        <v>2564.8330000000001</v>
      </c>
      <c r="E18">
        <v>2572.85</v>
      </c>
      <c r="F18">
        <v>2806.067</v>
      </c>
      <c r="H18" s="2">
        <f t="shared" si="0"/>
        <v>2580.1099999999997</v>
      </c>
      <c r="I18" s="2">
        <f t="shared" si="1"/>
        <v>63.238778127032134</v>
      </c>
      <c r="K18">
        <v>10</v>
      </c>
      <c r="L18">
        <v>2751.3270000000002</v>
      </c>
      <c r="M18">
        <v>2300.0639999999999</v>
      </c>
      <c r="N18" t="s">
        <v>6</v>
      </c>
      <c r="O18">
        <v>2627.9720000000002</v>
      </c>
      <c r="P18">
        <v>2506.5259999999998</v>
      </c>
      <c r="R18" s="3">
        <f t="shared" si="2"/>
        <v>2546.4722499999998</v>
      </c>
      <c r="S18" s="3">
        <f t="shared" si="3"/>
        <v>96.142431841491558</v>
      </c>
    </row>
    <row r="19" spans="1:19" x14ac:dyDescent="0.25">
      <c r="A19">
        <v>11.25</v>
      </c>
      <c r="B19">
        <v>2368.59</v>
      </c>
      <c r="C19">
        <v>2177.48</v>
      </c>
      <c r="D19">
        <v>2346.0219999999999</v>
      </c>
      <c r="E19">
        <v>2333.3690000000001</v>
      </c>
      <c r="F19">
        <v>2539.7269999999999</v>
      </c>
      <c r="H19" s="2">
        <f t="shared" si="0"/>
        <v>2353.0375999999997</v>
      </c>
      <c r="I19" s="2">
        <f t="shared" si="1"/>
        <v>57.598330099578384</v>
      </c>
      <c r="K19">
        <v>11.25</v>
      </c>
      <c r="L19">
        <v>2532.5459999999998</v>
      </c>
      <c r="M19">
        <v>2074.8719999999998</v>
      </c>
      <c r="N19" t="s">
        <v>6</v>
      </c>
      <c r="O19">
        <v>2377.7190000000001</v>
      </c>
      <c r="P19">
        <v>2299.8820000000001</v>
      </c>
      <c r="R19" s="3">
        <f t="shared" si="2"/>
        <v>2321.2547500000001</v>
      </c>
      <c r="S19" s="3">
        <f t="shared" si="3"/>
        <v>95.30366283392523</v>
      </c>
    </row>
    <row r="20" spans="1:19" x14ac:dyDescent="0.25">
      <c r="A20">
        <v>12.5</v>
      </c>
      <c r="B20">
        <v>2284.9690000000001</v>
      </c>
      <c r="C20">
        <v>2043.316</v>
      </c>
      <c r="D20">
        <v>2226.4720000000002</v>
      </c>
      <c r="E20">
        <v>2183.681</v>
      </c>
      <c r="F20">
        <v>2397.7449999999999</v>
      </c>
      <c r="H20" s="2">
        <f t="shared" si="0"/>
        <v>2227.2366000000002</v>
      </c>
      <c r="I20" s="2">
        <f t="shared" si="1"/>
        <v>58.365489156349888</v>
      </c>
      <c r="K20">
        <v>12.5</v>
      </c>
      <c r="L20">
        <v>2420.973</v>
      </c>
      <c r="M20">
        <v>1956.01</v>
      </c>
      <c r="N20" t="s">
        <v>6</v>
      </c>
      <c r="O20">
        <v>2233.7649999999999</v>
      </c>
      <c r="P20">
        <v>2172.8910000000001</v>
      </c>
      <c r="R20" s="3">
        <f t="shared" si="2"/>
        <v>2195.9097499999998</v>
      </c>
      <c r="S20" s="3">
        <f t="shared" si="3"/>
        <v>95.815899582980649</v>
      </c>
    </row>
    <row r="21" spans="1:19" x14ac:dyDescent="0.25">
      <c r="A21">
        <v>13.75</v>
      </c>
      <c r="B21">
        <v>2244.87</v>
      </c>
      <c r="C21">
        <v>1992.0160000000001</v>
      </c>
      <c r="D21">
        <v>2174.1289999999999</v>
      </c>
      <c r="E21">
        <v>2116.54</v>
      </c>
      <c r="F21">
        <v>2340.4560000000001</v>
      </c>
      <c r="H21" s="2">
        <f t="shared" si="0"/>
        <v>2173.6022000000003</v>
      </c>
      <c r="I21" s="2">
        <f t="shared" si="1"/>
        <v>58.800174365727862</v>
      </c>
      <c r="K21">
        <v>13.75</v>
      </c>
      <c r="L21">
        <v>2367.3069999999998</v>
      </c>
      <c r="M21">
        <v>1912.838</v>
      </c>
      <c r="N21" t="s">
        <v>6</v>
      </c>
      <c r="O21">
        <v>2168.3609999999999</v>
      </c>
      <c r="P21">
        <v>2120.4960000000001</v>
      </c>
      <c r="R21" s="3">
        <f t="shared" si="2"/>
        <v>2142.2505000000001</v>
      </c>
      <c r="S21" s="3">
        <f t="shared" si="3"/>
        <v>93.289665303379977</v>
      </c>
    </row>
    <row r="22" spans="1:19" x14ac:dyDescent="0.25">
      <c r="A22">
        <v>15</v>
      </c>
      <c r="B22">
        <v>2233.1729999999998</v>
      </c>
      <c r="C22">
        <v>1970.9590000000001</v>
      </c>
      <c r="D22">
        <v>2153.12</v>
      </c>
      <c r="E22">
        <v>2090.0070000000001</v>
      </c>
      <c r="F22">
        <v>2331.5479999999998</v>
      </c>
      <c r="H22" s="2">
        <f t="shared" si="0"/>
        <v>2155.7614000000003</v>
      </c>
      <c r="I22" s="2">
        <f t="shared" si="1"/>
        <v>61.390565119242808</v>
      </c>
      <c r="K22">
        <v>15</v>
      </c>
      <c r="L22">
        <v>2348.3649999999998</v>
      </c>
      <c r="M22">
        <v>1907.25</v>
      </c>
      <c r="N22" t="s">
        <v>6</v>
      </c>
      <c r="O22">
        <v>2135.8359999999998</v>
      </c>
      <c r="P22">
        <v>2100.7779999999998</v>
      </c>
      <c r="R22" s="3">
        <f t="shared" si="2"/>
        <v>2123.0572499999998</v>
      </c>
      <c r="S22" s="3">
        <f t="shared" si="3"/>
        <v>90.367773014291387</v>
      </c>
    </row>
    <row r="23" spans="1:19" x14ac:dyDescent="0.25">
      <c r="A23">
        <v>16.25</v>
      </c>
      <c r="B23">
        <v>2243.7040000000002</v>
      </c>
      <c r="C23">
        <v>1970.924</v>
      </c>
      <c r="D23">
        <v>2149.9589999999998</v>
      </c>
      <c r="E23">
        <v>2091.7539999999999</v>
      </c>
      <c r="F23">
        <v>2345.1869999999999</v>
      </c>
      <c r="H23" s="2">
        <f t="shared" si="0"/>
        <v>2160.3056000000001</v>
      </c>
      <c r="I23" s="2">
        <f t="shared" si="1"/>
        <v>63.956309149762546</v>
      </c>
      <c r="K23">
        <v>16.25</v>
      </c>
      <c r="L23">
        <v>2349.5970000000002</v>
      </c>
      <c r="M23">
        <v>1911.8820000000001</v>
      </c>
      <c r="N23" t="s">
        <v>6</v>
      </c>
      <c r="O23">
        <v>2133.056</v>
      </c>
      <c r="P23">
        <v>2104.7730000000001</v>
      </c>
      <c r="R23" s="3">
        <f t="shared" si="2"/>
        <v>2124.8270000000002</v>
      </c>
      <c r="S23" s="3">
        <f t="shared" si="3"/>
        <v>89.599574627896558</v>
      </c>
    </row>
    <row r="24" spans="1:19" x14ac:dyDescent="0.25">
      <c r="A24">
        <v>17.5</v>
      </c>
      <c r="B24">
        <v>2257.2159999999999</v>
      </c>
      <c r="C24">
        <v>1983.3240000000001</v>
      </c>
      <c r="D24">
        <v>2153.777</v>
      </c>
      <c r="E24">
        <v>2108.0129999999999</v>
      </c>
      <c r="F24">
        <v>2364.1210000000001</v>
      </c>
      <c r="H24" s="2">
        <f t="shared" si="0"/>
        <v>2173.2902000000004</v>
      </c>
      <c r="I24" s="2">
        <f t="shared" si="1"/>
        <v>64.880262441978459</v>
      </c>
      <c r="K24">
        <v>17.5</v>
      </c>
      <c r="L24">
        <v>2360.6320000000001</v>
      </c>
      <c r="M24">
        <v>1912.65</v>
      </c>
      <c r="N24" t="s">
        <v>6</v>
      </c>
      <c r="O24">
        <v>2157.8319999999999</v>
      </c>
      <c r="P24">
        <v>2121.8359999999998</v>
      </c>
      <c r="R24" s="3">
        <f t="shared" si="2"/>
        <v>2138.2374999999997</v>
      </c>
      <c r="S24" s="3">
        <f t="shared" si="3"/>
        <v>91.743295585653925</v>
      </c>
    </row>
    <row r="25" spans="1:19" x14ac:dyDescent="0.25">
      <c r="A25">
        <v>18.75</v>
      </c>
      <c r="B25">
        <v>2265.7869999999998</v>
      </c>
      <c r="C25">
        <v>1998.5170000000001</v>
      </c>
      <c r="D25">
        <v>2166.7350000000001</v>
      </c>
      <c r="E25">
        <v>2129.5010000000002</v>
      </c>
      <c r="F25">
        <v>2382.7759999999998</v>
      </c>
      <c r="H25" s="2">
        <f t="shared" si="0"/>
        <v>2188.6632</v>
      </c>
      <c r="I25" s="2">
        <f t="shared" si="1"/>
        <v>64.716477379721397</v>
      </c>
      <c r="K25">
        <v>18.75</v>
      </c>
      <c r="L25">
        <v>2366.1570000000002</v>
      </c>
      <c r="M25">
        <v>1915.88</v>
      </c>
      <c r="N25" t="s">
        <v>6</v>
      </c>
      <c r="O25">
        <v>2166.114</v>
      </c>
      <c r="P25">
        <v>2132.9119999999998</v>
      </c>
      <c r="R25" s="3">
        <f t="shared" si="2"/>
        <v>2145.26575</v>
      </c>
      <c r="S25" s="3">
        <f t="shared" si="3"/>
        <v>92.194554835932877</v>
      </c>
    </row>
    <row r="26" spans="1:19" x14ac:dyDescent="0.25">
      <c r="A26">
        <v>20</v>
      </c>
      <c r="B26">
        <v>2269.5070000000001</v>
      </c>
      <c r="C26">
        <v>1993.4280000000001</v>
      </c>
      <c r="D26">
        <v>2175.6469999999999</v>
      </c>
      <c r="E26">
        <v>2147.2240000000002</v>
      </c>
      <c r="F26">
        <v>2392.5709999999999</v>
      </c>
      <c r="H26" s="2">
        <f t="shared" si="0"/>
        <v>2195.6754000000001</v>
      </c>
      <c r="I26" s="2">
        <f t="shared" si="1"/>
        <v>66.284111306254943</v>
      </c>
      <c r="K26">
        <v>20</v>
      </c>
      <c r="L26">
        <v>2354.9229999999998</v>
      </c>
      <c r="M26">
        <v>1916.683</v>
      </c>
      <c r="N26" t="s">
        <v>6</v>
      </c>
      <c r="O26">
        <v>2166.8809999999999</v>
      </c>
      <c r="P26">
        <v>2128.9720000000002</v>
      </c>
      <c r="R26" s="3">
        <f t="shared" si="2"/>
        <v>2141.8647499999997</v>
      </c>
      <c r="S26" s="3">
        <f t="shared" si="3"/>
        <v>89.857606890360103</v>
      </c>
    </row>
    <row r="27" spans="1:19" x14ac:dyDescent="0.25">
      <c r="A27">
        <v>21.25</v>
      </c>
      <c r="B27">
        <v>2266.3180000000002</v>
      </c>
      <c r="C27">
        <v>1978.481</v>
      </c>
      <c r="D27">
        <v>2176.3359999999998</v>
      </c>
      <c r="E27">
        <v>2146.5189999999998</v>
      </c>
      <c r="F27">
        <v>2389.9459999999999</v>
      </c>
      <c r="H27" s="2">
        <f t="shared" si="0"/>
        <v>2191.52</v>
      </c>
      <c r="I27" s="2">
        <f t="shared" si="1"/>
        <v>68.047364996008483</v>
      </c>
      <c r="K27">
        <v>21.25</v>
      </c>
      <c r="L27">
        <v>2334.009</v>
      </c>
      <c r="M27">
        <v>1916.145</v>
      </c>
      <c r="N27" t="s">
        <v>6</v>
      </c>
      <c r="O27">
        <v>2145.585</v>
      </c>
      <c r="P27">
        <v>2117.3339999999998</v>
      </c>
      <c r="R27" s="3">
        <f t="shared" si="2"/>
        <v>2128.2682500000001</v>
      </c>
      <c r="S27" s="3">
        <f t="shared" si="3"/>
        <v>85.510699649590649</v>
      </c>
    </row>
    <row r="28" spans="1:19" x14ac:dyDescent="0.25">
      <c r="A28">
        <v>22.5</v>
      </c>
      <c r="B28">
        <v>2264.4079999999999</v>
      </c>
      <c r="C28">
        <v>1970.905</v>
      </c>
      <c r="D28">
        <v>2179.7800000000002</v>
      </c>
      <c r="E28">
        <v>2129.4349999999999</v>
      </c>
      <c r="F28">
        <v>2399.7280000000001</v>
      </c>
      <c r="H28" s="2">
        <f t="shared" si="0"/>
        <v>2188.8512000000001</v>
      </c>
      <c r="I28" s="2">
        <f t="shared" si="1"/>
        <v>71.165642128347315</v>
      </c>
      <c r="K28">
        <v>22.5</v>
      </c>
      <c r="L28">
        <v>2331.3670000000002</v>
      </c>
      <c r="M28">
        <v>1912.9960000000001</v>
      </c>
      <c r="N28" t="s">
        <v>6</v>
      </c>
      <c r="O28">
        <v>2128.4169999999999</v>
      </c>
      <c r="P28">
        <v>2107.3009999999999</v>
      </c>
      <c r="R28" s="3">
        <f t="shared" si="2"/>
        <v>2120.02025</v>
      </c>
      <c r="S28" s="3">
        <f t="shared" si="3"/>
        <v>85.5174317292241</v>
      </c>
    </row>
    <row r="29" spans="1:19" x14ac:dyDescent="0.25">
      <c r="A29">
        <v>23.75</v>
      </c>
      <c r="B29">
        <v>2279.6509999999998</v>
      </c>
      <c r="C29">
        <v>1988.9179999999999</v>
      </c>
      <c r="D29">
        <v>2190.846</v>
      </c>
      <c r="E29">
        <v>2128.0729999999999</v>
      </c>
      <c r="F29">
        <v>2410.893</v>
      </c>
      <c r="H29" s="2">
        <f t="shared" si="0"/>
        <v>2199.6761999999999</v>
      </c>
      <c r="I29" s="2">
        <f t="shared" si="1"/>
        <v>70.933953360432412</v>
      </c>
      <c r="K29">
        <v>23.75</v>
      </c>
      <c r="L29">
        <v>2351.4850000000001</v>
      </c>
      <c r="M29">
        <v>1931.09</v>
      </c>
      <c r="N29" t="s">
        <v>6</v>
      </c>
      <c r="O29">
        <v>2150.7179999999998</v>
      </c>
      <c r="P29">
        <v>2113.75</v>
      </c>
      <c r="R29" s="3">
        <f t="shared" si="2"/>
        <v>2136.7607499999999</v>
      </c>
      <c r="S29" s="3">
        <f t="shared" si="3"/>
        <v>86.183554302599831</v>
      </c>
    </row>
    <row r="30" spans="1:19" x14ac:dyDescent="0.25">
      <c r="A30">
        <v>25</v>
      </c>
      <c r="B30">
        <v>2305.4279999999999</v>
      </c>
      <c r="C30">
        <v>2013.732</v>
      </c>
      <c r="D30">
        <v>2205.3009999999999</v>
      </c>
      <c r="E30">
        <v>2140.8249999999998</v>
      </c>
      <c r="F30">
        <v>2423.83</v>
      </c>
      <c r="H30" s="2">
        <f t="shared" si="0"/>
        <v>2217.8231999999998</v>
      </c>
      <c r="I30" s="2">
        <f t="shared" si="1"/>
        <v>69.94717608409934</v>
      </c>
      <c r="K30">
        <v>25</v>
      </c>
      <c r="L30">
        <v>2376.723</v>
      </c>
      <c r="M30">
        <v>1965.567</v>
      </c>
      <c r="N30" t="s">
        <v>6</v>
      </c>
      <c r="O30">
        <v>2174.7649999999999</v>
      </c>
      <c r="P30">
        <v>2135.3270000000002</v>
      </c>
      <c r="R30" s="3">
        <f t="shared" si="2"/>
        <v>2163.0955000000004</v>
      </c>
      <c r="S30" s="3">
        <f t="shared" si="3"/>
        <v>84.440059554593702</v>
      </c>
    </row>
    <row r="31" spans="1:19" x14ac:dyDescent="0.25">
      <c r="A31">
        <v>26.25</v>
      </c>
      <c r="B31">
        <v>2326.2179999999998</v>
      </c>
      <c r="C31">
        <v>2032.8589999999999</v>
      </c>
      <c r="D31">
        <v>2224.2779999999998</v>
      </c>
      <c r="E31">
        <v>2161.6790000000001</v>
      </c>
      <c r="F31">
        <v>2440.7510000000002</v>
      </c>
      <c r="H31" s="2">
        <f t="shared" si="0"/>
        <v>2237.1570000000002</v>
      </c>
      <c r="I31" s="2">
        <f t="shared" si="1"/>
        <v>69.63578407902078</v>
      </c>
      <c r="K31">
        <v>26.25</v>
      </c>
      <c r="L31">
        <v>2408.578</v>
      </c>
      <c r="M31">
        <v>1998.7719999999999</v>
      </c>
      <c r="N31" t="s">
        <v>6</v>
      </c>
      <c r="O31">
        <v>2197.241</v>
      </c>
      <c r="P31">
        <v>2174.9920000000002</v>
      </c>
      <c r="R31" s="3">
        <f t="shared" si="2"/>
        <v>2194.8957500000001</v>
      </c>
      <c r="S31" s="3">
        <f t="shared" si="3"/>
        <v>83.92769146749184</v>
      </c>
    </row>
    <row r="32" spans="1:19" x14ac:dyDescent="0.25">
      <c r="A32">
        <v>27.5</v>
      </c>
      <c r="B32">
        <v>2335.8710000000001</v>
      </c>
      <c r="C32">
        <v>2049.498</v>
      </c>
      <c r="D32">
        <v>2240.3629999999998</v>
      </c>
      <c r="E32">
        <v>2181.0819999999999</v>
      </c>
      <c r="F32">
        <v>2460.9989999999998</v>
      </c>
      <c r="H32" s="2">
        <f t="shared" si="0"/>
        <v>2253.5626000000002</v>
      </c>
      <c r="I32" s="2">
        <f t="shared" si="1"/>
        <v>69.596896678372062</v>
      </c>
      <c r="K32">
        <v>27.5</v>
      </c>
      <c r="L32">
        <v>2433.9780000000001</v>
      </c>
      <c r="M32">
        <v>2030.414</v>
      </c>
      <c r="N32" t="s">
        <v>6</v>
      </c>
      <c r="O32">
        <v>2232.0390000000002</v>
      </c>
      <c r="P32">
        <v>2207.5880000000002</v>
      </c>
      <c r="R32" s="3">
        <f t="shared" si="2"/>
        <v>2226.0047500000001</v>
      </c>
      <c r="S32" s="3">
        <f t="shared" si="3"/>
        <v>82.605590536572251</v>
      </c>
    </row>
    <row r="33" spans="1:19" x14ac:dyDescent="0.25">
      <c r="A33">
        <v>28.75</v>
      </c>
      <c r="B33">
        <v>2348.7460000000001</v>
      </c>
      <c r="C33">
        <v>2072.8690000000001</v>
      </c>
      <c r="D33">
        <v>2253.7440000000001</v>
      </c>
      <c r="E33">
        <v>2202.5709999999999</v>
      </c>
      <c r="F33">
        <v>2473.5990000000002</v>
      </c>
      <c r="H33" s="2">
        <f t="shared" si="0"/>
        <v>2270.3058000000001</v>
      </c>
      <c r="I33" s="2">
        <f t="shared" si="1"/>
        <v>67.573876789333326</v>
      </c>
      <c r="K33">
        <v>28.75</v>
      </c>
      <c r="L33">
        <v>2439.98</v>
      </c>
      <c r="M33">
        <v>2051.922</v>
      </c>
      <c r="N33" t="s">
        <v>6</v>
      </c>
      <c r="O33">
        <v>2265.4349999999999</v>
      </c>
      <c r="P33">
        <v>2228.337</v>
      </c>
      <c r="R33" s="3">
        <f t="shared" si="2"/>
        <v>2246.4184999999998</v>
      </c>
      <c r="S33" s="3">
        <f t="shared" si="3"/>
        <v>79.573608852118795</v>
      </c>
    </row>
    <row r="34" spans="1:19" x14ac:dyDescent="0.25">
      <c r="A34">
        <v>30</v>
      </c>
      <c r="B34">
        <v>2373.846</v>
      </c>
      <c r="C34">
        <v>2094.7660000000001</v>
      </c>
      <c r="D34">
        <v>2271.2040000000002</v>
      </c>
      <c r="E34">
        <v>2226.1309999999999</v>
      </c>
      <c r="F34">
        <v>2492.0360000000001</v>
      </c>
      <c r="H34" s="2">
        <f t="shared" si="0"/>
        <v>2291.5965999999999</v>
      </c>
      <c r="I34" s="2">
        <f t="shared" si="1"/>
        <v>67.225294676631947</v>
      </c>
      <c r="K34">
        <v>30</v>
      </c>
      <c r="L34">
        <v>2464.2109999999998</v>
      </c>
      <c r="M34">
        <v>2071.194</v>
      </c>
      <c r="N34" t="s">
        <v>6</v>
      </c>
      <c r="O34">
        <v>2284.7260000000001</v>
      </c>
      <c r="P34">
        <v>2247.7660000000001</v>
      </c>
      <c r="R34" s="3">
        <f t="shared" si="2"/>
        <v>2266.9742499999998</v>
      </c>
      <c r="S34" s="3">
        <f t="shared" si="3"/>
        <v>80.579320825688029</v>
      </c>
    </row>
    <row r="35" spans="1:19" x14ac:dyDescent="0.25">
      <c r="A35">
        <v>31.25</v>
      </c>
      <c r="B35">
        <v>2394.3710000000001</v>
      </c>
      <c r="C35">
        <v>2106.1120000000001</v>
      </c>
      <c r="D35">
        <v>2289.9050000000002</v>
      </c>
      <c r="E35">
        <v>2251.7739999999999</v>
      </c>
      <c r="F35">
        <v>2526.011</v>
      </c>
      <c r="H35" s="2">
        <f t="shared" si="0"/>
        <v>2313.6346000000003</v>
      </c>
      <c r="I35" s="2">
        <f t="shared" si="1"/>
        <v>70.383790328881815</v>
      </c>
      <c r="K35">
        <v>31.25</v>
      </c>
      <c r="L35">
        <v>2503.877</v>
      </c>
      <c r="M35">
        <v>2094.6469999999999</v>
      </c>
      <c r="N35" t="s">
        <v>6</v>
      </c>
      <c r="O35">
        <v>2313.8809999999999</v>
      </c>
      <c r="P35">
        <v>2259.4589999999998</v>
      </c>
      <c r="R35" s="3">
        <f t="shared" si="2"/>
        <v>2292.9659999999994</v>
      </c>
      <c r="S35" s="3">
        <f t="shared" si="3"/>
        <v>84.347511302942422</v>
      </c>
    </row>
    <row r="36" spans="1:19" x14ac:dyDescent="0.25">
      <c r="A36">
        <v>32.5</v>
      </c>
      <c r="B36">
        <v>2401.6529999999998</v>
      </c>
      <c r="C36">
        <v>2106.3069999999998</v>
      </c>
      <c r="D36">
        <v>2296.6109999999999</v>
      </c>
      <c r="E36">
        <v>2255.6030000000001</v>
      </c>
      <c r="F36">
        <v>2538.2190000000001</v>
      </c>
      <c r="H36" s="2">
        <f t="shared" si="0"/>
        <v>2319.6786000000002</v>
      </c>
      <c r="I36" s="2">
        <f t="shared" si="1"/>
        <v>72.334274399899826</v>
      </c>
      <c r="K36">
        <v>32.5</v>
      </c>
      <c r="L36">
        <v>2521.998</v>
      </c>
      <c r="M36">
        <v>2097.451</v>
      </c>
      <c r="N36" t="s">
        <v>6</v>
      </c>
      <c r="O36">
        <v>2323.1289999999999</v>
      </c>
      <c r="P36">
        <v>2265.36</v>
      </c>
      <c r="R36" s="3">
        <f t="shared" si="2"/>
        <v>2301.9845</v>
      </c>
      <c r="S36" s="3">
        <f t="shared" si="3"/>
        <v>87.572987028440082</v>
      </c>
    </row>
    <row r="37" spans="1:19" x14ac:dyDescent="0.25">
      <c r="A37">
        <v>33.75</v>
      </c>
      <c r="B37">
        <v>2392.2809999999999</v>
      </c>
      <c r="C37">
        <v>2100.6889999999999</v>
      </c>
      <c r="D37">
        <v>2275.0259999999998</v>
      </c>
      <c r="E37">
        <v>2234.7179999999998</v>
      </c>
      <c r="F37">
        <v>2524.0500000000002</v>
      </c>
      <c r="H37" s="2">
        <f t="shared" si="0"/>
        <v>2305.3527999999997</v>
      </c>
      <c r="I37" s="2">
        <f t="shared" si="1"/>
        <v>71.826609986411086</v>
      </c>
      <c r="K37">
        <v>33.75</v>
      </c>
      <c r="L37">
        <v>2520.576</v>
      </c>
      <c r="M37">
        <v>2081.799</v>
      </c>
      <c r="N37" t="s">
        <v>6</v>
      </c>
      <c r="O37">
        <v>2304.683</v>
      </c>
      <c r="P37">
        <v>2263.8679999999999</v>
      </c>
      <c r="R37" s="3">
        <f t="shared" si="2"/>
        <v>2292.7314999999999</v>
      </c>
      <c r="S37" s="3">
        <f t="shared" si="3"/>
        <v>90.084023611755569</v>
      </c>
    </row>
    <row r="38" spans="1:19" x14ac:dyDescent="0.25">
      <c r="A38">
        <v>35</v>
      </c>
      <c r="B38">
        <v>2350.1869999999999</v>
      </c>
      <c r="C38">
        <v>2069.723</v>
      </c>
      <c r="D38">
        <v>2224.2069999999999</v>
      </c>
      <c r="E38">
        <v>2192.3820000000001</v>
      </c>
      <c r="F38">
        <v>2477.5369999999998</v>
      </c>
      <c r="H38" s="2">
        <f t="shared" si="0"/>
        <v>2262.8072000000002</v>
      </c>
      <c r="I38" s="2">
        <f t="shared" si="1"/>
        <v>69.812358856007691</v>
      </c>
      <c r="K38">
        <v>35</v>
      </c>
      <c r="L38">
        <v>2470.7280000000001</v>
      </c>
      <c r="M38">
        <v>2045.3030000000001</v>
      </c>
      <c r="N38" t="s">
        <v>6</v>
      </c>
      <c r="O38">
        <v>2259.759</v>
      </c>
      <c r="P38">
        <v>2230.3440000000001</v>
      </c>
      <c r="R38" s="3">
        <f t="shared" si="2"/>
        <v>2251.5335</v>
      </c>
      <c r="S38" s="3">
        <f t="shared" si="3"/>
        <v>87.12725450024233</v>
      </c>
    </row>
    <row r="39" spans="1:19" x14ac:dyDescent="0.25">
      <c r="A39">
        <v>36.25</v>
      </c>
      <c r="B39">
        <v>2256.0129999999999</v>
      </c>
      <c r="C39">
        <v>1982.9690000000001</v>
      </c>
      <c r="D39">
        <v>2128.2440000000001</v>
      </c>
      <c r="E39">
        <v>2111.3560000000002</v>
      </c>
      <c r="F39">
        <v>2367.0459999999998</v>
      </c>
      <c r="H39" s="2">
        <f t="shared" si="0"/>
        <v>2169.1256000000003</v>
      </c>
      <c r="I39" s="2">
        <f t="shared" si="1"/>
        <v>65.720931460684525</v>
      </c>
      <c r="K39">
        <v>36.25</v>
      </c>
      <c r="L39">
        <v>2353.75</v>
      </c>
      <c r="M39">
        <v>1959.43</v>
      </c>
      <c r="N39" t="s">
        <v>6</v>
      </c>
      <c r="O39">
        <v>2173.3670000000002</v>
      </c>
      <c r="P39">
        <v>2139.85</v>
      </c>
      <c r="R39" s="3">
        <f t="shared" si="2"/>
        <v>2156.5992500000002</v>
      </c>
      <c r="S39" s="3">
        <f t="shared" si="3"/>
        <v>80.780477317000901</v>
      </c>
    </row>
    <row r="40" spans="1:19" x14ac:dyDescent="0.25">
      <c r="A40">
        <v>37.5</v>
      </c>
      <c r="B40">
        <v>2126.5030000000002</v>
      </c>
      <c r="C40">
        <v>1853.893</v>
      </c>
      <c r="D40">
        <v>2012.922</v>
      </c>
      <c r="E40">
        <v>1992.96</v>
      </c>
      <c r="F40">
        <v>2230.69</v>
      </c>
      <c r="H40" s="2">
        <f t="shared" si="0"/>
        <v>2043.3936000000001</v>
      </c>
      <c r="I40" s="2">
        <f t="shared" si="1"/>
        <v>63.784660239433755</v>
      </c>
      <c r="K40">
        <v>37.5</v>
      </c>
      <c r="L40">
        <v>2194.9209999999998</v>
      </c>
      <c r="M40">
        <v>1840.865</v>
      </c>
      <c r="N40" t="s">
        <v>6</v>
      </c>
      <c r="O40">
        <v>2038.8489999999999</v>
      </c>
      <c r="P40">
        <v>2010.7280000000001</v>
      </c>
      <c r="R40" s="3">
        <f t="shared" si="2"/>
        <v>2021.3407500000001</v>
      </c>
      <c r="S40" s="3">
        <f t="shared" si="3"/>
        <v>72.52629914310964</v>
      </c>
    </row>
    <row r="41" spans="1:19" x14ac:dyDescent="0.25">
      <c r="A41">
        <v>38.75</v>
      </c>
      <c r="B41">
        <v>1999.2090000000001</v>
      </c>
      <c r="C41">
        <v>1732.723</v>
      </c>
      <c r="D41">
        <v>1891.8620000000001</v>
      </c>
      <c r="E41">
        <v>1875.5450000000001</v>
      </c>
      <c r="F41">
        <v>2095.0189999999998</v>
      </c>
      <c r="H41" s="2">
        <f t="shared" si="0"/>
        <v>1918.8715999999999</v>
      </c>
      <c r="I41" s="2">
        <f t="shared" si="1"/>
        <v>61.131014390078604</v>
      </c>
      <c r="K41">
        <v>38.75</v>
      </c>
      <c r="L41">
        <v>2033.1369999999999</v>
      </c>
      <c r="M41">
        <v>1717.3130000000001</v>
      </c>
      <c r="N41" t="s">
        <v>6</v>
      </c>
      <c r="O41">
        <v>1896.875</v>
      </c>
      <c r="P41">
        <v>1877.194</v>
      </c>
      <c r="R41" s="3">
        <f t="shared" si="2"/>
        <v>1881.1297500000001</v>
      </c>
      <c r="S41" s="3">
        <f t="shared" si="3"/>
        <v>64.68225842451568</v>
      </c>
    </row>
    <row r="42" spans="1:19" x14ac:dyDescent="0.25">
      <c r="A42">
        <v>40</v>
      </c>
      <c r="B42">
        <v>1916.5039999999999</v>
      </c>
      <c r="C42">
        <v>1663.1089999999999</v>
      </c>
      <c r="D42">
        <v>1807.7380000000001</v>
      </c>
      <c r="E42">
        <v>1790.654</v>
      </c>
      <c r="F42">
        <v>2006.2750000000001</v>
      </c>
      <c r="H42" s="2">
        <f t="shared" si="0"/>
        <v>1836.8559999999998</v>
      </c>
      <c r="I42" s="2">
        <f t="shared" si="1"/>
        <v>58.402527429041989</v>
      </c>
      <c r="K42">
        <v>40</v>
      </c>
      <c r="L42">
        <v>1949.829</v>
      </c>
      <c r="M42">
        <v>1638.9580000000001</v>
      </c>
      <c r="N42" t="s">
        <v>6</v>
      </c>
      <c r="O42">
        <v>1802.279</v>
      </c>
      <c r="P42">
        <v>1788.7339999999999</v>
      </c>
      <c r="R42" s="3">
        <f t="shared" si="2"/>
        <v>1794.9500000000003</v>
      </c>
      <c r="S42" s="3">
        <f t="shared" si="3"/>
        <v>63.517295283778125</v>
      </c>
    </row>
    <row r="43" spans="1:19" x14ac:dyDescent="0.25">
      <c r="A43">
        <v>41.25</v>
      </c>
      <c r="B43">
        <v>1886.5519999999999</v>
      </c>
      <c r="C43">
        <v>1634.2819999999999</v>
      </c>
      <c r="D43">
        <v>1775.1980000000001</v>
      </c>
      <c r="E43">
        <v>1741.046</v>
      </c>
      <c r="F43">
        <v>1964.7260000000001</v>
      </c>
      <c r="H43" s="2">
        <f t="shared" si="0"/>
        <v>1800.3607999999999</v>
      </c>
      <c r="I43" s="2">
        <f t="shared" si="1"/>
        <v>57.523222154535134</v>
      </c>
      <c r="K43">
        <v>41.25</v>
      </c>
      <c r="L43">
        <v>1922.5060000000001</v>
      </c>
      <c r="M43">
        <v>1603.3720000000001</v>
      </c>
      <c r="N43" t="s">
        <v>6</v>
      </c>
      <c r="O43">
        <v>1752.8409999999999</v>
      </c>
      <c r="P43">
        <v>1757.4829999999999</v>
      </c>
      <c r="R43" s="3">
        <f t="shared" si="2"/>
        <v>1759.0505000000001</v>
      </c>
      <c r="S43" s="3">
        <f t="shared" si="3"/>
        <v>65.188515597074314</v>
      </c>
    </row>
    <row r="44" spans="1:19" x14ac:dyDescent="0.25">
      <c r="A44">
        <v>42.5</v>
      </c>
      <c r="B44">
        <v>1885.6859999999999</v>
      </c>
      <c r="C44">
        <v>1625.329</v>
      </c>
      <c r="D44">
        <v>1776.569</v>
      </c>
      <c r="E44">
        <v>1724.797</v>
      </c>
      <c r="F44">
        <v>1955.6189999999999</v>
      </c>
      <c r="H44" s="2">
        <f t="shared" si="0"/>
        <v>1793.6</v>
      </c>
      <c r="I44" s="2">
        <f t="shared" si="1"/>
        <v>58.339105653069446</v>
      </c>
      <c r="K44">
        <v>42.5</v>
      </c>
      <c r="L44">
        <v>1916.5450000000001</v>
      </c>
      <c r="M44">
        <v>1604.8389999999999</v>
      </c>
      <c r="N44" t="s">
        <v>6</v>
      </c>
      <c r="O44">
        <v>1748.7760000000001</v>
      </c>
      <c r="P44">
        <v>1755.6320000000001</v>
      </c>
      <c r="R44" s="3">
        <f t="shared" si="2"/>
        <v>1756.4479999999999</v>
      </c>
      <c r="S44" s="3">
        <f t="shared" si="3"/>
        <v>63.689261084581624</v>
      </c>
    </row>
    <row r="45" spans="1:19" x14ac:dyDescent="0.25">
      <c r="A45">
        <v>43.75</v>
      </c>
      <c r="B45">
        <v>1906.5440000000001</v>
      </c>
      <c r="C45">
        <v>1648.6849999999999</v>
      </c>
      <c r="D45">
        <v>1793.26</v>
      </c>
      <c r="E45">
        <v>1736.9659999999999</v>
      </c>
      <c r="F45">
        <v>1958.932</v>
      </c>
      <c r="H45" s="2">
        <f t="shared" si="0"/>
        <v>1808.8774000000001</v>
      </c>
      <c r="I45" s="2">
        <f t="shared" si="1"/>
        <v>56.183585408551515</v>
      </c>
      <c r="K45">
        <v>43.75</v>
      </c>
      <c r="L45">
        <v>1942.1369999999999</v>
      </c>
      <c r="M45">
        <v>1624.7139999999999</v>
      </c>
      <c r="N45" t="s">
        <v>6</v>
      </c>
      <c r="O45">
        <v>1767.8320000000001</v>
      </c>
      <c r="P45">
        <v>1769.4970000000001</v>
      </c>
      <c r="R45" s="3">
        <f t="shared" si="2"/>
        <v>1776.0450000000001</v>
      </c>
      <c r="S45" s="3">
        <f t="shared" si="3"/>
        <v>64.934552755062541</v>
      </c>
    </row>
    <row r="46" spans="1:19" x14ac:dyDescent="0.25">
      <c r="A46">
        <v>45</v>
      </c>
      <c r="B46">
        <v>1952.597</v>
      </c>
      <c r="C46">
        <v>1695.809</v>
      </c>
      <c r="D46">
        <v>1831.7619999999999</v>
      </c>
      <c r="E46">
        <v>1781.0060000000001</v>
      </c>
      <c r="F46">
        <v>1982.614</v>
      </c>
      <c r="H46" s="2">
        <f t="shared" si="0"/>
        <v>1848.7576000000001</v>
      </c>
      <c r="I46" s="2">
        <f t="shared" si="1"/>
        <v>53.372540119990546</v>
      </c>
      <c r="K46">
        <v>45</v>
      </c>
      <c r="L46">
        <v>1987.634</v>
      </c>
      <c r="M46">
        <v>1665.9359999999999</v>
      </c>
      <c r="N46" t="s">
        <v>6</v>
      </c>
      <c r="O46">
        <v>1803.09</v>
      </c>
      <c r="P46">
        <v>1809.973</v>
      </c>
      <c r="R46" s="3">
        <f t="shared" si="2"/>
        <v>1816.65825</v>
      </c>
      <c r="S46" s="3">
        <f t="shared" si="3"/>
        <v>65.941068202821597</v>
      </c>
    </row>
    <row r="47" spans="1:19" x14ac:dyDescent="0.25">
      <c r="A47">
        <v>46.25</v>
      </c>
      <c r="B47">
        <v>2009.636</v>
      </c>
      <c r="C47">
        <v>1747.443</v>
      </c>
      <c r="D47">
        <v>1897.0650000000001</v>
      </c>
      <c r="E47">
        <v>1835.9059999999999</v>
      </c>
      <c r="F47">
        <v>2051.9769999999999</v>
      </c>
      <c r="H47" s="2">
        <f t="shared" si="0"/>
        <v>1908.4054000000001</v>
      </c>
      <c r="I47" s="2">
        <f t="shared" si="1"/>
        <v>55.746793893998941</v>
      </c>
      <c r="K47">
        <v>46.25</v>
      </c>
      <c r="L47">
        <v>2051.9960000000001</v>
      </c>
      <c r="M47">
        <v>1735.317</v>
      </c>
      <c r="N47" t="s">
        <v>6</v>
      </c>
      <c r="O47">
        <v>1879.3879999999999</v>
      </c>
      <c r="P47">
        <v>1887.0640000000001</v>
      </c>
      <c r="R47" s="3">
        <f t="shared" si="2"/>
        <v>1888.4412500000001</v>
      </c>
      <c r="S47" s="3">
        <f t="shared" si="3"/>
        <v>64.730885427508014</v>
      </c>
    </row>
    <row r="48" spans="1:19" x14ac:dyDescent="0.25">
      <c r="A48">
        <v>47.5</v>
      </c>
      <c r="B48">
        <v>2080.181</v>
      </c>
      <c r="C48">
        <v>1807.136</v>
      </c>
      <c r="D48">
        <v>1978.598</v>
      </c>
      <c r="E48">
        <v>1905.0419999999999</v>
      </c>
      <c r="F48">
        <v>2133.5079999999998</v>
      </c>
      <c r="H48" s="2">
        <f t="shared" si="0"/>
        <v>1980.893</v>
      </c>
      <c r="I48" s="2">
        <f t="shared" si="1"/>
        <v>58.779070018162066</v>
      </c>
      <c r="K48">
        <v>47.5</v>
      </c>
      <c r="L48">
        <v>2131.3240000000001</v>
      </c>
      <c r="M48">
        <v>1807.56</v>
      </c>
      <c r="N48" t="s">
        <v>6</v>
      </c>
      <c r="O48">
        <v>1954.623</v>
      </c>
      <c r="P48">
        <v>1963.8019999999999</v>
      </c>
      <c r="R48" s="3">
        <f t="shared" si="2"/>
        <v>1964.3272499999998</v>
      </c>
      <c r="S48" s="3">
        <f t="shared" si="3"/>
        <v>66.180519250223256</v>
      </c>
    </row>
    <row r="49" spans="1:19" x14ac:dyDescent="0.25">
      <c r="A49">
        <v>48.75</v>
      </c>
      <c r="B49">
        <v>2155.6480000000001</v>
      </c>
      <c r="C49">
        <v>1878.1880000000001</v>
      </c>
      <c r="D49">
        <v>2054.4250000000002</v>
      </c>
      <c r="E49">
        <v>1960.9079999999999</v>
      </c>
      <c r="F49">
        <v>2200.5079999999998</v>
      </c>
      <c r="H49" s="2">
        <f t="shared" si="0"/>
        <v>2049.9353999999998</v>
      </c>
      <c r="I49" s="2">
        <f t="shared" si="1"/>
        <v>59.703628673305928</v>
      </c>
      <c r="K49">
        <v>48.75</v>
      </c>
      <c r="L49">
        <v>2200.1770000000001</v>
      </c>
      <c r="M49">
        <v>1874.5139999999999</v>
      </c>
      <c r="N49" t="s">
        <v>6</v>
      </c>
      <c r="O49">
        <v>2016.0920000000001</v>
      </c>
      <c r="P49">
        <v>2037.1579999999999</v>
      </c>
      <c r="R49" s="3">
        <f t="shared" si="2"/>
        <v>2031.9852499999997</v>
      </c>
      <c r="S49" s="3">
        <f t="shared" si="3"/>
        <v>66.686462945857102</v>
      </c>
    </row>
    <row r="50" spans="1:19" x14ac:dyDescent="0.25">
      <c r="A50">
        <v>50</v>
      </c>
      <c r="B50">
        <v>2231.0369999999998</v>
      </c>
      <c r="C50">
        <v>1953.99</v>
      </c>
      <c r="D50">
        <v>2125.752</v>
      </c>
      <c r="E50">
        <v>2027.0419999999999</v>
      </c>
      <c r="F50">
        <v>2284.41</v>
      </c>
      <c r="H50" s="2">
        <f t="shared" si="0"/>
        <v>2124.4461999999999</v>
      </c>
      <c r="I50" s="2">
        <f t="shared" si="1"/>
        <v>61.438837621165938</v>
      </c>
      <c r="K50">
        <v>50</v>
      </c>
      <c r="L50">
        <v>2275.8539999999998</v>
      </c>
      <c r="M50">
        <v>1926.3</v>
      </c>
      <c r="N50" t="s">
        <v>6</v>
      </c>
      <c r="O50">
        <v>2083.3690000000001</v>
      </c>
      <c r="P50">
        <v>2109.4679999999998</v>
      </c>
      <c r="R50" s="3">
        <f t="shared" si="2"/>
        <v>2098.7477499999995</v>
      </c>
      <c r="S50" s="3">
        <f t="shared" si="3"/>
        <v>71.563654637410011</v>
      </c>
    </row>
    <row r="51" spans="1:19" x14ac:dyDescent="0.25">
      <c r="A51">
        <v>51.25</v>
      </c>
      <c r="B51">
        <v>2297.9609999999998</v>
      </c>
      <c r="C51">
        <v>2018.0329999999999</v>
      </c>
      <c r="D51">
        <v>2179.9609999999998</v>
      </c>
      <c r="E51">
        <v>2094.23</v>
      </c>
      <c r="F51">
        <v>2372.9209999999998</v>
      </c>
      <c r="H51" s="2">
        <f t="shared" si="0"/>
        <v>2192.6212</v>
      </c>
      <c r="I51" s="2">
        <f t="shared" si="1"/>
        <v>64.77910150071547</v>
      </c>
      <c r="K51">
        <v>51.25</v>
      </c>
      <c r="L51">
        <v>2337.549</v>
      </c>
      <c r="M51">
        <v>1975.8710000000001</v>
      </c>
      <c r="N51" t="s">
        <v>6</v>
      </c>
      <c r="O51">
        <v>2144.8879999999999</v>
      </c>
      <c r="P51">
        <v>2168.8110000000001</v>
      </c>
      <c r="R51" s="3">
        <f t="shared" si="2"/>
        <v>2156.7797500000001</v>
      </c>
      <c r="S51" s="3">
        <f t="shared" si="3"/>
        <v>73.988547687434917</v>
      </c>
    </row>
    <row r="52" spans="1:19" x14ac:dyDescent="0.25">
      <c r="A52">
        <v>52.5</v>
      </c>
      <c r="B52">
        <v>2368.3539999999998</v>
      </c>
      <c r="C52">
        <v>2043.4839999999999</v>
      </c>
      <c r="D52">
        <v>2213.7530000000002</v>
      </c>
      <c r="E52">
        <v>2126.3130000000001</v>
      </c>
      <c r="F52">
        <v>2422.1469999999999</v>
      </c>
      <c r="H52" s="2">
        <f t="shared" si="0"/>
        <v>2234.8101999999999</v>
      </c>
      <c r="I52" s="2">
        <f t="shared" si="1"/>
        <v>71.326638095034284</v>
      </c>
      <c r="K52">
        <v>52.5</v>
      </c>
      <c r="L52">
        <v>2375.9029999999998</v>
      </c>
      <c r="M52">
        <v>2029.9069999999999</v>
      </c>
      <c r="N52" t="s">
        <v>6</v>
      </c>
      <c r="O52">
        <v>2178.3069999999998</v>
      </c>
      <c r="P52">
        <v>2216.8339999999998</v>
      </c>
      <c r="R52" s="3">
        <f t="shared" si="2"/>
        <v>2200.2377499999998</v>
      </c>
      <c r="S52" s="3">
        <f t="shared" si="3"/>
        <v>71.07932057611761</v>
      </c>
    </row>
    <row r="53" spans="1:19" x14ac:dyDescent="0.25">
      <c r="A53">
        <v>53.75</v>
      </c>
      <c r="B53">
        <v>2440.348</v>
      </c>
      <c r="C53">
        <v>2035.4</v>
      </c>
      <c r="D53">
        <v>2220.89</v>
      </c>
      <c r="E53">
        <v>2114.6849999999999</v>
      </c>
      <c r="F53">
        <v>2400.96</v>
      </c>
      <c r="H53" s="2">
        <f t="shared" si="0"/>
        <v>2242.4566</v>
      </c>
      <c r="I53" s="2">
        <f t="shared" si="1"/>
        <v>78.723398558243147</v>
      </c>
      <c r="K53">
        <v>53.75</v>
      </c>
      <c r="L53">
        <v>2408.4340000000002</v>
      </c>
      <c r="M53">
        <v>2083.84</v>
      </c>
      <c r="N53" t="s">
        <v>6</v>
      </c>
      <c r="O53">
        <v>2206.627</v>
      </c>
      <c r="P53">
        <v>2256.1570000000002</v>
      </c>
      <c r="R53" s="3">
        <f t="shared" si="2"/>
        <v>2238.7645000000002</v>
      </c>
      <c r="S53" s="3">
        <f t="shared" si="3"/>
        <v>67.159423447123203</v>
      </c>
    </row>
    <row r="54" spans="1:19" x14ac:dyDescent="0.25">
      <c r="A54">
        <v>55</v>
      </c>
      <c r="B54">
        <v>2477.384</v>
      </c>
      <c r="C54">
        <v>1987.4690000000001</v>
      </c>
      <c r="D54">
        <v>2188.7220000000002</v>
      </c>
      <c r="E54">
        <v>2059.1480000000001</v>
      </c>
      <c r="F54">
        <v>2319.8580000000002</v>
      </c>
      <c r="H54" s="2">
        <f t="shared" si="0"/>
        <v>2206.5162000000005</v>
      </c>
      <c r="I54" s="2">
        <f t="shared" si="1"/>
        <v>88.383093535132602</v>
      </c>
      <c r="K54">
        <v>55</v>
      </c>
      <c r="L54">
        <v>2417.6610000000001</v>
      </c>
      <c r="M54">
        <v>2090.6950000000002</v>
      </c>
      <c r="N54" t="s">
        <v>6</v>
      </c>
      <c r="O54">
        <v>2187.9160000000002</v>
      </c>
      <c r="P54">
        <v>2244.2289999999998</v>
      </c>
      <c r="R54" s="3">
        <f t="shared" si="2"/>
        <v>2235.1252500000001</v>
      </c>
      <c r="S54" s="3">
        <f t="shared" si="3"/>
        <v>68.611823988744803</v>
      </c>
    </row>
    <row r="55" spans="1:19" x14ac:dyDescent="0.25">
      <c r="A55">
        <v>56.25</v>
      </c>
      <c r="B55">
        <v>2460.0320000000002</v>
      </c>
      <c r="C55">
        <v>1897.7380000000001</v>
      </c>
      <c r="D55">
        <v>2125.7379999999998</v>
      </c>
      <c r="E55">
        <v>1943.4090000000001</v>
      </c>
      <c r="F55">
        <v>2188.23</v>
      </c>
      <c r="H55" s="2">
        <f t="shared" si="0"/>
        <v>2123.0293999999999</v>
      </c>
      <c r="I55" s="2">
        <f t="shared" si="1"/>
        <v>100.2120028168283</v>
      </c>
      <c r="K55">
        <v>56.25</v>
      </c>
      <c r="L55">
        <v>2395.6669999999999</v>
      </c>
      <c r="M55">
        <v>2054.165</v>
      </c>
      <c r="N55" t="s">
        <v>6</v>
      </c>
      <c r="O55">
        <v>2106.4879999999998</v>
      </c>
      <c r="P55">
        <v>2187.15</v>
      </c>
      <c r="R55" s="3">
        <f t="shared" si="2"/>
        <v>2185.8674999999998</v>
      </c>
      <c r="S55" s="3">
        <f t="shared" si="3"/>
        <v>75.091127157274713</v>
      </c>
    </row>
    <row r="56" spans="1:19" x14ac:dyDescent="0.25">
      <c r="A56">
        <v>57.5</v>
      </c>
      <c r="B56">
        <v>2408.6790000000001</v>
      </c>
      <c r="C56">
        <v>1788.5039999999999</v>
      </c>
      <c r="D56">
        <v>2036.212</v>
      </c>
      <c r="E56">
        <v>1806.5550000000001</v>
      </c>
      <c r="F56">
        <v>2039.125</v>
      </c>
      <c r="H56" s="2">
        <f t="shared" si="0"/>
        <v>2015.8150000000001</v>
      </c>
      <c r="I56" s="2">
        <f t="shared" si="1"/>
        <v>111.97355815682501</v>
      </c>
      <c r="K56">
        <v>57.5</v>
      </c>
      <c r="L56">
        <v>2312.29</v>
      </c>
      <c r="M56">
        <v>1985.375</v>
      </c>
      <c r="N56" t="s">
        <v>6</v>
      </c>
      <c r="O56">
        <v>1983.5309999999999</v>
      </c>
      <c r="P56">
        <v>2096.098</v>
      </c>
      <c r="R56" s="3">
        <f t="shared" si="2"/>
        <v>2094.3235</v>
      </c>
      <c r="S56" s="3">
        <f t="shared" si="3"/>
        <v>77.275102545494349</v>
      </c>
    </row>
    <row r="57" spans="1:19" x14ac:dyDescent="0.25">
      <c r="A57">
        <v>58.75</v>
      </c>
      <c r="B57">
        <v>2351.0720000000001</v>
      </c>
      <c r="C57">
        <v>1670.2239999999999</v>
      </c>
      <c r="D57">
        <v>1926.425</v>
      </c>
      <c r="E57">
        <v>1666.095</v>
      </c>
      <c r="F57">
        <v>1891.3530000000001</v>
      </c>
      <c r="H57" s="2">
        <f t="shared" si="0"/>
        <v>1901.0338000000004</v>
      </c>
      <c r="I57" s="2">
        <f t="shared" si="1"/>
        <v>124.84835119191504</v>
      </c>
      <c r="K57">
        <v>58.75</v>
      </c>
      <c r="L57">
        <v>2197.127</v>
      </c>
      <c r="M57">
        <v>1892.0150000000001</v>
      </c>
      <c r="N57" t="s">
        <v>6</v>
      </c>
      <c r="O57">
        <v>1856.1469999999999</v>
      </c>
      <c r="P57">
        <v>1989.597</v>
      </c>
      <c r="R57" s="3">
        <f t="shared" si="2"/>
        <v>1983.7214999999999</v>
      </c>
      <c r="S57" s="3">
        <f t="shared" si="3"/>
        <v>76.518932364807583</v>
      </c>
    </row>
    <row r="58" spans="1:19" x14ac:dyDescent="0.25">
      <c r="A58">
        <v>60</v>
      </c>
      <c r="B58">
        <v>2278.0039999999999</v>
      </c>
      <c r="C58">
        <v>1579.9649999999999</v>
      </c>
      <c r="D58">
        <v>1831.0229999999999</v>
      </c>
      <c r="E58">
        <v>1567.3620000000001</v>
      </c>
      <c r="F58">
        <v>1791.069</v>
      </c>
      <c r="H58" s="2">
        <f t="shared" si="0"/>
        <v>1809.4846000000002</v>
      </c>
      <c r="I58" s="2">
        <f t="shared" si="1"/>
        <v>128.76646795443239</v>
      </c>
      <c r="K58">
        <v>60</v>
      </c>
      <c r="L58">
        <v>2062.672</v>
      </c>
      <c r="M58">
        <v>1801.6890000000001</v>
      </c>
      <c r="N58" t="s">
        <v>6</v>
      </c>
      <c r="O58">
        <v>1749.2260000000001</v>
      </c>
      <c r="P58">
        <v>1881.433</v>
      </c>
      <c r="R58" s="3">
        <f t="shared" si="2"/>
        <v>1873.7549999999999</v>
      </c>
      <c r="S58" s="3">
        <f t="shared" si="3"/>
        <v>68.586663408420705</v>
      </c>
    </row>
    <row r="59" spans="1:19" x14ac:dyDescent="0.25">
      <c r="A59">
        <v>61.25</v>
      </c>
      <c r="B59">
        <v>2179.8330000000001</v>
      </c>
      <c r="C59">
        <v>1501.0630000000001</v>
      </c>
      <c r="D59">
        <v>1746.277</v>
      </c>
      <c r="E59">
        <v>1500.6980000000001</v>
      </c>
      <c r="F59">
        <v>1715.5060000000001</v>
      </c>
      <c r="H59" s="2">
        <f t="shared" si="0"/>
        <v>1728.6754000000001</v>
      </c>
      <c r="I59" s="2">
        <f t="shared" si="1"/>
        <v>124.05795601274443</v>
      </c>
      <c r="K59">
        <v>61.25</v>
      </c>
      <c r="L59">
        <v>1932.9880000000001</v>
      </c>
      <c r="M59">
        <v>1729.556</v>
      </c>
      <c r="N59" t="s">
        <v>6</v>
      </c>
      <c r="O59">
        <v>1664.759</v>
      </c>
      <c r="P59">
        <v>1780.5650000000001</v>
      </c>
      <c r="R59" s="3">
        <f t="shared" si="2"/>
        <v>1776.9670000000001</v>
      </c>
      <c r="S59" s="3">
        <f t="shared" si="3"/>
        <v>57.150339915874525</v>
      </c>
    </row>
    <row r="60" spans="1:19" x14ac:dyDescent="0.25">
      <c r="A60">
        <v>62.5</v>
      </c>
      <c r="B60">
        <v>2082.7150000000001</v>
      </c>
      <c r="C60">
        <v>1446.3230000000001</v>
      </c>
      <c r="D60">
        <v>1660.248</v>
      </c>
      <c r="E60">
        <v>1456.0519999999999</v>
      </c>
      <c r="F60">
        <v>1645.0309999999999</v>
      </c>
      <c r="H60" s="2">
        <f t="shared" si="0"/>
        <v>1658.0737999999997</v>
      </c>
      <c r="I60" s="2">
        <f t="shared" si="1"/>
        <v>115.35731435214807</v>
      </c>
      <c r="K60">
        <v>62.5</v>
      </c>
      <c r="L60">
        <v>1839.6690000000001</v>
      </c>
      <c r="M60">
        <v>1646.4349999999999</v>
      </c>
      <c r="N60" t="s">
        <v>6</v>
      </c>
      <c r="O60">
        <v>1603.6289999999999</v>
      </c>
      <c r="P60">
        <v>1683.3789999999999</v>
      </c>
      <c r="R60" s="3">
        <f t="shared" si="2"/>
        <v>1693.278</v>
      </c>
      <c r="S60" s="3">
        <f t="shared" si="3"/>
        <v>51.445379556056061</v>
      </c>
    </row>
    <row r="61" spans="1:19" x14ac:dyDescent="0.25">
      <c r="A61">
        <v>63.75</v>
      </c>
      <c r="B61">
        <v>1987.421</v>
      </c>
      <c r="C61">
        <v>1408.5139999999999</v>
      </c>
      <c r="D61">
        <v>1592.761</v>
      </c>
      <c r="E61">
        <v>1428.3140000000001</v>
      </c>
      <c r="F61">
        <v>1607.2750000000001</v>
      </c>
      <c r="H61" s="2">
        <f t="shared" si="0"/>
        <v>1604.857</v>
      </c>
      <c r="I61" s="2">
        <f t="shared" si="1"/>
        <v>103.97725196743765</v>
      </c>
      <c r="K61">
        <v>63.75</v>
      </c>
      <c r="L61">
        <v>1772.963</v>
      </c>
      <c r="M61">
        <v>1554.172</v>
      </c>
      <c r="N61" t="s">
        <v>6</v>
      </c>
      <c r="O61">
        <v>1523.0170000000001</v>
      </c>
      <c r="P61">
        <v>1611.0340000000001</v>
      </c>
      <c r="R61" s="3">
        <f t="shared" si="2"/>
        <v>1615.2964999999999</v>
      </c>
      <c r="S61" s="3">
        <f t="shared" si="3"/>
        <v>55.624188944648878</v>
      </c>
    </row>
    <row r="62" spans="1:19" x14ac:dyDescent="0.25">
      <c r="A62">
        <v>65</v>
      </c>
      <c r="B62">
        <v>1894.6310000000001</v>
      </c>
      <c r="C62">
        <v>1380.2529999999999</v>
      </c>
      <c r="D62">
        <v>1535.413</v>
      </c>
      <c r="E62">
        <v>1403.0260000000001</v>
      </c>
      <c r="F62">
        <v>1588.2560000000001</v>
      </c>
      <c r="H62" s="2">
        <f t="shared" si="0"/>
        <v>1560.3158000000001</v>
      </c>
      <c r="I62" s="2">
        <f t="shared" si="1"/>
        <v>92.284925719967276</v>
      </c>
      <c r="K62">
        <v>65</v>
      </c>
      <c r="L62">
        <v>1669.56</v>
      </c>
      <c r="M62">
        <v>1472.116</v>
      </c>
      <c r="N62" t="s">
        <v>6</v>
      </c>
      <c r="O62">
        <v>1462.29</v>
      </c>
      <c r="P62">
        <v>1552.107</v>
      </c>
      <c r="R62" s="3">
        <f t="shared" si="2"/>
        <v>1539.0182500000001</v>
      </c>
      <c r="S62" s="3">
        <f t="shared" si="3"/>
        <v>47.937110948225687</v>
      </c>
    </row>
    <row r="63" spans="1:19" x14ac:dyDescent="0.25">
      <c r="A63">
        <v>66.25</v>
      </c>
      <c r="B63">
        <v>1796.086</v>
      </c>
      <c r="C63">
        <v>1358.951</v>
      </c>
      <c r="D63">
        <v>1490.8979999999999</v>
      </c>
      <c r="E63">
        <v>1397.7719999999999</v>
      </c>
      <c r="F63">
        <v>1568.116</v>
      </c>
      <c r="H63" s="2">
        <f t="shared" si="0"/>
        <v>1522.3646000000001</v>
      </c>
      <c r="I63" s="2">
        <f t="shared" si="1"/>
        <v>77.535173623071884</v>
      </c>
      <c r="K63">
        <v>66.25</v>
      </c>
      <c r="L63">
        <v>1570.2149999999999</v>
      </c>
      <c r="M63">
        <v>1393.432</v>
      </c>
      <c r="N63" t="s">
        <v>6</v>
      </c>
      <c r="O63">
        <v>1422.567</v>
      </c>
      <c r="P63">
        <v>1499.0029999999999</v>
      </c>
      <c r="R63" s="3">
        <f t="shared" si="2"/>
        <v>1471.3042499999999</v>
      </c>
      <c r="S63" s="3">
        <f t="shared" si="3"/>
        <v>39.78061093333239</v>
      </c>
    </row>
    <row r="64" spans="1:19" x14ac:dyDescent="0.25">
      <c r="A64">
        <v>67.5</v>
      </c>
      <c r="B64">
        <v>1679.384</v>
      </c>
      <c r="C64">
        <v>1328.1780000000001</v>
      </c>
      <c r="D64">
        <v>1451.5</v>
      </c>
      <c r="E64">
        <v>1396.1959999999999</v>
      </c>
      <c r="F64">
        <v>1572.838</v>
      </c>
      <c r="H64" s="2">
        <f t="shared" si="0"/>
        <v>1485.6191999999999</v>
      </c>
      <c r="I64" s="2">
        <f t="shared" si="1"/>
        <v>62.888900752358509</v>
      </c>
      <c r="K64">
        <v>67.5</v>
      </c>
      <c r="L64">
        <v>1495.135</v>
      </c>
      <c r="M64">
        <v>1332.8150000000001</v>
      </c>
      <c r="N64" t="s">
        <v>6</v>
      </c>
      <c r="O64">
        <v>1395.1669999999999</v>
      </c>
      <c r="P64">
        <v>1458.8620000000001</v>
      </c>
      <c r="R64" s="3">
        <f t="shared" si="2"/>
        <v>1420.4947500000001</v>
      </c>
      <c r="S64" s="3">
        <f t="shared" si="3"/>
        <v>35.791579867279303</v>
      </c>
    </row>
    <row r="65" spans="1:19" x14ac:dyDescent="0.25">
      <c r="A65">
        <v>68.75</v>
      </c>
      <c r="B65">
        <v>1582.2940000000001</v>
      </c>
      <c r="C65">
        <v>1304.1079999999999</v>
      </c>
      <c r="D65">
        <v>1417.8989999999999</v>
      </c>
      <c r="E65">
        <v>1388.6110000000001</v>
      </c>
      <c r="F65">
        <v>1563.943</v>
      </c>
      <c r="H65" s="2">
        <f t="shared" si="0"/>
        <v>1451.3709999999999</v>
      </c>
      <c r="I65" s="2">
        <f t="shared" si="1"/>
        <v>53.178412286378027</v>
      </c>
      <c r="K65">
        <v>68.75</v>
      </c>
      <c r="L65">
        <v>1460.45</v>
      </c>
      <c r="M65">
        <v>1300.5050000000001</v>
      </c>
      <c r="N65" t="s">
        <v>6</v>
      </c>
      <c r="O65">
        <v>1355.8030000000001</v>
      </c>
      <c r="P65">
        <v>1424.0650000000001</v>
      </c>
      <c r="R65" s="3">
        <f t="shared" si="2"/>
        <v>1385.2057500000001</v>
      </c>
      <c r="S65" s="3">
        <f t="shared" si="3"/>
        <v>35.602524754514704</v>
      </c>
    </row>
    <row r="66" spans="1:19" x14ac:dyDescent="0.25">
      <c r="A66">
        <v>70</v>
      </c>
      <c r="B66">
        <v>1534.7660000000001</v>
      </c>
      <c r="C66">
        <v>1294.9680000000001</v>
      </c>
      <c r="D66">
        <v>1398.923</v>
      </c>
      <c r="E66">
        <v>1385.1320000000001</v>
      </c>
      <c r="F66">
        <v>1562.049</v>
      </c>
      <c r="H66" s="2">
        <f t="shared" si="0"/>
        <v>1435.1676000000002</v>
      </c>
      <c r="I66" s="2">
        <f t="shared" si="1"/>
        <v>49.745296805426733</v>
      </c>
      <c r="K66">
        <v>70</v>
      </c>
      <c r="L66">
        <v>1443.595</v>
      </c>
      <c r="M66">
        <v>1277.835</v>
      </c>
      <c r="N66" t="s">
        <v>6</v>
      </c>
      <c r="O66">
        <v>1358.4480000000001</v>
      </c>
      <c r="P66">
        <v>1409.999</v>
      </c>
      <c r="R66" s="3">
        <f t="shared" si="2"/>
        <v>1372.4692500000001</v>
      </c>
      <c r="S66" s="3">
        <f t="shared" si="3"/>
        <v>36.078145708020614</v>
      </c>
    </row>
    <row r="67" spans="1:19" x14ac:dyDescent="0.25">
      <c r="A67">
        <v>71.25</v>
      </c>
      <c r="B67">
        <v>1514.9770000000001</v>
      </c>
      <c r="C67">
        <v>1296.934</v>
      </c>
      <c r="D67">
        <v>1389.3050000000001</v>
      </c>
      <c r="E67">
        <v>1374.2639999999999</v>
      </c>
      <c r="F67">
        <v>1570.731</v>
      </c>
      <c r="H67" s="2">
        <f t="shared" si="0"/>
        <v>1429.2422000000001</v>
      </c>
      <c r="I67" s="2">
        <f t="shared" si="1"/>
        <v>49.745642353275542</v>
      </c>
      <c r="K67">
        <v>71.25</v>
      </c>
      <c r="L67">
        <v>1412.1949999999999</v>
      </c>
      <c r="M67">
        <v>1268.5360000000001</v>
      </c>
      <c r="N67" t="s">
        <v>6</v>
      </c>
      <c r="O67">
        <v>1331.623</v>
      </c>
      <c r="P67">
        <v>1398.884</v>
      </c>
      <c r="R67" s="3">
        <f t="shared" si="2"/>
        <v>1352.8094999999998</v>
      </c>
      <c r="S67" s="3">
        <f t="shared" si="3"/>
        <v>33.166735022961369</v>
      </c>
    </row>
    <row r="68" spans="1:19" x14ac:dyDescent="0.25">
      <c r="A68">
        <v>72.5</v>
      </c>
      <c r="B68">
        <v>1519.0119999999999</v>
      </c>
      <c r="C68">
        <v>1305.673</v>
      </c>
      <c r="D68">
        <v>1411.415</v>
      </c>
      <c r="E68">
        <v>1385.4090000000001</v>
      </c>
      <c r="F68">
        <v>1579.893</v>
      </c>
      <c r="H68" s="2">
        <f t="shared" si="0"/>
        <v>1440.2804000000001</v>
      </c>
      <c r="I68" s="2">
        <f t="shared" si="1"/>
        <v>48.812691437371072</v>
      </c>
      <c r="K68">
        <v>72.5</v>
      </c>
      <c r="L68">
        <v>1446.5519999999999</v>
      </c>
      <c r="M68">
        <v>1268.663</v>
      </c>
      <c r="N68" t="s">
        <v>6</v>
      </c>
      <c r="O68">
        <v>1330.9670000000001</v>
      </c>
      <c r="P68">
        <v>1400.0730000000001</v>
      </c>
      <c r="R68" s="3">
        <f t="shared" si="2"/>
        <v>1361.56375</v>
      </c>
      <c r="S68" s="3">
        <f t="shared" si="3"/>
        <v>39.022082887716692</v>
      </c>
    </row>
    <row r="69" spans="1:19" x14ac:dyDescent="0.25">
      <c r="A69">
        <v>73.75</v>
      </c>
      <c r="B69">
        <v>1564.1369999999999</v>
      </c>
      <c r="C69">
        <v>1343.5830000000001</v>
      </c>
      <c r="D69">
        <v>1471.5989999999999</v>
      </c>
      <c r="E69">
        <v>1440.6590000000001</v>
      </c>
      <c r="F69">
        <v>1624.115</v>
      </c>
      <c r="H69" s="2">
        <f t="shared" ref="H69:H96" si="4">AVERAGE(B69:F69)</f>
        <v>1488.8186000000001</v>
      </c>
      <c r="I69" s="2">
        <f t="shared" ref="I69:I96" si="5">STDEV(B69:F69)/SQRT(COUNT(B69:F69))</f>
        <v>48.829918305891091</v>
      </c>
      <c r="K69">
        <v>73.75</v>
      </c>
      <c r="L69">
        <v>1544.7159999999999</v>
      </c>
      <c r="M69">
        <v>1311.9960000000001</v>
      </c>
      <c r="N69" t="s">
        <v>6</v>
      </c>
      <c r="O69">
        <v>1431.2280000000001</v>
      </c>
      <c r="P69">
        <v>1456.6610000000001</v>
      </c>
      <c r="R69" s="3">
        <f t="shared" ref="R69:R96" si="6">AVERAGE(L69:P69)</f>
        <v>1436.1502500000001</v>
      </c>
      <c r="S69" s="3">
        <f t="shared" ref="S69:S96" si="7">STDEV(L69:P69)/SQRT(COUNT(L69:P69))</f>
        <v>47.998020164681407</v>
      </c>
    </row>
    <row r="70" spans="1:19" x14ac:dyDescent="0.25">
      <c r="A70">
        <v>75</v>
      </c>
      <c r="B70">
        <v>1699.4490000000001</v>
      </c>
      <c r="C70">
        <v>1486.925</v>
      </c>
      <c r="D70">
        <v>1607.93</v>
      </c>
      <c r="E70">
        <v>1567.5229999999999</v>
      </c>
      <c r="F70">
        <v>1784.963</v>
      </c>
      <c r="H70" s="2">
        <f t="shared" si="4"/>
        <v>1629.3579999999999</v>
      </c>
      <c r="I70" s="2">
        <f t="shared" si="5"/>
        <v>51.814838706687112</v>
      </c>
      <c r="K70">
        <v>75</v>
      </c>
      <c r="L70">
        <v>1697.559</v>
      </c>
      <c r="M70">
        <v>1441.74</v>
      </c>
      <c r="N70" t="s">
        <v>6</v>
      </c>
      <c r="O70">
        <v>1590.9559999999999</v>
      </c>
      <c r="P70">
        <v>1620.3489999999999</v>
      </c>
      <c r="R70" s="3">
        <f t="shared" si="6"/>
        <v>1587.6510000000001</v>
      </c>
      <c r="S70" s="3">
        <f t="shared" si="7"/>
        <v>53.580057401673848</v>
      </c>
    </row>
    <row r="71" spans="1:19" x14ac:dyDescent="0.25">
      <c r="A71">
        <v>76.25</v>
      </c>
      <c r="B71">
        <v>1882.184</v>
      </c>
      <c r="C71">
        <v>1681.153</v>
      </c>
      <c r="D71">
        <v>1769.0730000000001</v>
      </c>
      <c r="E71">
        <v>1736.4739999999999</v>
      </c>
      <c r="F71">
        <v>1960.7909999999999</v>
      </c>
      <c r="H71" s="2">
        <f t="shared" si="4"/>
        <v>1805.9349999999999</v>
      </c>
      <c r="I71" s="2">
        <f t="shared" si="5"/>
        <v>50.76833453344711</v>
      </c>
      <c r="K71">
        <v>76.25</v>
      </c>
      <c r="L71">
        <v>1869.258</v>
      </c>
      <c r="M71">
        <v>1617.778</v>
      </c>
      <c r="N71" t="s">
        <v>6</v>
      </c>
      <c r="O71">
        <v>1772.2329999999999</v>
      </c>
      <c r="P71">
        <v>1806.2159999999999</v>
      </c>
      <c r="R71" s="3">
        <f t="shared" si="6"/>
        <v>1766.3712500000001</v>
      </c>
      <c r="S71" s="3">
        <f t="shared" si="7"/>
        <v>53.453719458011832</v>
      </c>
    </row>
    <row r="72" spans="1:19" x14ac:dyDescent="0.25">
      <c r="A72">
        <v>77.5</v>
      </c>
      <c r="B72">
        <v>1961.9059999999999</v>
      </c>
      <c r="C72">
        <v>1753.2339999999999</v>
      </c>
      <c r="D72">
        <v>1824.885</v>
      </c>
      <c r="E72">
        <v>1818.2760000000001</v>
      </c>
      <c r="F72">
        <v>2052.0839999999998</v>
      </c>
      <c r="H72" s="2">
        <f t="shared" si="4"/>
        <v>1882.0769999999998</v>
      </c>
      <c r="I72" s="2">
        <f t="shared" si="5"/>
        <v>54.413720881777579</v>
      </c>
      <c r="K72">
        <v>77.5</v>
      </c>
      <c r="L72">
        <v>1929.951</v>
      </c>
      <c r="M72">
        <v>1685.8589999999999</v>
      </c>
      <c r="N72" t="s">
        <v>6</v>
      </c>
      <c r="O72">
        <v>1843.4449999999999</v>
      </c>
      <c r="P72">
        <v>1869.4880000000001</v>
      </c>
      <c r="R72" s="3">
        <f t="shared" si="6"/>
        <v>1832.1857500000001</v>
      </c>
      <c r="S72" s="3">
        <f t="shared" si="7"/>
        <v>52.03187359586272</v>
      </c>
    </row>
    <row r="73" spans="1:19" x14ac:dyDescent="0.25">
      <c r="A73">
        <v>78.75</v>
      </c>
      <c r="B73">
        <v>1919.2919999999999</v>
      </c>
      <c r="C73">
        <v>1710.9280000000001</v>
      </c>
      <c r="D73">
        <v>1792.9190000000001</v>
      </c>
      <c r="E73">
        <v>1780.45</v>
      </c>
      <c r="F73">
        <v>2014.6179999999999</v>
      </c>
      <c r="H73" s="2">
        <f t="shared" si="4"/>
        <v>1843.6414</v>
      </c>
      <c r="I73" s="2">
        <f t="shared" si="5"/>
        <v>54.375901125038801</v>
      </c>
      <c r="K73">
        <v>78.75</v>
      </c>
      <c r="L73">
        <v>1881.1389999999999</v>
      </c>
      <c r="M73">
        <v>1639.046</v>
      </c>
      <c r="N73" t="s">
        <v>6</v>
      </c>
      <c r="O73">
        <v>1798.1389999999999</v>
      </c>
      <c r="P73">
        <v>1823.0419999999999</v>
      </c>
      <c r="R73" s="3">
        <f t="shared" si="6"/>
        <v>1785.3415</v>
      </c>
      <c r="S73" s="3">
        <f t="shared" si="7"/>
        <v>51.772449263580299</v>
      </c>
    </row>
    <row r="74" spans="1:19" x14ac:dyDescent="0.25">
      <c r="A74">
        <v>80</v>
      </c>
      <c r="B74">
        <v>1828.386</v>
      </c>
      <c r="C74">
        <v>1639.89</v>
      </c>
      <c r="D74">
        <v>1762.037</v>
      </c>
      <c r="E74">
        <v>1744.4770000000001</v>
      </c>
      <c r="F74">
        <v>1956.499</v>
      </c>
      <c r="H74" s="2">
        <f t="shared" si="4"/>
        <v>1786.2578000000001</v>
      </c>
      <c r="I74" s="2">
        <f t="shared" si="5"/>
        <v>52.207598436817584</v>
      </c>
      <c r="K74">
        <v>80</v>
      </c>
      <c r="L74">
        <v>1797.0250000000001</v>
      </c>
      <c r="M74">
        <v>1558.4079999999999</v>
      </c>
      <c r="N74" t="s">
        <v>6</v>
      </c>
      <c r="O74">
        <v>1726.6579999999999</v>
      </c>
      <c r="P74">
        <v>1736.35</v>
      </c>
      <c r="R74" s="3">
        <f t="shared" si="6"/>
        <v>1704.6102500000002</v>
      </c>
      <c r="S74" s="3">
        <f t="shared" si="7"/>
        <v>51.160775121791332</v>
      </c>
    </row>
    <row r="75" spans="1:19" x14ac:dyDescent="0.25">
      <c r="A75">
        <v>81.25</v>
      </c>
      <c r="B75">
        <v>1877.749</v>
      </c>
      <c r="C75">
        <v>1789.356</v>
      </c>
      <c r="D75">
        <v>1941.338</v>
      </c>
      <c r="E75">
        <v>1975.925</v>
      </c>
      <c r="F75">
        <v>2149.3359999999998</v>
      </c>
      <c r="H75" s="2">
        <f t="shared" si="4"/>
        <v>1946.7408</v>
      </c>
      <c r="I75" s="2">
        <f t="shared" si="5"/>
        <v>59.772722281488853</v>
      </c>
      <c r="K75">
        <v>81.25</v>
      </c>
      <c r="L75">
        <v>1921.923</v>
      </c>
      <c r="M75">
        <v>1662.6659999999999</v>
      </c>
      <c r="N75" t="s">
        <v>6</v>
      </c>
      <c r="O75">
        <v>1927.616</v>
      </c>
      <c r="P75">
        <v>1855.8489999999999</v>
      </c>
      <c r="R75" s="3">
        <f t="shared" si="6"/>
        <v>1842.0135</v>
      </c>
      <c r="S75" s="3">
        <f t="shared" si="7"/>
        <v>61.961186112086878</v>
      </c>
    </row>
    <row r="76" spans="1:19" x14ac:dyDescent="0.25">
      <c r="A76">
        <v>82.5</v>
      </c>
      <c r="B76">
        <v>2268.5439999999999</v>
      </c>
      <c r="C76">
        <v>2429.0940000000001</v>
      </c>
      <c r="D76">
        <v>2466.1129999999998</v>
      </c>
      <c r="E76">
        <v>2615.114</v>
      </c>
      <c r="F76">
        <v>2802.8049999999998</v>
      </c>
      <c r="H76" s="2">
        <f t="shared" si="4"/>
        <v>2516.3339999999998</v>
      </c>
      <c r="I76" s="2">
        <f t="shared" si="5"/>
        <v>90.375874209326454</v>
      </c>
      <c r="K76">
        <v>82.5</v>
      </c>
      <c r="L76">
        <v>2511.0369999999998</v>
      </c>
      <c r="M76">
        <v>2195.6819999999998</v>
      </c>
      <c r="N76" t="s">
        <v>6</v>
      </c>
      <c r="O76">
        <v>2570.1660000000002</v>
      </c>
      <c r="P76">
        <v>2498.6129999999998</v>
      </c>
      <c r="R76" s="3">
        <f t="shared" si="6"/>
        <v>2443.8744999999999</v>
      </c>
      <c r="S76" s="3">
        <f t="shared" si="7"/>
        <v>84.190342289065484</v>
      </c>
    </row>
    <row r="77" spans="1:19" x14ac:dyDescent="0.25">
      <c r="A77">
        <v>83.75</v>
      </c>
      <c r="B77">
        <v>2780.7260000000001</v>
      </c>
      <c r="C77">
        <v>3234.2979999999998</v>
      </c>
      <c r="D77">
        <v>3080.5920000000001</v>
      </c>
      <c r="E77">
        <v>3382.6619999999998</v>
      </c>
      <c r="F77">
        <v>3546.462</v>
      </c>
      <c r="H77" s="2">
        <f t="shared" si="4"/>
        <v>3204.9479999999999</v>
      </c>
      <c r="I77" s="2">
        <f t="shared" si="5"/>
        <v>131.24485142511301</v>
      </c>
      <c r="K77">
        <v>83.75</v>
      </c>
      <c r="L77">
        <v>3253.5659999999998</v>
      </c>
      <c r="M77">
        <v>2912.788</v>
      </c>
      <c r="N77" t="s">
        <v>6</v>
      </c>
      <c r="O77">
        <v>3419.105</v>
      </c>
      <c r="P77">
        <v>3277.7150000000001</v>
      </c>
      <c r="R77" s="3">
        <f t="shared" si="6"/>
        <v>3215.7934999999998</v>
      </c>
      <c r="S77" s="3">
        <f t="shared" si="7"/>
        <v>107.39682373523281</v>
      </c>
    </row>
    <row r="78" spans="1:19" x14ac:dyDescent="0.25">
      <c r="A78">
        <v>85</v>
      </c>
      <c r="B78">
        <v>3135.9029999999998</v>
      </c>
      <c r="C78">
        <v>3816.0010000000002</v>
      </c>
      <c r="D78">
        <v>3512.0129999999999</v>
      </c>
      <c r="E78">
        <v>3943.5320000000002</v>
      </c>
      <c r="F78">
        <v>4033.681</v>
      </c>
      <c r="H78" s="2">
        <f t="shared" si="4"/>
        <v>3688.2260000000001</v>
      </c>
      <c r="I78" s="2">
        <f t="shared" si="5"/>
        <v>163.85336111657892</v>
      </c>
      <c r="K78">
        <v>85</v>
      </c>
      <c r="L78">
        <v>3783.1950000000002</v>
      </c>
      <c r="M78">
        <v>3474.5929999999998</v>
      </c>
      <c r="N78" t="s">
        <v>6</v>
      </c>
      <c r="O78">
        <v>4057.6570000000002</v>
      </c>
      <c r="P78">
        <v>3820.1869999999999</v>
      </c>
      <c r="R78" s="3">
        <f t="shared" si="6"/>
        <v>3783.9079999999999</v>
      </c>
      <c r="S78" s="3">
        <f t="shared" si="7"/>
        <v>119.69786911080197</v>
      </c>
    </row>
    <row r="79" spans="1:19" x14ac:dyDescent="0.25">
      <c r="A79">
        <v>86.25</v>
      </c>
      <c r="B79">
        <v>3149.4859999999999</v>
      </c>
      <c r="C79">
        <v>3923.8539999999998</v>
      </c>
      <c r="D79">
        <v>3581.64</v>
      </c>
      <c r="E79">
        <v>4087.55</v>
      </c>
      <c r="F79">
        <v>4064.9989999999998</v>
      </c>
      <c r="H79" s="2">
        <f t="shared" si="4"/>
        <v>3761.5057999999999</v>
      </c>
      <c r="I79" s="2">
        <f t="shared" si="5"/>
        <v>177.72026086589005</v>
      </c>
      <c r="K79">
        <v>86.25</v>
      </c>
      <c r="L79">
        <v>3907.88</v>
      </c>
      <c r="M79">
        <v>3565.2310000000002</v>
      </c>
      <c r="N79" t="s">
        <v>6</v>
      </c>
      <c r="O79">
        <v>4159.3140000000003</v>
      </c>
      <c r="P79">
        <v>3876.1849999999999</v>
      </c>
      <c r="R79" s="3">
        <f t="shared" si="6"/>
        <v>3877.1525000000001</v>
      </c>
      <c r="S79" s="3">
        <f t="shared" si="7"/>
        <v>121.74264165203854</v>
      </c>
    </row>
    <row r="80" spans="1:19" x14ac:dyDescent="0.25">
      <c r="A80">
        <v>87.5</v>
      </c>
      <c r="B80">
        <v>2883.72</v>
      </c>
      <c r="C80">
        <v>3515.9340000000002</v>
      </c>
      <c r="D80">
        <v>3298.183</v>
      </c>
      <c r="E80">
        <v>3792.3539999999998</v>
      </c>
      <c r="F80">
        <v>3683.0349999999999</v>
      </c>
      <c r="H80" s="2">
        <f t="shared" si="4"/>
        <v>3434.6451999999999</v>
      </c>
      <c r="I80" s="2">
        <f t="shared" si="5"/>
        <v>160.99712037344023</v>
      </c>
      <c r="K80">
        <v>87.5</v>
      </c>
      <c r="L80">
        <v>3572.471</v>
      </c>
      <c r="M80">
        <v>3236.41</v>
      </c>
      <c r="N80" t="s">
        <v>6</v>
      </c>
      <c r="O80">
        <v>3777.328</v>
      </c>
      <c r="P80">
        <v>3489.663</v>
      </c>
      <c r="R80" s="3">
        <f t="shared" si="6"/>
        <v>3518.9679999999998</v>
      </c>
      <c r="S80" s="3">
        <f t="shared" si="7"/>
        <v>111.91896882640883</v>
      </c>
    </row>
    <row r="81" spans="1:19" x14ac:dyDescent="0.25">
      <c r="A81">
        <v>88.75</v>
      </c>
      <c r="B81">
        <v>2558.1680000000001</v>
      </c>
      <c r="C81">
        <v>2968.556</v>
      </c>
      <c r="D81">
        <v>2856.38</v>
      </c>
      <c r="E81">
        <v>3274.9290000000001</v>
      </c>
      <c r="F81">
        <v>3176.5390000000002</v>
      </c>
      <c r="H81" s="2">
        <f t="shared" si="4"/>
        <v>2966.9144000000001</v>
      </c>
      <c r="I81" s="2">
        <f t="shared" si="5"/>
        <v>126.11693674625941</v>
      </c>
      <c r="K81">
        <v>88.75</v>
      </c>
      <c r="L81">
        <v>3024.6660000000002</v>
      </c>
      <c r="M81">
        <v>2726.3879999999999</v>
      </c>
      <c r="N81" t="s">
        <v>6</v>
      </c>
      <c r="O81">
        <v>3167.3209999999999</v>
      </c>
      <c r="P81">
        <v>2948.1509999999998</v>
      </c>
      <c r="R81" s="3">
        <f t="shared" si="6"/>
        <v>2966.6315</v>
      </c>
      <c r="S81" s="3">
        <f t="shared" si="7"/>
        <v>92.061006391142612</v>
      </c>
    </row>
    <row r="82" spans="1:19" x14ac:dyDescent="0.25">
      <c r="A82">
        <v>90</v>
      </c>
      <c r="B82">
        <v>2418.6819999999998</v>
      </c>
      <c r="C82">
        <v>2701.2860000000001</v>
      </c>
      <c r="D82">
        <v>2583.277</v>
      </c>
      <c r="E82">
        <v>2914.6889999999999</v>
      </c>
      <c r="F82">
        <v>2908.8420000000001</v>
      </c>
      <c r="H82" s="2">
        <f t="shared" si="4"/>
        <v>2705.3552</v>
      </c>
      <c r="I82" s="2">
        <f t="shared" si="5"/>
        <v>95.480020553726348</v>
      </c>
      <c r="K82">
        <v>90</v>
      </c>
      <c r="L82">
        <v>2645.46</v>
      </c>
      <c r="M82">
        <v>2436.8339999999998</v>
      </c>
      <c r="N82" t="s">
        <v>6</v>
      </c>
      <c r="O82">
        <v>2850.3119999999999</v>
      </c>
      <c r="P82">
        <v>2700.5189999999998</v>
      </c>
      <c r="R82" s="3">
        <f t="shared" si="6"/>
        <v>2658.28125</v>
      </c>
      <c r="S82" s="3">
        <f t="shared" si="7"/>
        <v>85.568250271712941</v>
      </c>
    </row>
    <row r="83" spans="1:19" x14ac:dyDescent="0.25">
      <c r="A83">
        <v>91.25</v>
      </c>
      <c r="B83">
        <v>2465.8159999999998</v>
      </c>
      <c r="C83">
        <v>2871.03</v>
      </c>
      <c r="D83">
        <v>2573.886</v>
      </c>
      <c r="E83">
        <v>2961.6170000000002</v>
      </c>
      <c r="F83">
        <v>2910.6709999999998</v>
      </c>
      <c r="H83" s="2">
        <f t="shared" si="4"/>
        <v>2756.6040000000003</v>
      </c>
      <c r="I83" s="2">
        <f t="shared" si="5"/>
        <v>99.197733996800594</v>
      </c>
      <c r="K83">
        <v>91.25</v>
      </c>
      <c r="L83">
        <v>2569.2379999999998</v>
      </c>
      <c r="M83">
        <v>2491.444</v>
      </c>
      <c r="N83" t="s">
        <v>6</v>
      </c>
      <c r="O83">
        <v>2940.4740000000002</v>
      </c>
      <c r="P83">
        <v>2746.873</v>
      </c>
      <c r="R83" s="3">
        <f t="shared" si="6"/>
        <v>2687.0072500000001</v>
      </c>
      <c r="S83" s="3">
        <f t="shared" si="7"/>
        <v>99.976614921836486</v>
      </c>
    </row>
    <row r="84" spans="1:19" x14ac:dyDescent="0.25">
      <c r="A84">
        <v>92.5</v>
      </c>
      <c r="B84">
        <v>2713.2310000000002</v>
      </c>
      <c r="C84">
        <v>3171.5929999999998</v>
      </c>
      <c r="D84">
        <v>2763.9270000000001</v>
      </c>
      <c r="E84">
        <v>3239.5439999999999</v>
      </c>
      <c r="F84">
        <v>3104.9180000000001</v>
      </c>
      <c r="H84" s="2">
        <f t="shared" si="4"/>
        <v>2998.6426000000001</v>
      </c>
      <c r="I84" s="2">
        <f t="shared" si="5"/>
        <v>108.57968970419829</v>
      </c>
      <c r="K84">
        <v>92.5</v>
      </c>
      <c r="L84">
        <v>2763.598</v>
      </c>
      <c r="M84">
        <v>2673.3319999999999</v>
      </c>
      <c r="N84" t="s">
        <v>6</v>
      </c>
      <c r="O84">
        <v>3203.9690000000001</v>
      </c>
      <c r="P84">
        <v>2945.64</v>
      </c>
      <c r="R84" s="3">
        <f t="shared" si="6"/>
        <v>2896.6347500000002</v>
      </c>
      <c r="S84" s="3">
        <f t="shared" si="7"/>
        <v>117.05367385618092</v>
      </c>
    </row>
    <row r="85" spans="1:19" x14ac:dyDescent="0.25">
      <c r="A85">
        <v>93.75</v>
      </c>
      <c r="B85">
        <v>3146.4650000000001</v>
      </c>
      <c r="C85">
        <v>3393.817</v>
      </c>
      <c r="D85">
        <v>3068.5320000000002</v>
      </c>
      <c r="E85">
        <v>3489.6909999999998</v>
      </c>
      <c r="F85">
        <v>3417.48</v>
      </c>
      <c r="H85" s="2">
        <f t="shared" si="4"/>
        <v>3303.1970000000001</v>
      </c>
      <c r="I85" s="2">
        <f t="shared" si="5"/>
        <v>82.366614163142515</v>
      </c>
      <c r="K85">
        <v>93.75</v>
      </c>
      <c r="L85">
        <v>3129.7</v>
      </c>
      <c r="M85">
        <v>2922.279</v>
      </c>
      <c r="N85" t="s">
        <v>6</v>
      </c>
      <c r="O85">
        <v>3476.6750000000002</v>
      </c>
      <c r="P85">
        <v>3191.0459999999998</v>
      </c>
      <c r="R85" s="3">
        <f t="shared" si="6"/>
        <v>3179.9249999999997</v>
      </c>
      <c r="S85" s="3">
        <f t="shared" si="7"/>
        <v>114.41454273896601</v>
      </c>
    </row>
    <row r="86" spans="1:19" x14ac:dyDescent="0.25">
      <c r="A86">
        <v>95</v>
      </c>
      <c r="B86">
        <v>3588.5859999999998</v>
      </c>
      <c r="C86">
        <v>3516.241</v>
      </c>
      <c r="D86">
        <v>3380.3330000000001</v>
      </c>
      <c r="E86">
        <v>3676.712</v>
      </c>
      <c r="F86">
        <v>3765.8969999999999</v>
      </c>
      <c r="H86" s="2">
        <f t="shared" si="4"/>
        <v>3585.5538000000001</v>
      </c>
      <c r="I86" s="2">
        <f t="shared" si="5"/>
        <v>66.242932621827649</v>
      </c>
      <c r="K86">
        <v>95</v>
      </c>
      <c r="L86">
        <v>3515.7339999999999</v>
      </c>
      <c r="M86">
        <v>3185.8409999999999</v>
      </c>
      <c r="N86" t="s">
        <v>6</v>
      </c>
      <c r="O86">
        <v>3648.7530000000002</v>
      </c>
      <c r="P86">
        <v>3452.884</v>
      </c>
      <c r="R86" s="3">
        <f t="shared" si="6"/>
        <v>3450.8029999999999</v>
      </c>
      <c r="S86" s="3">
        <f t="shared" si="7"/>
        <v>97.300834728348249</v>
      </c>
    </row>
    <row r="87" spans="1:19" x14ac:dyDescent="0.25">
      <c r="A87">
        <v>96.25</v>
      </c>
      <c r="B87">
        <v>3996.8359999999998</v>
      </c>
      <c r="C87">
        <v>3596.3319999999999</v>
      </c>
      <c r="D87">
        <v>3668.712</v>
      </c>
      <c r="E87">
        <v>3790.462</v>
      </c>
      <c r="F87">
        <v>4043.4920000000002</v>
      </c>
      <c r="H87" s="2">
        <f t="shared" si="4"/>
        <v>3819.1668</v>
      </c>
      <c r="I87" s="2">
        <f t="shared" si="5"/>
        <v>88.0352487532125</v>
      </c>
      <c r="K87">
        <v>96.25</v>
      </c>
      <c r="L87">
        <v>3851.1179999999999</v>
      </c>
      <c r="M87">
        <v>3411.1060000000002</v>
      </c>
      <c r="N87" t="s">
        <v>6</v>
      </c>
      <c r="O87">
        <v>3753.4549999999999</v>
      </c>
      <c r="P87">
        <v>3707.2840000000001</v>
      </c>
      <c r="R87" s="3">
        <f t="shared" si="6"/>
        <v>3680.7407499999999</v>
      </c>
      <c r="S87" s="3">
        <f t="shared" si="7"/>
        <v>94.746685077785983</v>
      </c>
    </row>
    <row r="88" spans="1:19" x14ac:dyDescent="0.25">
      <c r="A88">
        <v>97.5</v>
      </c>
      <c r="B88">
        <v>4350.4350000000004</v>
      </c>
      <c r="C88">
        <v>3729.2179999999998</v>
      </c>
      <c r="D88">
        <v>3955.953</v>
      </c>
      <c r="E88">
        <v>3926.9520000000002</v>
      </c>
      <c r="F88">
        <v>4301.5609999999997</v>
      </c>
      <c r="H88" s="2">
        <f t="shared" si="4"/>
        <v>4052.8237999999997</v>
      </c>
      <c r="I88" s="2">
        <f t="shared" si="5"/>
        <v>118.4041799833942</v>
      </c>
      <c r="K88">
        <v>97.5</v>
      </c>
      <c r="L88">
        <v>4160.7269999999999</v>
      </c>
      <c r="M88">
        <v>3663.1439999999998</v>
      </c>
      <c r="N88" t="s">
        <v>6</v>
      </c>
      <c r="O88">
        <v>3900.5909999999999</v>
      </c>
      <c r="P88">
        <v>3959.384</v>
      </c>
      <c r="R88" s="3">
        <f t="shared" si="6"/>
        <v>3920.9614999999999</v>
      </c>
      <c r="S88" s="3">
        <f t="shared" si="7"/>
        <v>102.40792778271614</v>
      </c>
    </row>
    <row r="89" spans="1:19" x14ac:dyDescent="0.25">
      <c r="A89">
        <v>98.75</v>
      </c>
      <c r="B89">
        <v>4581.5569999999998</v>
      </c>
      <c r="C89">
        <v>3928.4059999999999</v>
      </c>
      <c r="D89">
        <v>4188.25</v>
      </c>
      <c r="E89">
        <v>4077.105</v>
      </c>
      <c r="F89">
        <v>4548.32</v>
      </c>
      <c r="H89" s="2">
        <f t="shared" si="4"/>
        <v>4264.7276000000002</v>
      </c>
      <c r="I89" s="2">
        <f t="shared" si="5"/>
        <v>129.415764109555</v>
      </c>
      <c r="K89">
        <v>98.75</v>
      </c>
      <c r="L89">
        <v>4415.384</v>
      </c>
      <c r="M89">
        <v>3875.377</v>
      </c>
      <c r="N89" t="s">
        <v>6</v>
      </c>
      <c r="O89">
        <v>4101.4560000000001</v>
      </c>
      <c r="P89">
        <v>4222.1819999999998</v>
      </c>
      <c r="R89" s="3">
        <f t="shared" si="6"/>
        <v>4153.5997500000003</v>
      </c>
      <c r="S89" s="3">
        <f t="shared" si="7"/>
        <v>113.04917360922708</v>
      </c>
    </row>
    <row r="90" spans="1:19" x14ac:dyDescent="0.25">
      <c r="A90">
        <v>100</v>
      </c>
      <c r="B90">
        <v>4576.8040000000001</v>
      </c>
      <c r="C90">
        <v>4012.748</v>
      </c>
      <c r="D90">
        <v>4248.7269999999999</v>
      </c>
      <c r="E90">
        <v>4184.12</v>
      </c>
      <c r="F90">
        <v>4660.6899999999996</v>
      </c>
      <c r="H90" s="2">
        <f t="shared" si="4"/>
        <v>4336.6177999999991</v>
      </c>
      <c r="I90" s="2">
        <f t="shared" si="5"/>
        <v>122.18515060448217</v>
      </c>
      <c r="K90">
        <v>100</v>
      </c>
      <c r="L90">
        <v>4493.2560000000003</v>
      </c>
      <c r="M90">
        <v>3906.1669999999999</v>
      </c>
      <c r="N90" t="s">
        <v>6</v>
      </c>
      <c r="O90">
        <v>4205.2110000000002</v>
      </c>
      <c r="P90">
        <v>4357.07</v>
      </c>
      <c r="R90" s="3">
        <f t="shared" si="6"/>
        <v>4240.4260000000004</v>
      </c>
      <c r="S90" s="3">
        <f t="shared" si="7"/>
        <v>125.99537258103308</v>
      </c>
    </row>
    <row r="91" spans="1:19" x14ac:dyDescent="0.25">
      <c r="A91">
        <v>101.25</v>
      </c>
      <c r="B91">
        <v>4326.0919999999996</v>
      </c>
      <c r="C91">
        <v>3869.1819999999998</v>
      </c>
      <c r="D91">
        <v>4086.8989999999999</v>
      </c>
      <c r="E91">
        <v>4085.5140000000001</v>
      </c>
      <c r="F91">
        <v>4491.5919999999996</v>
      </c>
      <c r="H91" s="2">
        <f t="shared" si="4"/>
        <v>4171.8557999999994</v>
      </c>
      <c r="I91" s="2">
        <f t="shared" si="5"/>
        <v>107.77384573281213</v>
      </c>
      <c r="K91">
        <v>101.25</v>
      </c>
      <c r="L91">
        <v>4313.741</v>
      </c>
      <c r="M91">
        <v>3741.8649999999998</v>
      </c>
      <c r="N91" t="s">
        <v>6</v>
      </c>
      <c r="O91">
        <v>4080.6080000000002</v>
      </c>
      <c r="P91">
        <v>4229.5680000000002</v>
      </c>
      <c r="R91" s="3">
        <f t="shared" si="6"/>
        <v>4091.4454999999998</v>
      </c>
      <c r="S91" s="3">
        <f t="shared" si="7"/>
        <v>126.10084975691751</v>
      </c>
    </row>
    <row r="92" spans="1:19" x14ac:dyDescent="0.25">
      <c r="A92">
        <v>102.5</v>
      </c>
      <c r="B92">
        <v>3955.9349999999999</v>
      </c>
      <c r="C92">
        <v>3577.6109999999999</v>
      </c>
      <c r="D92">
        <v>3782.2069999999999</v>
      </c>
      <c r="E92">
        <v>3794.45</v>
      </c>
      <c r="F92">
        <v>4123.5</v>
      </c>
      <c r="H92" s="2">
        <f t="shared" si="4"/>
        <v>3846.7406000000001</v>
      </c>
      <c r="I92" s="2">
        <f t="shared" si="5"/>
        <v>91.61026592396729</v>
      </c>
      <c r="K92">
        <v>102.5</v>
      </c>
      <c r="L92">
        <v>3957.873</v>
      </c>
      <c r="M92">
        <v>3472.2179999999998</v>
      </c>
      <c r="N92" t="s">
        <v>6</v>
      </c>
      <c r="O92">
        <v>3764.2860000000001</v>
      </c>
      <c r="P92">
        <v>3925.5810000000001</v>
      </c>
      <c r="R92" s="3">
        <f t="shared" si="6"/>
        <v>3779.9895000000001</v>
      </c>
      <c r="S92" s="3">
        <f t="shared" si="7"/>
        <v>110.98397803624634</v>
      </c>
    </row>
    <row r="93" spans="1:19" x14ac:dyDescent="0.25">
      <c r="A93">
        <v>103.75</v>
      </c>
      <c r="B93">
        <v>3559.7260000000001</v>
      </c>
      <c r="C93">
        <v>3202.703</v>
      </c>
      <c r="D93">
        <v>3396.665</v>
      </c>
      <c r="E93">
        <v>3412.3150000000001</v>
      </c>
      <c r="F93">
        <v>3685.6419999999998</v>
      </c>
      <c r="H93" s="2">
        <f t="shared" si="4"/>
        <v>3451.4101999999998</v>
      </c>
      <c r="I93" s="2">
        <f t="shared" si="5"/>
        <v>81.540662119828283</v>
      </c>
      <c r="K93">
        <v>103.75</v>
      </c>
      <c r="L93">
        <v>3535.0639999999999</v>
      </c>
      <c r="M93">
        <v>3128.453</v>
      </c>
      <c r="N93" t="s">
        <v>6</v>
      </c>
      <c r="O93">
        <v>3360.0709999999999</v>
      </c>
      <c r="P93">
        <v>3538.8530000000001</v>
      </c>
      <c r="R93" s="3">
        <f t="shared" si="6"/>
        <v>3390.6102499999997</v>
      </c>
      <c r="S93" s="3">
        <f t="shared" si="7"/>
        <v>96.825387655110887</v>
      </c>
    </row>
    <row r="94" spans="1:19" x14ac:dyDescent="0.25">
      <c r="A94">
        <v>105</v>
      </c>
      <c r="B94">
        <v>3234.35</v>
      </c>
      <c r="C94">
        <v>2842.5050000000001</v>
      </c>
      <c r="D94">
        <v>3040.8829999999998</v>
      </c>
      <c r="E94">
        <v>3024.9119999999998</v>
      </c>
      <c r="F94">
        <v>3272.4029999999998</v>
      </c>
      <c r="H94" s="2">
        <f t="shared" si="4"/>
        <v>3083.0106000000001</v>
      </c>
      <c r="I94" s="2">
        <f t="shared" si="5"/>
        <v>78.02762997977058</v>
      </c>
      <c r="K94">
        <v>105</v>
      </c>
      <c r="L94">
        <v>3159.8679999999999</v>
      </c>
      <c r="M94">
        <v>2811.221</v>
      </c>
      <c r="N94" t="s">
        <v>6</v>
      </c>
      <c r="O94">
        <v>2971.337</v>
      </c>
      <c r="P94">
        <v>3169.5340000000001</v>
      </c>
      <c r="R94" s="3">
        <f t="shared" si="6"/>
        <v>3027.99</v>
      </c>
      <c r="S94" s="3">
        <f t="shared" si="7"/>
        <v>85.452166244240615</v>
      </c>
    </row>
    <row r="95" spans="1:19" x14ac:dyDescent="0.25">
      <c r="A95">
        <v>106.25</v>
      </c>
      <c r="B95">
        <v>3000.0030000000002</v>
      </c>
      <c r="C95">
        <v>2605.835</v>
      </c>
      <c r="D95">
        <v>2780.5349999999999</v>
      </c>
      <c r="E95">
        <v>2725.6</v>
      </c>
      <c r="F95">
        <v>2959.6190000000001</v>
      </c>
      <c r="H95" s="2">
        <f t="shared" si="4"/>
        <v>2814.3184000000001</v>
      </c>
      <c r="I95" s="2">
        <f t="shared" si="5"/>
        <v>73.508038923372212</v>
      </c>
      <c r="K95">
        <v>106.25</v>
      </c>
      <c r="L95">
        <v>2883.5810000000001</v>
      </c>
      <c r="M95">
        <v>2591.4870000000001</v>
      </c>
      <c r="N95" t="s">
        <v>6</v>
      </c>
      <c r="O95">
        <v>2704.875</v>
      </c>
      <c r="P95">
        <v>2906.9450000000002</v>
      </c>
      <c r="R95" s="3">
        <f t="shared" si="6"/>
        <v>2771.7220000000002</v>
      </c>
      <c r="S95" s="3">
        <f t="shared" si="7"/>
        <v>75.139244209223563</v>
      </c>
    </row>
    <row r="96" spans="1:19" x14ac:dyDescent="0.25">
      <c r="A96">
        <v>107.5</v>
      </c>
      <c r="B96">
        <v>2782.24</v>
      </c>
      <c r="C96">
        <v>2408.998</v>
      </c>
      <c r="D96">
        <v>2581.7289999999998</v>
      </c>
      <c r="E96">
        <v>2515.4859999999999</v>
      </c>
      <c r="F96">
        <v>2734.0369999999998</v>
      </c>
      <c r="H96" s="2">
        <f t="shared" si="4"/>
        <v>2604.4979999999996</v>
      </c>
      <c r="I96" s="2">
        <f t="shared" si="5"/>
        <v>68.93271523376977</v>
      </c>
      <c r="K96">
        <v>107.5</v>
      </c>
      <c r="L96">
        <v>2648.817</v>
      </c>
      <c r="M96">
        <v>2396.0210000000002</v>
      </c>
      <c r="N96" t="s">
        <v>6</v>
      </c>
      <c r="O96">
        <v>2507.4789999999998</v>
      </c>
      <c r="P96">
        <v>2699.1120000000001</v>
      </c>
      <c r="R96" s="3">
        <f t="shared" si="6"/>
        <v>2562.85725</v>
      </c>
      <c r="S96" s="3">
        <f t="shared" si="7"/>
        <v>68.832841244054165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BRIGHT!OCT_RAW___\AD09\_dark_profiles_AD09_DARK</vt:lpstr>
      <vt:lpstr>BRIGHT!OCT_RAW___\AD09\_light_profiles_AD09_LIGHT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2019-11-17T01:46:27Z</dcterms:modified>
</cp:coreProperties>
</file>