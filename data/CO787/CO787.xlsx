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787\"/>
    </mc:Choice>
  </mc:AlternateContent>
  <xr:revisionPtr revIDLastSave="0" documentId="13_ncr:1_{D04E0556-C232-417D-A88B-B05AAD6F4398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9\_dark_profiles_CO09_DARK" localSheetId="0">BRIGHT!$A$2:$F$96</definedName>
    <definedName name="OCT_RAW___\CO09\_fovea_dark_profiles_CO09_DARK" localSheetId="0">BRIGHT!#REF!</definedName>
    <definedName name="OCT_RAW___\CO09\_fovea_light_profiles_CO09_LIGHT" localSheetId="0">BRIGHT!#REF!</definedName>
    <definedName name="OCT_RAW___\CO09\_light_profiles_CO09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A3D309-38EA-482F-B2A5-EB816DD494CD}" name="[[[OCT RAW]]]\CO09\_dark_profiles_CO09_DARK" type="6" refreshedVersion="6" background="1" saveData="1">
    <textPr codePage="437" sourceFile="E:\[Documents]\[[[OCT RAW]]]\CO09\_dark_profiles_CO09_DARK.txt" space="1" consecutive="1">
      <textFields count="6">
        <textField/>
        <textField/>
        <textField/>
        <textField/>
        <textField/>
        <textField/>
      </textFields>
    </textPr>
  </connection>
  <connection id="2" xr16:uid="{70635EDC-41E7-44C2-B53F-5BCD0C6FE084}" name="[[[OCT RAW]]]\CO09\_light_profiles_CO09_LIGHT" type="6" refreshedVersion="6" background="1" saveData="1">
    <textPr codePage="437" sourceFile="E:\[Documents]\[[[OCT RAW]]]\CO09\_light_profiles_CO09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<sst xmlns="http://schemas.openxmlformats.org/spreadsheetml/2006/main" count="12" uniqueCount="8">
  <si>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</si>
  <si>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</si>
  <si>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</si>
  <si>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</si>
  <si>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</si>
  <si>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</si>
  <si>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CO787_DARK</t>
  </si>
  <si>
    <t>CO787_LIGHT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</si>
</sst>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558.596</c:v>
                </c:pt>
                <c:pt idx="1">
                  <c:v>826.69979999999998</c:v>
                </c:pt>
                <c:pt idx="2">
                  <c:v>1374.9122</c:v>
                </c:pt>
                <c:pt idx="3">
                  <c:v>2026.1172000000001</c:v>
                </c:pt>
                <c:pt idx="4">
                  <c:v>2709.5012000000002</c:v>
                </c:pt>
                <c:pt idx="5">
                  <c:v>3143.8046000000004</c:v>
                </c:pt>
                <c:pt idx="6">
                  <c:v>3386.328</c:v>
                </c:pt>
                <c:pt idx="7">
                  <c:v>3531.5716000000002</c:v>
                </c:pt>
                <c:pt idx="8">
                  <c:v>3588.1226000000001</c:v>
                </c:pt>
                <c:pt idx="9">
                  <c:v>3532.9569999999999</c:v>
                </c:pt>
                <c:pt idx="10">
                  <c:v>3343.5093999999999</c:v>
                </c:pt>
                <c:pt idx="11">
                  <c:v>2928.0924000000005</c:v>
                </c:pt>
                <c:pt idx="12">
                  <c:v>2622.2057999999997</c:v>
                </c:pt>
                <c:pt idx="13">
                  <c:v>2485.4699999999998</c:v>
                </c:pt>
                <c:pt idx="14">
                  <c:v>2450.002</c:v>
                </c:pt>
                <c:pt idx="15">
                  <c:v>2461.5698000000002</c:v>
                </c:pt>
                <c:pt idx="16">
                  <c:v>2489.471</c:v>
                </c:pt>
                <c:pt idx="17">
                  <c:v>2509.3824</c:v>
                </c:pt>
                <c:pt idx="18">
                  <c:v>2515.9458</c:v>
                </c:pt>
                <c:pt idx="19">
                  <c:v>2501.9214000000002</c:v>
                </c:pt>
                <c:pt idx="20">
                  <c:v>2481.0719999999997</c:v>
                </c:pt>
                <c:pt idx="21">
                  <c:v>2469.9389999999999</c:v>
                </c:pt>
                <c:pt idx="22">
                  <c:v>2477.1687999999999</c:v>
                </c:pt>
                <c:pt idx="23">
                  <c:v>2487.9416000000001</c:v>
                </c:pt>
                <c:pt idx="24">
                  <c:v>2499.2791999999999</c:v>
                </c:pt>
                <c:pt idx="25">
                  <c:v>2507.4888000000001</c:v>
                </c:pt>
                <c:pt idx="26">
                  <c:v>2517.3540000000003</c:v>
                </c:pt>
                <c:pt idx="27">
                  <c:v>2529.5710000000004</c:v>
                </c:pt>
                <c:pt idx="28">
                  <c:v>2535.1076000000003</c:v>
                </c:pt>
                <c:pt idx="29">
                  <c:v>2536.1804000000002</c:v>
                </c:pt>
                <c:pt idx="30">
                  <c:v>2538.2431999999999</c:v>
                </c:pt>
                <c:pt idx="31">
                  <c:v>2512.1307999999999</c:v>
                </c:pt>
                <c:pt idx="32">
                  <c:v>2403.0488</c:v>
                </c:pt>
                <c:pt idx="33">
                  <c:v>2231.5404000000003</c:v>
                </c:pt>
                <c:pt idx="34">
                  <c:v>2060.2665999999999</c:v>
                </c:pt>
                <c:pt idx="35">
                  <c:v>1960.3337999999999</c:v>
                </c:pt>
                <c:pt idx="36">
                  <c:v>1916.9095999999997</c:v>
                </c:pt>
                <c:pt idx="37">
                  <c:v>1901.7208000000003</c:v>
                </c:pt>
                <c:pt idx="38">
                  <c:v>1901.047</c:v>
                </c:pt>
                <c:pt idx="39">
                  <c:v>1917.1034</c:v>
                </c:pt>
                <c:pt idx="40">
                  <c:v>1956.9929999999999</c:v>
                </c:pt>
                <c:pt idx="41">
                  <c:v>2019.6407999999999</c:v>
                </c:pt>
                <c:pt idx="42">
                  <c:v>2102.1053999999999</c:v>
                </c:pt>
                <c:pt idx="43">
                  <c:v>2195.0648000000001</c:v>
                </c:pt>
                <c:pt idx="44">
                  <c:v>2284.8588</c:v>
                </c:pt>
                <c:pt idx="45">
                  <c:v>2330.2251999999999</c:v>
                </c:pt>
                <c:pt idx="46">
                  <c:v>2337.5313999999998</c:v>
                </c:pt>
                <c:pt idx="47">
                  <c:v>2330.2560000000003</c:v>
                </c:pt>
                <c:pt idx="48">
                  <c:v>2271.4935999999998</c:v>
                </c:pt>
                <c:pt idx="49">
                  <c:v>2161.2205999999996</c:v>
                </c:pt>
                <c:pt idx="50">
                  <c:v>2062.1519999999996</c:v>
                </c:pt>
                <c:pt idx="51">
                  <c:v>1995.2306000000001</c:v>
                </c:pt>
                <c:pt idx="52">
                  <c:v>1946.2424000000003</c:v>
                </c:pt>
                <c:pt idx="53">
                  <c:v>1890.9743999999998</c:v>
                </c:pt>
                <c:pt idx="54">
                  <c:v>1825.4135999999999</c:v>
                </c:pt>
                <c:pt idx="55">
                  <c:v>1751.3876</c:v>
                </c:pt>
                <c:pt idx="56">
                  <c:v>1670.3991999999998</c:v>
                </c:pt>
                <c:pt idx="57">
                  <c:v>1589.21</c:v>
                </c:pt>
                <c:pt idx="58">
                  <c:v>1522.5112000000001</c:v>
                </c:pt>
                <c:pt idx="59">
                  <c:v>1472.6623999999999</c:v>
                </c:pt>
                <c:pt idx="60">
                  <c:v>1450.7084</c:v>
                </c:pt>
                <c:pt idx="61">
                  <c:v>1445.2794000000001</c:v>
                </c:pt>
                <c:pt idx="62">
                  <c:v>1465.374</c:v>
                </c:pt>
                <c:pt idx="63">
                  <c:v>1556.1968000000002</c:v>
                </c:pt>
                <c:pt idx="64">
                  <c:v>1712.4368000000002</c:v>
                </c:pt>
                <c:pt idx="65">
                  <c:v>1789.7081999999998</c:v>
                </c:pt>
                <c:pt idx="66">
                  <c:v>1745.0154000000002</c:v>
                </c:pt>
                <c:pt idx="67">
                  <c:v>1658.2080000000001</c:v>
                </c:pt>
                <c:pt idx="68">
                  <c:v>1663.7594000000001</c:v>
                </c:pt>
                <c:pt idx="69">
                  <c:v>1966.1279999999999</c:v>
                </c:pt>
                <c:pt idx="70">
                  <c:v>2592.1406000000002</c:v>
                </c:pt>
                <c:pt idx="71">
                  <c:v>3249.9288000000001</c:v>
                </c:pt>
                <c:pt idx="72">
                  <c:v>3604.8311999999996</c:v>
                </c:pt>
                <c:pt idx="73">
                  <c:v>3500.8152</c:v>
                </c:pt>
                <c:pt idx="74">
                  <c:v>3104.0710000000004</c:v>
                </c:pt>
                <c:pt idx="75">
                  <c:v>2777.6276000000003</c:v>
                </c:pt>
                <c:pt idx="76">
                  <c:v>2724.5848000000001</c:v>
                </c:pt>
                <c:pt idx="77">
                  <c:v>2848.7388000000001</c:v>
                </c:pt>
                <c:pt idx="78">
                  <c:v>3073.6689999999999</c:v>
                </c:pt>
                <c:pt idx="79">
                  <c:v>3366.8722000000002</c:v>
                </c:pt>
                <c:pt idx="80">
                  <c:v>3710.8023999999996</c:v>
                </c:pt>
                <c:pt idx="81">
                  <c:v>4049.8326000000002</c:v>
                </c:pt>
                <c:pt idx="82">
                  <c:v>4292.0461999999998</c:v>
                </c:pt>
                <c:pt idx="83">
                  <c:v>4335.3144000000002</c:v>
                </c:pt>
                <c:pt idx="84">
                  <c:v>4110.6365999999998</c:v>
                </c:pt>
                <c:pt idx="85">
                  <c:v>3704.7898</c:v>
                </c:pt>
                <c:pt idx="86">
                  <c:v>3222.6408000000001</c:v>
                </c:pt>
                <c:pt idx="87">
                  <c:v>2802.7937999999999</c:v>
                </c:pt>
                <c:pt idx="88">
                  <c:v>2532.9418000000001</c:v>
                </c:pt>
                <c:pt idx="89">
                  <c:v>2339.1079999999997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512.46360000000004</c:v>
                </c:pt>
                <c:pt idx="1">
                  <c:v>796.34559999999999</c:v>
                </c:pt>
                <c:pt idx="2">
                  <c:v>1372.4869999999999</c:v>
                </c:pt>
                <c:pt idx="3">
                  <c:v>2081.9034000000001</c:v>
                </c:pt>
                <c:pt idx="4">
                  <c:v>2845.3448000000003</c:v>
                </c:pt>
                <c:pt idx="5">
                  <c:v>3319.9192000000003</c:v>
                </c:pt>
                <c:pt idx="6">
                  <c:v>3543.7084000000004</c:v>
                </c:pt>
                <c:pt idx="7">
                  <c:v>3690.4913999999999</c:v>
                </c:pt>
                <c:pt idx="8">
                  <c:v>3762.3195999999998</c:v>
                </c:pt>
                <c:pt idx="9">
                  <c:v>3721.7718</c:v>
                </c:pt>
                <c:pt idx="10">
                  <c:v>3491.9835999999996</c:v>
                </c:pt>
                <c:pt idx="11">
                  <c:v>3026.2116000000001</c:v>
                </c:pt>
                <c:pt idx="12">
                  <c:v>2672.107</c:v>
                </c:pt>
                <c:pt idx="13">
                  <c:v>2498.348</c:v>
                </c:pt>
                <c:pt idx="14">
                  <c:v>2452.7608</c:v>
                </c:pt>
                <c:pt idx="15">
                  <c:v>2460.0302000000001</c:v>
                </c:pt>
                <c:pt idx="16">
                  <c:v>2484.0657999999999</c:v>
                </c:pt>
                <c:pt idx="17">
                  <c:v>2510.3923999999997</c:v>
                </c:pt>
                <c:pt idx="18">
                  <c:v>2526.5970000000002</c:v>
                </c:pt>
                <c:pt idx="19">
                  <c:v>2520.4576000000002</c:v>
                </c:pt>
                <c:pt idx="20">
                  <c:v>2491.8875999999996</c:v>
                </c:pt>
                <c:pt idx="21">
                  <c:v>2469.9575999999997</c:v>
                </c:pt>
                <c:pt idx="22">
                  <c:v>2466.2936</c:v>
                </c:pt>
                <c:pt idx="23">
                  <c:v>2481.2996000000003</c:v>
                </c:pt>
                <c:pt idx="24">
                  <c:v>2494.6728000000003</c:v>
                </c:pt>
                <c:pt idx="25">
                  <c:v>2507.1777999999999</c:v>
                </c:pt>
                <c:pt idx="26">
                  <c:v>2520.9934000000003</c:v>
                </c:pt>
                <c:pt idx="27">
                  <c:v>2536.2053999999998</c:v>
                </c:pt>
                <c:pt idx="28">
                  <c:v>2546.9772000000003</c:v>
                </c:pt>
                <c:pt idx="29">
                  <c:v>2554.1976</c:v>
                </c:pt>
                <c:pt idx="30">
                  <c:v>2560.5980000000004</c:v>
                </c:pt>
                <c:pt idx="31">
                  <c:v>2536.4810000000007</c:v>
                </c:pt>
                <c:pt idx="32">
                  <c:v>2425.9595999999997</c:v>
                </c:pt>
                <c:pt idx="33">
                  <c:v>2239.8458000000001</c:v>
                </c:pt>
                <c:pt idx="34">
                  <c:v>2058.7457999999997</c:v>
                </c:pt>
                <c:pt idx="35">
                  <c:v>1958.9270000000001</c:v>
                </c:pt>
                <c:pt idx="36">
                  <c:v>1913.7198000000001</c:v>
                </c:pt>
                <c:pt idx="37">
                  <c:v>1895.316</c:v>
                </c:pt>
                <c:pt idx="38">
                  <c:v>1890.1118000000001</c:v>
                </c:pt>
                <c:pt idx="39">
                  <c:v>1895.3400000000001</c:v>
                </c:pt>
                <c:pt idx="40">
                  <c:v>1931.0574000000001</c:v>
                </c:pt>
                <c:pt idx="41">
                  <c:v>1996.2779999999998</c:v>
                </c:pt>
                <c:pt idx="42">
                  <c:v>2076.0385999999999</c:v>
                </c:pt>
                <c:pt idx="43">
                  <c:v>2156.4864000000002</c:v>
                </c:pt>
                <c:pt idx="44">
                  <c:v>2233.1226000000001</c:v>
                </c:pt>
                <c:pt idx="45">
                  <c:v>2270.0582000000004</c:v>
                </c:pt>
                <c:pt idx="46">
                  <c:v>2272.6068</c:v>
                </c:pt>
                <c:pt idx="47">
                  <c:v>2238.3532</c:v>
                </c:pt>
                <c:pt idx="48">
                  <c:v>2129.1063999999997</c:v>
                </c:pt>
                <c:pt idx="49">
                  <c:v>1988.8164000000002</c:v>
                </c:pt>
                <c:pt idx="50">
                  <c:v>1863.4955999999997</c:v>
                </c:pt>
                <c:pt idx="51">
                  <c:v>1772.6094000000001</c:v>
                </c:pt>
                <c:pt idx="52">
                  <c:v>1699.1442</c:v>
                </c:pt>
                <c:pt idx="53">
                  <c:v>1641.1641999999999</c:v>
                </c:pt>
                <c:pt idx="54">
                  <c:v>1595.2624000000001</c:v>
                </c:pt>
                <c:pt idx="55">
                  <c:v>1549.3458000000001</c:v>
                </c:pt>
                <c:pt idx="56">
                  <c:v>1504.9263999999998</c:v>
                </c:pt>
                <c:pt idx="57">
                  <c:v>1483.2624000000001</c:v>
                </c:pt>
                <c:pt idx="58">
                  <c:v>1468.4404</c:v>
                </c:pt>
                <c:pt idx="59">
                  <c:v>1448.8259999999998</c:v>
                </c:pt>
                <c:pt idx="60">
                  <c:v>1434.6904</c:v>
                </c:pt>
                <c:pt idx="61">
                  <c:v>1426.5827999999997</c:v>
                </c:pt>
                <c:pt idx="62">
                  <c:v>1445.1322</c:v>
                </c:pt>
                <c:pt idx="63">
                  <c:v>1534.4468000000002</c:v>
                </c:pt>
                <c:pt idx="64">
                  <c:v>1698.3078</c:v>
                </c:pt>
                <c:pt idx="65">
                  <c:v>1783.8936000000001</c:v>
                </c:pt>
                <c:pt idx="66">
                  <c:v>1739.5968</c:v>
                </c:pt>
                <c:pt idx="67">
                  <c:v>1655.9742000000001</c:v>
                </c:pt>
                <c:pt idx="68">
                  <c:v>1695.2858000000001</c:v>
                </c:pt>
                <c:pt idx="69">
                  <c:v>2063.9759999999997</c:v>
                </c:pt>
                <c:pt idx="70">
                  <c:v>2788.4974000000002</c:v>
                </c:pt>
                <c:pt idx="71">
                  <c:v>3570.9535999999998</c:v>
                </c:pt>
                <c:pt idx="72">
                  <c:v>4007.0816</c:v>
                </c:pt>
                <c:pt idx="73">
                  <c:v>3894.114</c:v>
                </c:pt>
                <c:pt idx="74">
                  <c:v>3414.1472000000003</c:v>
                </c:pt>
                <c:pt idx="75">
                  <c:v>3014.9994000000006</c:v>
                </c:pt>
                <c:pt idx="76">
                  <c:v>2954.5626000000002</c:v>
                </c:pt>
                <c:pt idx="77">
                  <c:v>3068.8530000000001</c:v>
                </c:pt>
                <c:pt idx="78">
                  <c:v>3263.1295999999998</c:v>
                </c:pt>
                <c:pt idx="79">
                  <c:v>3502.1457999999998</c:v>
                </c:pt>
                <c:pt idx="80">
                  <c:v>3760.4852000000001</c:v>
                </c:pt>
                <c:pt idx="81">
                  <c:v>4028.7671999999998</c:v>
                </c:pt>
                <c:pt idx="82">
                  <c:v>4254.7978000000003</c:v>
                </c:pt>
                <c:pt idx="83">
                  <c:v>4308.1384000000007</c:v>
                </c:pt>
                <c:pt idx="84">
                  <c:v>4110.9430000000002</c:v>
                </c:pt>
                <c:pt idx="85">
                  <c:v>3721.0647999999992</c:v>
                </c:pt>
                <c:pt idx="86">
                  <c:v>3199.0497999999998</c:v>
                </c:pt>
                <c:pt idx="87">
                  <c:v>2717.5449999999996</c:v>
                </c:pt>
                <c:pt idx="88">
                  <c:v>2418.1056000000003</c:v>
                </c:pt>
                <c:pt idx="89">
                  <c:v>2232.4022000000004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9\_dark_profiles_CO09_DARK" connectionId="1" xr16:uid="{F5277786-534A-4914-8F76-C4AE629CDCC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9\_light_profiles_CO09_LIGHT" connectionId="2" xr16:uid="{A1EAB37D-0CAF-49E2-8006-A13C5349B2F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C7" sqref="C7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-5.9470000000000001</v>
      </c>
      <c r="C3">
        <v>-0.74299999999999999</v>
      </c>
      <c r="D3">
        <v>-5.6550000000000002</v>
      </c>
      <c r="E3">
        <v>-0.85699999999999998</v>
      </c>
      <c r="F3">
        <v>0.50700000000000001</v>
      </c>
      <c r="K3" t="s">
        <v>0</v>
      </c>
      <c r="L3">
        <v>-3.5999999999999997E-2</v>
      </c>
      <c r="M3">
        <v>0.51800000000000002</v>
      </c>
      <c r="N3">
        <v>-1.9379999999999999</v>
      </c>
      <c r="O3">
        <v>0.32300000000000001</v>
      </c>
      <c r="P3">
        <v>-0.377</v>
      </c>
    </row>
    <row r="4" spans="1:19" x14ac:dyDescent="0.25">
      <c r="A4" t="s">
        <v>1</v>
      </c>
      <c r="B4">
        <v>322.06599999999997</v>
      </c>
      <c r="C4">
        <v>320.80399999999997</v>
      </c>
      <c r="D4">
        <v>319.76400000000001</v>
      </c>
      <c r="E4">
        <v>318.36399999999998</v>
      </c>
      <c r="F4">
        <v>318.36099999999999</v>
      </c>
      <c r="H4" s="2">
        <f>AVERAGE(B4:F4)</f>
        <v>319.87180000000001</v>
      </c>
      <c r="I4" s="2">
        <f>STDEV(B4:F4)/SQRT(COUNT(B4:F4))</f>
        <v>0.71592977309230332</v>
      </c>
      <c r="K4" t="s">
        <v>1</v>
      </c>
      <c r="L4">
        <v>317.42399999999998</v>
      </c>
      <c r="M4">
        <v>321.18599999999998</v>
      </c>
      <c r="N4">
        <v>318.83199999999999</v>
      </c>
      <c r="O4">
        <v>319.77800000000002</v>
      </c>
      <c r="P4">
        <v>318.79700000000003</v>
      </c>
      <c r="R4" s="3">
        <f>AVERAGE(L4:P4)</f>
        <v>319.20339999999999</v>
      </c>
      <c r="S4" s="3">
        <f>STDEV(L4:P4)/SQRT(COUNT(L4:P4))</f>
        <v>0.62170053884486864</v>
      </c>
    </row>
    <row r="5" spans="1:19" x14ac:dyDescent="0.25">
      <c r="A5" t="s">
        <v>2</v>
      </c>
      <c r="B5">
        <v>66.981999999999999</v>
      </c>
      <c r="C5">
        <v>66.054000000000002</v>
      </c>
      <c r="D5">
        <v>66.491</v>
      </c>
      <c r="E5">
        <v>65.822999999999993</v>
      </c>
      <c r="F5">
        <v>66.347999999999999</v>
      </c>
      <c r="H5" s="2">
        <f t="shared" ref="H5:H68" si="0">AVERAGE(B5:F5)</f>
        <v>66.33959999999999</v>
      </c>
      <c r="I5" s="2">
        <f t="shared" ref="I5:I68" si="1">STDEV(B5:F5)/SQRT(COUNT(B5:F5))</f>
        <v>0.19800419187481924</v>
      </c>
      <c r="K5" t="s">
        <v>2</v>
      </c>
      <c r="L5">
        <v>65.790000000000006</v>
      </c>
      <c r="M5">
        <v>65.438000000000002</v>
      </c>
      <c r="N5">
        <v>65.986000000000004</v>
      </c>
      <c r="O5">
        <v>66.165999999999997</v>
      </c>
      <c r="P5">
        <v>66.221999999999994</v>
      </c>
      <c r="R5" s="3">
        <f t="shared" ref="R5:R68" si="2">AVERAGE(L5:P5)</f>
        <v>65.920400000000001</v>
      </c>
      <c r="S5" s="3">
        <f t="shared" ref="S5:S68" si="3">STDEV(L5:P5)/SQRT(COUNT(L5:P5))</f>
        <v>0.14235504908502394</v>
      </c>
    </row>
    <row r="6" spans="1:19" x14ac:dyDescent="0.25">
      <c r="A6" t="s">
        <v>3</v>
      </c>
      <c r="B6">
        <v>34.414000000000001</v>
      </c>
      <c r="C6">
        <v>36.475999999999999</v>
      </c>
      <c r="D6">
        <v>33.323999999999998</v>
      </c>
      <c r="E6">
        <v>33.509</v>
      </c>
      <c r="F6">
        <v>33.104999999999997</v>
      </c>
      <c r="H6" s="2">
        <f t="shared" si="0"/>
        <v>34.165599999999998</v>
      </c>
      <c r="I6" s="2">
        <f t="shared" si="1"/>
        <v>0.61902896539661234</v>
      </c>
      <c r="K6" t="s">
        <v>3</v>
      </c>
      <c r="L6">
        <v>32.905999999999999</v>
      </c>
      <c r="M6">
        <v>37.667000000000002</v>
      </c>
      <c r="N6">
        <v>33.396000000000001</v>
      </c>
      <c r="O6">
        <v>33.570999999999998</v>
      </c>
      <c r="P6">
        <v>33.122999999999998</v>
      </c>
      <c r="R6" s="3">
        <f t="shared" si="2"/>
        <v>34.132600000000004</v>
      </c>
      <c r="S6" s="3">
        <f t="shared" si="3"/>
        <v>0.89089273203904917</v>
      </c>
    </row>
    <row r="7" spans="1:19" x14ac:dyDescent="0.25">
      <c r="A7">
        <v>-3.75</v>
      </c>
      <c r="B7">
        <v>733.79600000000005</v>
      </c>
      <c r="C7">
        <v>508.11799999999999</v>
      </c>
      <c r="D7">
        <v>587.92899999999997</v>
      </c>
      <c r="E7">
        <v>503.036</v>
      </c>
      <c r="F7">
        <v>460.101</v>
      </c>
      <c r="H7" s="2">
        <f t="shared" si="0"/>
        <v>558.596</v>
      </c>
      <c r="I7" s="2">
        <f t="shared" si="1"/>
        <v>48.420900444952487</v>
      </c>
      <c r="K7">
        <v>-3.75</v>
      </c>
      <c r="L7">
        <v>513.26400000000001</v>
      </c>
      <c r="M7">
        <v>475.90100000000001</v>
      </c>
      <c r="N7">
        <v>507.589</v>
      </c>
      <c r="O7">
        <v>523.20600000000002</v>
      </c>
      <c r="P7">
        <v>542.35799999999995</v>
      </c>
      <c r="R7" s="3">
        <f t="shared" si="2"/>
        <v>512.46360000000004</v>
      </c>
      <c r="S7" s="3">
        <f t="shared" si="3"/>
        <v>10.886460382511839</v>
      </c>
    </row>
    <row r="8" spans="1:19" x14ac:dyDescent="0.25">
      <c r="A8">
        <v>-2.5</v>
      </c>
      <c r="B8">
        <v>972.29499999999996</v>
      </c>
      <c r="C8">
        <v>750.70899999999995</v>
      </c>
      <c r="D8">
        <v>842.28</v>
      </c>
      <c r="E8">
        <v>815.39700000000005</v>
      </c>
      <c r="F8">
        <v>752.81799999999998</v>
      </c>
      <c r="H8" s="2">
        <f t="shared" si="0"/>
        <v>826.69979999999998</v>
      </c>
      <c r="I8" s="2">
        <f t="shared" si="1"/>
        <v>40.497888981279011</v>
      </c>
      <c r="K8">
        <v>-2.5</v>
      </c>
      <c r="L8">
        <v>811.60799999999995</v>
      </c>
      <c r="M8">
        <v>673.25300000000004</v>
      </c>
      <c r="N8">
        <v>809.07</v>
      </c>
      <c r="O8">
        <v>786.29499999999996</v>
      </c>
      <c r="P8">
        <v>901.50199999999995</v>
      </c>
      <c r="R8" s="3">
        <f t="shared" si="2"/>
        <v>796.34559999999999</v>
      </c>
      <c r="S8" s="3">
        <f t="shared" si="3"/>
        <v>36.541430189033363</v>
      </c>
    </row>
    <row r="9" spans="1:19" x14ac:dyDescent="0.25">
      <c r="A9">
        <v>-1.25</v>
      </c>
      <c r="B9">
        <v>1506.1079999999999</v>
      </c>
      <c r="C9">
        <v>1361.903</v>
      </c>
      <c r="D9">
        <v>1397.5360000000001</v>
      </c>
      <c r="E9">
        <v>1341.048</v>
      </c>
      <c r="F9">
        <v>1267.9659999999999</v>
      </c>
      <c r="H9" s="2">
        <f t="shared" si="0"/>
        <v>1374.9122</v>
      </c>
      <c r="I9" s="2">
        <f t="shared" si="1"/>
        <v>39.036961513929342</v>
      </c>
      <c r="K9">
        <v>-1.25</v>
      </c>
      <c r="L9">
        <v>1311.194</v>
      </c>
      <c r="M9">
        <v>1255.6600000000001</v>
      </c>
      <c r="N9">
        <v>1420.3789999999999</v>
      </c>
      <c r="O9">
        <v>1317.1679999999999</v>
      </c>
      <c r="P9">
        <v>1558.0340000000001</v>
      </c>
      <c r="R9" s="3">
        <f t="shared" si="2"/>
        <v>1372.4869999999999</v>
      </c>
      <c r="S9" s="3">
        <f t="shared" si="3"/>
        <v>53.472845637762738</v>
      </c>
    </row>
    <row r="10" spans="1:19" x14ac:dyDescent="0.25">
      <c r="A10">
        <v>0</v>
      </c>
      <c r="B10">
        <v>2089.9319999999998</v>
      </c>
      <c r="C10">
        <v>2128.605</v>
      </c>
      <c r="D10">
        <v>2039.403</v>
      </c>
      <c r="E10">
        <v>1959.3420000000001</v>
      </c>
      <c r="F10">
        <v>1913.3040000000001</v>
      </c>
      <c r="H10" s="2">
        <f t="shared" si="0"/>
        <v>2026.1172000000001</v>
      </c>
      <c r="I10" s="2">
        <f t="shared" si="1"/>
        <v>39.961441264548967</v>
      </c>
      <c r="K10">
        <v>0</v>
      </c>
      <c r="L10">
        <v>1944.576</v>
      </c>
      <c r="M10">
        <v>2089.4679999999998</v>
      </c>
      <c r="N10">
        <v>2121.616</v>
      </c>
      <c r="O10">
        <v>1919.76</v>
      </c>
      <c r="P10">
        <v>2334.0970000000002</v>
      </c>
      <c r="R10" s="3">
        <f t="shared" si="2"/>
        <v>2081.9034000000001</v>
      </c>
      <c r="S10" s="3">
        <f t="shared" si="3"/>
        <v>74.29172989209502</v>
      </c>
    </row>
    <row r="11" spans="1:19" x14ac:dyDescent="0.25">
      <c r="A11">
        <v>1.25</v>
      </c>
      <c r="B11">
        <v>2680.9920000000002</v>
      </c>
      <c r="C11">
        <v>2928.2139999999999</v>
      </c>
      <c r="D11">
        <v>2686.018</v>
      </c>
      <c r="E11">
        <v>2641.6570000000002</v>
      </c>
      <c r="F11">
        <v>2610.625</v>
      </c>
      <c r="H11" s="2">
        <f t="shared" si="0"/>
        <v>2709.5012000000002</v>
      </c>
      <c r="I11" s="2">
        <f t="shared" si="1"/>
        <v>56.382117045566822</v>
      </c>
      <c r="K11">
        <v>1.25</v>
      </c>
      <c r="L11">
        <v>2653.777</v>
      </c>
      <c r="M11">
        <v>3007.9520000000002</v>
      </c>
      <c r="N11">
        <v>2841.0630000000001</v>
      </c>
      <c r="O11">
        <v>2554.556</v>
      </c>
      <c r="P11">
        <v>3169.3760000000002</v>
      </c>
      <c r="R11" s="3">
        <f t="shared" si="2"/>
        <v>2845.3448000000003</v>
      </c>
      <c r="S11" s="3">
        <f t="shared" si="3"/>
        <v>112.40818521771449</v>
      </c>
    </row>
    <row r="12" spans="1:19" x14ac:dyDescent="0.25">
      <c r="A12">
        <v>2.5</v>
      </c>
      <c r="B12">
        <v>3096.5219999999999</v>
      </c>
      <c r="C12">
        <v>3269.268</v>
      </c>
      <c r="D12">
        <v>3144.7570000000001</v>
      </c>
      <c r="E12">
        <v>3120.2620000000002</v>
      </c>
      <c r="F12">
        <v>3088.2139999999999</v>
      </c>
      <c r="H12" s="2">
        <f t="shared" si="0"/>
        <v>3143.8046000000004</v>
      </c>
      <c r="I12" s="2">
        <f t="shared" si="1"/>
        <v>32.880225737667935</v>
      </c>
      <c r="K12">
        <v>2.5</v>
      </c>
      <c r="L12">
        <v>3152.2829999999999</v>
      </c>
      <c r="M12">
        <v>3282.3310000000001</v>
      </c>
      <c r="N12">
        <v>3361.3939999999998</v>
      </c>
      <c r="O12">
        <v>3067.0320000000002</v>
      </c>
      <c r="P12">
        <v>3736.556</v>
      </c>
      <c r="R12" s="3">
        <f t="shared" si="2"/>
        <v>3319.9192000000003</v>
      </c>
      <c r="S12" s="3">
        <f t="shared" si="3"/>
        <v>115.92521002844893</v>
      </c>
    </row>
    <row r="13" spans="1:19" x14ac:dyDescent="0.25">
      <c r="A13">
        <v>3.75</v>
      </c>
      <c r="B13">
        <v>3336.8510000000001</v>
      </c>
      <c r="C13">
        <v>3569.8429999999998</v>
      </c>
      <c r="D13">
        <v>3371.5230000000001</v>
      </c>
      <c r="E13">
        <v>3367.7060000000001</v>
      </c>
      <c r="F13">
        <v>3285.7170000000001</v>
      </c>
      <c r="H13" s="2">
        <f t="shared" si="0"/>
        <v>3386.328</v>
      </c>
      <c r="I13" s="2">
        <f t="shared" si="1"/>
        <v>48.380920301292271</v>
      </c>
      <c r="K13">
        <v>3.75</v>
      </c>
      <c r="L13">
        <v>3345.9940000000001</v>
      </c>
      <c r="M13">
        <v>3487.2310000000002</v>
      </c>
      <c r="N13">
        <v>3618.5340000000001</v>
      </c>
      <c r="O13">
        <v>3276.9780000000001</v>
      </c>
      <c r="P13">
        <v>3989.8049999999998</v>
      </c>
      <c r="R13" s="3">
        <f t="shared" si="2"/>
        <v>3543.7084000000004</v>
      </c>
      <c r="S13" s="3">
        <f t="shared" si="3"/>
        <v>126.10052218551668</v>
      </c>
    </row>
    <row r="14" spans="1:19" x14ac:dyDescent="0.25">
      <c r="A14">
        <v>5</v>
      </c>
      <c r="B14">
        <v>3459.576</v>
      </c>
      <c r="C14">
        <v>3747.0149999999999</v>
      </c>
      <c r="D14">
        <v>3510.0079999999998</v>
      </c>
      <c r="E14">
        <v>3499.0079999999998</v>
      </c>
      <c r="F14">
        <v>3442.2510000000002</v>
      </c>
      <c r="H14" s="2">
        <f t="shared" si="0"/>
        <v>3531.5716000000002</v>
      </c>
      <c r="I14" s="2">
        <f t="shared" si="1"/>
        <v>55.273307978263759</v>
      </c>
      <c r="K14">
        <v>5</v>
      </c>
      <c r="L14">
        <v>3497.1550000000002</v>
      </c>
      <c r="M14">
        <v>3670.1750000000002</v>
      </c>
      <c r="N14">
        <v>3704.4690000000001</v>
      </c>
      <c r="O14">
        <v>3391.1750000000002</v>
      </c>
      <c r="P14">
        <v>4189.4830000000002</v>
      </c>
      <c r="R14" s="3">
        <f t="shared" si="2"/>
        <v>3690.4913999999999</v>
      </c>
      <c r="S14" s="3">
        <f t="shared" si="3"/>
        <v>137.21698458193868</v>
      </c>
    </row>
    <row r="15" spans="1:19" x14ac:dyDescent="0.25">
      <c r="A15">
        <v>6.25</v>
      </c>
      <c r="B15">
        <v>3497.08</v>
      </c>
      <c r="C15">
        <v>3832.4250000000002</v>
      </c>
      <c r="D15">
        <v>3553.4259999999999</v>
      </c>
      <c r="E15">
        <v>3561.5059999999999</v>
      </c>
      <c r="F15">
        <v>3496.1759999999999</v>
      </c>
      <c r="H15" s="2">
        <f t="shared" si="0"/>
        <v>3588.1226000000001</v>
      </c>
      <c r="I15" s="2">
        <f t="shared" si="1"/>
        <v>62.585498463781576</v>
      </c>
      <c r="K15">
        <v>6.25</v>
      </c>
      <c r="L15">
        <v>3563.3519999999999</v>
      </c>
      <c r="M15">
        <v>3781.7069999999999</v>
      </c>
      <c r="N15">
        <v>3780.721</v>
      </c>
      <c r="O15">
        <v>3453.0749999999998</v>
      </c>
      <c r="P15">
        <v>4232.7430000000004</v>
      </c>
      <c r="R15" s="3">
        <f t="shared" si="2"/>
        <v>3762.3195999999998</v>
      </c>
      <c r="S15" s="3">
        <f t="shared" si="3"/>
        <v>133.64748156011032</v>
      </c>
    </row>
    <row r="16" spans="1:19" x14ac:dyDescent="0.25">
      <c r="A16">
        <v>7.5</v>
      </c>
      <c r="B16">
        <v>3457.0749999999998</v>
      </c>
      <c r="C16">
        <v>3803.3820000000001</v>
      </c>
      <c r="D16">
        <v>3487.63</v>
      </c>
      <c r="E16">
        <v>3489.5430000000001</v>
      </c>
      <c r="F16">
        <v>3427.1550000000002</v>
      </c>
      <c r="H16" s="2">
        <f t="shared" si="0"/>
        <v>3532.9569999999999</v>
      </c>
      <c r="I16" s="2">
        <f t="shared" si="1"/>
        <v>68.564252376147138</v>
      </c>
      <c r="K16">
        <v>7.5</v>
      </c>
      <c r="L16">
        <v>3524.8490000000002</v>
      </c>
      <c r="M16">
        <v>3806.9920000000002</v>
      </c>
      <c r="N16">
        <v>3736.884</v>
      </c>
      <c r="O16">
        <v>3369.7020000000002</v>
      </c>
      <c r="P16">
        <v>4170.4319999999998</v>
      </c>
      <c r="R16" s="3">
        <f t="shared" si="2"/>
        <v>3721.7718</v>
      </c>
      <c r="S16" s="3">
        <f t="shared" si="3"/>
        <v>136.29353788290911</v>
      </c>
    </row>
    <row r="17" spans="1:19" x14ac:dyDescent="0.25">
      <c r="A17">
        <v>8.75</v>
      </c>
      <c r="B17">
        <v>3320.1559999999999</v>
      </c>
      <c r="C17">
        <v>3632.56</v>
      </c>
      <c r="D17">
        <v>3321.518</v>
      </c>
      <c r="E17">
        <v>3240.1959999999999</v>
      </c>
      <c r="F17">
        <v>3203.1170000000002</v>
      </c>
      <c r="H17" s="2">
        <f t="shared" si="0"/>
        <v>3343.5093999999999</v>
      </c>
      <c r="I17" s="2">
        <f t="shared" si="1"/>
        <v>75.816534121258769</v>
      </c>
      <c r="K17">
        <v>8.75</v>
      </c>
      <c r="L17">
        <v>3304.0810000000001</v>
      </c>
      <c r="M17">
        <v>3617.2559999999999</v>
      </c>
      <c r="N17">
        <v>3541.2460000000001</v>
      </c>
      <c r="O17">
        <v>3127.759</v>
      </c>
      <c r="P17">
        <v>3869.576</v>
      </c>
      <c r="R17" s="3">
        <f t="shared" si="2"/>
        <v>3491.9835999999996</v>
      </c>
      <c r="S17" s="3">
        <f t="shared" si="3"/>
        <v>128.19183381268871</v>
      </c>
    </row>
    <row r="18" spans="1:19" x14ac:dyDescent="0.25">
      <c r="A18">
        <v>10</v>
      </c>
      <c r="B18">
        <v>3049.6370000000002</v>
      </c>
      <c r="C18">
        <v>3110.462</v>
      </c>
      <c r="D18">
        <v>2983.53</v>
      </c>
      <c r="E18">
        <v>2780.826</v>
      </c>
      <c r="F18">
        <v>2716.0070000000001</v>
      </c>
      <c r="H18" s="2">
        <f t="shared" si="0"/>
        <v>2928.0924000000005</v>
      </c>
      <c r="I18" s="2">
        <f t="shared" si="1"/>
        <v>76.737441236074588</v>
      </c>
      <c r="K18">
        <v>10</v>
      </c>
      <c r="L18">
        <v>2850.3069999999998</v>
      </c>
      <c r="M18">
        <v>3135.8780000000002</v>
      </c>
      <c r="N18">
        <v>3063.4749999999999</v>
      </c>
      <c r="O18">
        <v>2718.7890000000002</v>
      </c>
      <c r="P18">
        <v>3362.6089999999999</v>
      </c>
      <c r="R18" s="3">
        <f t="shared" si="2"/>
        <v>3026.2116000000001</v>
      </c>
      <c r="S18" s="3">
        <f t="shared" si="3"/>
        <v>112.25630812724955</v>
      </c>
    </row>
    <row r="19" spans="1:19" x14ac:dyDescent="0.25">
      <c r="A19">
        <v>11.25</v>
      </c>
      <c r="B19">
        <v>2847.1039999999998</v>
      </c>
      <c r="C19">
        <v>2721.0419999999999</v>
      </c>
      <c r="D19">
        <v>2708.27</v>
      </c>
      <c r="E19">
        <v>2447.81</v>
      </c>
      <c r="F19">
        <v>2386.8029999999999</v>
      </c>
      <c r="H19" s="2">
        <f t="shared" si="0"/>
        <v>2622.2057999999997</v>
      </c>
      <c r="I19" s="2">
        <f t="shared" si="1"/>
        <v>87.630820668529623</v>
      </c>
      <c r="K19">
        <v>11.25</v>
      </c>
      <c r="L19">
        <v>2515.9720000000002</v>
      </c>
      <c r="M19">
        <v>2731.1260000000002</v>
      </c>
      <c r="N19">
        <v>2732.9760000000001</v>
      </c>
      <c r="O19">
        <v>2404.0680000000002</v>
      </c>
      <c r="P19">
        <v>2976.393</v>
      </c>
      <c r="R19" s="3">
        <f t="shared" si="2"/>
        <v>2672.107</v>
      </c>
      <c r="S19" s="3">
        <f t="shared" si="3"/>
        <v>98.995275408475891</v>
      </c>
    </row>
    <row r="20" spans="1:19" x14ac:dyDescent="0.25">
      <c r="A20">
        <v>12.5</v>
      </c>
      <c r="B20">
        <v>2752.2109999999998</v>
      </c>
      <c r="C20">
        <v>2536.4960000000001</v>
      </c>
      <c r="D20">
        <v>2592.5160000000001</v>
      </c>
      <c r="E20">
        <v>2307.105</v>
      </c>
      <c r="F20">
        <v>2239.0219999999999</v>
      </c>
      <c r="H20" s="2">
        <f t="shared" si="0"/>
        <v>2485.4699999999998</v>
      </c>
      <c r="I20" s="2">
        <f t="shared" si="1"/>
        <v>94.277237391111512</v>
      </c>
      <c r="K20">
        <v>12.5</v>
      </c>
      <c r="L20">
        <v>2362.462</v>
      </c>
      <c r="M20">
        <v>2525.069</v>
      </c>
      <c r="N20">
        <v>2579.5729999999999</v>
      </c>
      <c r="O20">
        <v>2237.92</v>
      </c>
      <c r="P20">
        <v>2786.7159999999999</v>
      </c>
      <c r="R20" s="3">
        <f t="shared" si="2"/>
        <v>2498.348</v>
      </c>
      <c r="S20" s="3">
        <f t="shared" si="3"/>
        <v>94.009404867279059</v>
      </c>
    </row>
    <row r="21" spans="1:19" x14ac:dyDescent="0.25">
      <c r="A21">
        <v>13.75</v>
      </c>
      <c r="B21">
        <v>2721.2379999999998</v>
      </c>
      <c r="C21">
        <v>2499.1489999999999</v>
      </c>
      <c r="D21">
        <v>2563.1379999999999</v>
      </c>
      <c r="E21">
        <v>2271.7800000000002</v>
      </c>
      <c r="F21">
        <v>2194.7049999999999</v>
      </c>
      <c r="H21" s="2">
        <f t="shared" si="0"/>
        <v>2450.002</v>
      </c>
      <c r="I21" s="2">
        <f t="shared" si="1"/>
        <v>96.364876717090183</v>
      </c>
      <c r="K21">
        <v>13.75</v>
      </c>
      <c r="L21">
        <v>2320.6889999999999</v>
      </c>
      <c r="M21">
        <v>2474.4949999999999</v>
      </c>
      <c r="N21">
        <v>2549.5120000000002</v>
      </c>
      <c r="O21">
        <v>2187.6480000000001</v>
      </c>
      <c r="P21">
        <v>2731.46</v>
      </c>
      <c r="R21" s="3">
        <f t="shared" si="2"/>
        <v>2452.7608</v>
      </c>
      <c r="S21" s="3">
        <f t="shared" si="3"/>
        <v>93.603998662129811</v>
      </c>
    </row>
    <row r="22" spans="1:19" x14ac:dyDescent="0.25">
      <c r="A22">
        <v>15</v>
      </c>
      <c r="B22">
        <v>2733.0340000000001</v>
      </c>
      <c r="C22">
        <v>2513.038</v>
      </c>
      <c r="D22">
        <v>2573.4389999999999</v>
      </c>
      <c r="E22">
        <v>2282.2330000000002</v>
      </c>
      <c r="F22">
        <v>2206.105</v>
      </c>
      <c r="H22" s="2">
        <f t="shared" si="0"/>
        <v>2461.5698000000002</v>
      </c>
      <c r="I22" s="2">
        <f t="shared" si="1"/>
        <v>96.509185385330014</v>
      </c>
      <c r="K22">
        <v>15</v>
      </c>
      <c r="L22">
        <v>2322.2359999999999</v>
      </c>
      <c r="M22">
        <v>2494.2739999999999</v>
      </c>
      <c r="N22">
        <v>2549.056</v>
      </c>
      <c r="O22">
        <v>2204.9180000000001</v>
      </c>
      <c r="P22">
        <v>2729.6669999999999</v>
      </c>
      <c r="R22" s="3">
        <f t="shared" si="2"/>
        <v>2460.0302000000001</v>
      </c>
      <c r="S22" s="3">
        <f t="shared" si="3"/>
        <v>91.069125108567917</v>
      </c>
    </row>
    <row r="23" spans="1:19" x14ac:dyDescent="0.25">
      <c r="A23">
        <v>16.25</v>
      </c>
      <c r="B23">
        <v>2760.248</v>
      </c>
      <c r="C23">
        <v>2550.1460000000002</v>
      </c>
      <c r="D23">
        <v>2599.6930000000002</v>
      </c>
      <c r="E23">
        <v>2301.1089999999999</v>
      </c>
      <c r="F23">
        <v>2236.1590000000001</v>
      </c>
      <c r="H23" s="2">
        <f t="shared" si="0"/>
        <v>2489.471</v>
      </c>
      <c r="I23" s="2">
        <f t="shared" si="1"/>
        <v>97.159081157141472</v>
      </c>
      <c r="K23">
        <v>16.25</v>
      </c>
      <c r="L23">
        <v>2345.098</v>
      </c>
      <c r="M23">
        <v>2510.1689999999999</v>
      </c>
      <c r="N23">
        <v>2564.819</v>
      </c>
      <c r="O23">
        <v>2246.84</v>
      </c>
      <c r="P23">
        <v>2753.4029999999998</v>
      </c>
      <c r="R23" s="3">
        <f t="shared" si="2"/>
        <v>2484.0657999999999</v>
      </c>
      <c r="S23" s="3">
        <f t="shared" si="3"/>
        <v>88.128631354061042</v>
      </c>
    </row>
    <row r="24" spans="1:19" x14ac:dyDescent="0.25">
      <c r="A24">
        <v>17.5</v>
      </c>
      <c r="B24">
        <v>2778.4270000000001</v>
      </c>
      <c r="C24">
        <v>2570.0929999999998</v>
      </c>
      <c r="D24">
        <v>2627.83</v>
      </c>
      <c r="E24">
        <v>2323.0619999999999</v>
      </c>
      <c r="F24">
        <v>2247.5</v>
      </c>
      <c r="H24" s="2">
        <f t="shared" si="0"/>
        <v>2509.3824</v>
      </c>
      <c r="I24" s="2">
        <f t="shared" si="1"/>
        <v>98.335723563006354</v>
      </c>
      <c r="K24">
        <v>17.5</v>
      </c>
      <c r="L24">
        <v>2371.2550000000001</v>
      </c>
      <c r="M24">
        <v>2518.1779999999999</v>
      </c>
      <c r="N24">
        <v>2599.1970000000001</v>
      </c>
      <c r="O24">
        <v>2276.8670000000002</v>
      </c>
      <c r="P24">
        <v>2786.4650000000001</v>
      </c>
      <c r="R24" s="3">
        <f t="shared" si="2"/>
        <v>2510.3923999999997</v>
      </c>
      <c r="S24" s="3">
        <f t="shared" si="3"/>
        <v>88.897773184484194</v>
      </c>
    </row>
    <row r="25" spans="1:19" x14ac:dyDescent="0.25">
      <c r="A25">
        <v>18.75</v>
      </c>
      <c r="B25">
        <v>2785.06</v>
      </c>
      <c r="C25">
        <v>2558.84</v>
      </c>
      <c r="D25">
        <v>2645.7220000000002</v>
      </c>
      <c r="E25">
        <v>2332.9180000000001</v>
      </c>
      <c r="F25">
        <v>2257.1889999999999</v>
      </c>
      <c r="H25" s="2">
        <f t="shared" si="0"/>
        <v>2515.9458</v>
      </c>
      <c r="I25" s="2">
        <f t="shared" si="1"/>
        <v>97.86686983877641</v>
      </c>
      <c r="K25">
        <v>18.75</v>
      </c>
      <c r="L25">
        <v>2378.6480000000001</v>
      </c>
      <c r="M25">
        <v>2544.1419999999998</v>
      </c>
      <c r="N25">
        <v>2619.83</v>
      </c>
      <c r="O25">
        <v>2281.0430000000001</v>
      </c>
      <c r="P25">
        <v>2809.3220000000001</v>
      </c>
      <c r="R25" s="3">
        <f t="shared" si="2"/>
        <v>2526.5970000000002</v>
      </c>
      <c r="S25" s="3">
        <f t="shared" si="3"/>
        <v>92.498464434821813</v>
      </c>
    </row>
    <row r="26" spans="1:19" x14ac:dyDescent="0.25">
      <c r="A26">
        <v>20</v>
      </c>
      <c r="B26">
        <v>2772.0529999999999</v>
      </c>
      <c r="C26">
        <v>2545.8139999999999</v>
      </c>
      <c r="D26">
        <v>2635.4670000000001</v>
      </c>
      <c r="E26">
        <v>2316.6480000000001</v>
      </c>
      <c r="F26">
        <v>2239.625</v>
      </c>
      <c r="H26" s="2">
        <f t="shared" si="0"/>
        <v>2501.9214000000002</v>
      </c>
      <c r="I26" s="2">
        <f t="shared" si="1"/>
        <v>98.959007455915781</v>
      </c>
      <c r="K26">
        <v>20</v>
      </c>
      <c r="L26">
        <v>2367.7399999999998</v>
      </c>
      <c r="M26">
        <v>2543.8679999999999</v>
      </c>
      <c r="N26">
        <v>2629.2330000000002</v>
      </c>
      <c r="O26">
        <v>2255.8919999999998</v>
      </c>
      <c r="P26">
        <v>2805.5549999999998</v>
      </c>
      <c r="R26" s="3">
        <f t="shared" si="2"/>
        <v>2520.4576000000002</v>
      </c>
      <c r="S26" s="3">
        <f t="shared" si="3"/>
        <v>96.689783331332393</v>
      </c>
    </row>
    <row r="27" spans="1:19" x14ac:dyDescent="0.25">
      <c r="A27">
        <v>21.25</v>
      </c>
      <c r="B27">
        <v>2749.3139999999999</v>
      </c>
      <c r="C27">
        <v>2540.3989999999999</v>
      </c>
      <c r="D27">
        <v>2614.1869999999999</v>
      </c>
      <c r="E27">
        <v>2289.38</v>
      </c>
      <c r="F27">
        <v>2212.08</v>
      </c>
      <c r="H27" s="2">
        <f t="shared" si="0"/>
        <v>2481.0719999999997</v>
      </c>
      <c r="I27" s="2">
        <f t="shared" si="1"/>
        <v>100.57225900962945</v>
      </c>
      <c r="K27">
        <v>21.25</v>
      </c>
      <c r="L27">
        <v>2348.0360000000001</v>
      </c>
      <c r="M27">
        <v>2514.5880000000002</v>
      </c>
      <c r="N27">
        <v>2604.9459999999999</v>
      </c>
      <c r="O27">
        <v>2225.1390000000001</v>
      </c>
      <c r="P27">
        <v>2766.7289999999998</v>
      </c>
      <c r="R27" s="3">
        <f t="shared" si="2"/>
        <v>2491.8875999999996</v>
      </c>
      <c r="S27" s="3">
        <f t="shared" si="3"/>
        <v>95.048251838000624</v>
      </c>
    </row>
    <row r="28" spans="1:19" x14ac:dyDescent="0.25">
      <c r="A28">
        <v>22.5</v>
      </c>
      <c r="B28">
        <v>2738.1909999999998</v>
      </c>
      <c r="C28">
        <v>2546.694</v>
      </c>
      <c r="D28">
        <v>2604.239</v>
      </c>
      <c r="E28">
        <v>2275.9050000000002</v>
      </c>
      <c r="F28">
        <v>2184.6660000000002</v>
      </c>
      <c r="H28" s="2">
        <f t="shared" si="0"/>
        <v>2469.9389999999999</v>
      </c>
      <c r="I28" s="2">
        <f t="shared" si="1"/>
        <v>103.66215153420262</v>
      </c>
      <c r="K28">
        <v>22.5</v>
      </c>
      <c r="L28">
        <v>2325.759</v>
      </c>
      <c r="M28">
        <v>2509.2199999999998</v>
      </c>
      <c r="N28">
        <v>2588.1410000000001</v>
      </c>
      <c r="O28">
        <v>2209.4430000000002</v>
      </c>
      <c r="P28">
        <v>2717.2249999999999</v>
      </c>
      <c r="R28" s="3">
        <f t="shared" si="2"/>
        <v>2469.9575999999997</v>
      </c>
      <c r="S28" s="3">
        <f t="shared" si="3"/>
        <v>90.915101123850661</v>
      </c>
    </row>
    <row r="29" spans="1:19" x14ac:dyDescent="0.25">
      <c r="A29">
        <v>23.75</v>
      </c>
      <c r="B29">
        <v>2744.6390000000001</v>
      </c>
      <c r="C29">
        <v>2564.25</v>
      </c>
      <c r="D29">
        <v>2612.8890000000001</v>
      </c>
      <c r="E29">
        <v>2279.3270000000002</v>
      </c>
      <c r="F29">
        <v>2184.739</v>
      </c>
      <c r="H29" s="2">
        <f t="shared" si="0"/>
        <v>2477.1687999999999</v>
      </c>
      <c r="I29" s="2">
        <f t="shared" si="1"/>
        <v>105.40398040984979</v>
      </c>
      <c r="K29">
        <v>23.75</v>
      </c>
      <c r="L29">
        <v>2309.163</v>
      </c>
      <c r="M29">
        <v>2522.2379999999998</v>
      </c>
      <c r="N29">
        <v>2579.855</v>
      </c>
      <c r="O29">
        <v>2223.4</v>
      </c>
      <c r="P29">
        <v>2696.8119999999999</v>
      </c>
      <c r="R29" s="3">
        <f t="shared" si="2"/>
        <v>2466.2936</v>
      </c>
      <c r="S29" s="3">
        <f t="shared" si="3"/>
        <v>87.421972803523445</v>
      </c>
    </row>
    <row r="30" spans="1:19" x14ac:dyDescent="0.25">
      <c r="A30">
        <v>25</v>
      </c>
      <c r="B30">
        <v>2750.5129999999999</v>
      </c>
      <c r="C30">
        <v>2579.7530000000002</v>
      </c>
      <c r="D30">
        <v>2630.1350000000002</v>
      </c>
      <c r="E30">
        <v>2288.5920000000001</v>
      </c>
      <c r="F30">
        <v>2190.7150000000001</v>
      </c>
      <c r="H30" s="2">
        <f t="shared" si="0"/>
        <v>2487.9416000000001</v>
      </c>
      <c r="I30" s="2">
        <f t="shared" si="1"/>
        <v>106.22522088449614</v>
      </c>
      <c r="K30">
        <v>25</v>
      </c>
      <c r="L30">
        <v>2327.2640000000001</v>
      </c>
      <c r="M30">
        <v>2547.1019999999999</v>
      </c>
      <c r="N30">
        <v>2579.2890000000002</v>
      </c>
      <c r="O30">
        <v>2240.8319999999999</v>
      </c>
      <c r="P30">
        <v>2712.011</v>
      </c>
      <c r="R30" s="3">
        <f t="shared" si="2"/>
        <v>2481.2996000000003</v>
      </c>
      <c r="S30" s="3">
        <f t="shared" si="3"/>
        <v>86.229710994876939</v>
      </c>
    </row>
    <row r="31" spans="1:19" x14ac:dyDescent="0.25">
      <c r="A31">
        <v>26.25</v>
      </c>
      <c r="B31">
        <v>2756.9140000000002</v>
      </c>
      <c r="C31">
        <v>2601.127</v>
      </c>
      <c r="D31">
        <v>2638</v>
      </c>
      <c r="E31">
        <v>2303.4810000000002</v>
      </c>
      <c r="F31">
        <v>2196.8739999999998</v>
      </c>
      <c r="H31" s="2">
        <f t="shared" si="0"/>
        <v>2499.2791999999999</v>
      </c>
      <c r="I31" s="2">
        <f t="shared" si="1"/>
        <v>106.2492270557297</v>
      </c>
      <c r="K31">
        <v>26.25</v>
      </c>
      <c r="L31">
        <v>2338.7440000000001</v>
      </c>
      <c r="M31">
        <v>2564.5250000000001</v>
      </c>
      <c r="N31">
        <v>2584.5300000000002</v>
      </c>
      <c r="O31">
        <v>2255.0279999999998</v>
      </c>
      <c r="P31">
        <v>2730.5369999999998</v>
      </c>
      <c r="R31" s="3">
        <f t="shared" si="2"/>
        <v>2494.6728000000003</v>
      </c>
      <c r="S31" s="3">
        <f t="shared" si="3"/>
        <v>86.697458992406453</v>
      </c>
    </row>
    <row r="32" spans="1:19" x14ac:dyDescent="0.25">
      <c r="A32">
        <v>27.5</v>
      </c>
      <c r="B32">
        <v>2772.6729999999998</v>
      </c>
      <c r="C32">
        <v>2616.6370000000002</v>
      </c>
      <c r="D32">
        <v>2627.83</v>
      </c>
      <c r="E32">
        <v>2322.346</v>
      </c>
      <c r="F32">
        <v>2197.9580000000001</v>
      </c>
      <c r="H32" s="2">
        <f t="shared" si="0"/>
        <v>2507.4888000000001</v>
      </c>
      <c r="I32" s="2">
        <f t="shared" si="1"/>
        <v>106.49064899107336</v>
      </c>
      <c r="K32">
        <v>27.5</v>
      </c>
      <c r="L32">
        <v>2347.627</v>
      </c>
      <c r="M32">
        <v>2573.701</v>
      </c>
      <c r="N32">
        <v>2606.3470000000002</v>
      </c>
      <c r="O32">
        <v>2258.4499999999998</v>
      </c>
      <c r="P32">
        <v>2749.7640000000001</v>
      </c>
      <c r="R32" s="3">
        <f t="shared" si="2"/>
        <v>2507.1777999999999</v>
      </c>
      <c r="S32" s="3">
        <f t="shared" si="3"/>
        <v>89.562801170686981</v>
      </c>
    </row>
    <row r="33" spans="1:19" x14ac:dyDescent="0.25">
      <c r="A33">
        <v>28.75</v>
      </c>
      <c r="B33">
        <v>2786.7449999999999</v>
      </c>
      <c r="C33">
        <v>2616.6930000000002</v>
      </c>
      <c r="D33">
        <v>2641.93</v>
      </c>
      <c r="E33">
        <v>2335.529</v>
      </c>
      <c r="F33">
        <v>2205.873</v>
      </c>
      <c r="H33" s="2">
        <f t="shared" si="0"/>
        <v>2517.3540000000003</v>
      </c>
      <c r="I33" s="2">
        <f t="shared" si="1"/>
        <v>106.78007107227451</v>
      </c>
      <c r="K33">
        <v>28.75</v>
      </c>
      <c r="L33">
        <v>2362.4050000000002</v>
      </c>
      <c r="M33">
        <v>2586.66</v>
      </c>
      <c r="N33">
        <v>2617.6210000000001</v>
      </c>
      <c r="O33">
        <v>2270.6109999999999</v>
      </c>
      <c r="P33">
        <v>2767.67</v>
      </c>
      <c r="R33" s="3">
        <f t="shared" si="2"/>
        <v>2520.9934000000003</v>
      </c>
      <c r="S33" s="3">
        <f t="shared" si="3"/>
        <v>90.094385859830354</v>
      </c>
    </row>
    <row r="34" spans="1:19" x14ac:dyDescent="0.25">
      <c r="A34">
        <v>30</v>
      </c>
      <c r="B34">
        <v>2799.6410000000001</v>
      </c>
      <c r="C34">
        <v>2626.6889999999999</v>
      </c>
      <c r="D34">
        <v>2674.4050000000002</v>
      </c>
      <c r="E34">
        <v>2335.422</v>
      </c>
      <c r="F34">
        <v>2211.6979999999999</v>
      </c>
      <c r="H34" s="2">
        <f t="shared" si="0"/>
        <v>2529.5710000000004</v>
      </c>
      <c r="I34" s="2">
        <f t="shared" si="1"/>
        <v>110.01901579045328</v>
      </c>
      <c r="K34">
        <v>30</v>
      </c>
      <c r="L34">
        <v>2393.9830000000002</v>
      </c>
      <c r="M34">
        <v>2596.625</v>
      </c>
      <c r="N34">
        <v>2631.8980000000001</v>
      </c>
      <c r="O34">
        <v>2282.3530000000001</v>
      </c>
      <c r="P34">
        <v>2776.1680000000001</v>
      </c>
      <c r="R34" s="3">
        <f t="shared" si="2"/>
        <v>2536.2053999999998</v>
      </c>
      <c r="S34" s="3">
        <f t="shared" si="3"/>
        <v>88.050526178212024</v>
      </c>
    </row>
    <row r="35" spans="1:19" x14ac:dyDescent="0.25">
      <c r="A35">
        <v>31.25</v>
      </c>
      <c r="B35">
        <v>2800.181</v>
      </c>
      <c r="C35">
        <v>2644.5039999999999</v>
      </c>
      <c r="D35">
        <v>2686.06</v>
      </c>
      <c r="E35">
        <v>2333.1640000000002</v>
      </c>
      <c r="F35">
        <v>2211.6289999999999</v>
      </c>
      <c r="H35" s="2">
        <f t="shared" si="0"/>
        <v>2535.1076000000003</v>
      </c>
      <c r="I35" s="2">
        <f t="shared" si="1"/>
        <v>111.90123525350377</v>
      </c>
      <c r="K35">
        <v>31.25</v>
      </c>
      <c r="L35">
        <v>2412.1930000000002</v>
      </c>
      <c r="M35">
        <v>2599.8330000000001</v>
      </c>
      <c r="N35">
        <v>2641.6489999999999</v>
      </c>
      <c r="O35">
        <v>2293.5230000000001</v>
      </c>
      <c r="P35">
        <v>2787.6880000000001</v>
      </c>
      <c r="R35" s="3">
        <f t="shared" si="2"/>
        <v>2546.9772000000003</v>
      </c>
      <c r="S35" s="3">
        <f t="shared" si="3"/>
        <v>87.207793978749365</v>
      </c>
    </row>
    <row r="36" spans="1:19" x14ac:dyDescent="0.25">
      <c r="A36">
        <v>32.5</v>
      </c>
      <c r="B36">
        <v>2786.607</v>
      </c>
      <c r="C36">
        <v>2657.9209999999998</v>
      </c>
      <c r="D36">
        <v>2694.4720000000002</v>
      </c>
      <c r="E36">
        <v>2334.5349999999999</v>
      </c>
      <c r="F36">
        <v>2207.3670000000002</v>
      </c>
      <c r="H36" s="2">
        <f t="shared" si="0"/>
        <v>2536.1804000000002</v>
      </c>
      <c r="I36" s="2">
        <f t="shared" si="1"/>
        <v>112.109233711412</v>
      </c>
      <c r="K36">
        <v>32.5</v>
      </c>
      <c r="L36">
        <v>2422.2930000000001</v>
      </c>
      <c r="M36">
        <v>2619.4740000000002</v>
      </c>
      <c r="N36">
        <v>2643.114</v>
      </c>
      <c r="O36">
        <v>2303.4569999999999</v>
      </c>
      <c r="P36">
        <v>2782.65</v>
      </c>
      <c r="R36" s="3">
        <f t="shared" si="2"/>
        <v>2554.1976</v>
      </c>
      <c r="S36" s="3">
        <f t="shared" si="3"/>
        <v>85.037434592419388</v>
      </c>
    </row>
    <row r="37" spans="1:19" x14ac:dyDescent="0.25">
      <c r="A37">
        <v>33.75</v>
      </c>
      <c r="B37">
        <v>2779.6779999999999</v>
      </c>
      <c r="C37">
        <v>2661.0259999999998</v>
      </c>
      <c r="D37">
        <v>2708.1849999999999</v>
      </c>
      <c r="E37">
        <v>2333.1129999999998</v>
      </c>
      <c r="F37">
        <v>2209.2139999999999</v>
      </c>
      <c r="H37" s="2">
        <f t="shared" si="0"/>
        <v>2538.2431999999999</v>
      </c>
      <c r="I37" s="2">
        <f t="shared" si="1"/>
        <v>112.37998207394409</v>
      </c>
      <c r="K37">
        <v>33.75</v>
      </c>
      <c r="L37">
        <v>2422.4079999999999</v>
      </c>
      <c r="M37">
        <v>2635.3330000000001</v>
      </c>
      <c r="N37">
        <v>2638.7779999999998</v>
      </c>
      <c r="O37">
        <v>2317.797</v>
      </c>
      <c r="P37">
        <v>2788.674</v>
      </c>
      <c r="R37" s="3">
        <f t="shared" si="2"/>
        <v>2560.5980000000004</v>
      </c>
      <c r="S37" s="3">
        <f t="shared" si="3"/>
        <v>84.1917145870067</v>
      </c>
    </row>
    <row r="38" spans="1:19" x14ac:dyDescent="0.25">
      <c r="A38">
        <v>35</v>
      </c>
      <c r="B38">
        <v>2739.5830000000001</v>
      </c>
      <c r="C38">
        <v>2631.3710000000001</v>
      </c>
      <c r="D38">
        <v>2671.3850000000002</v>
      </c>
      <c r="E38">
        <v>2325.6590000000001</v>
      </c>
      <c r="F38">
        <v>2192.6559999999999</v>
      </c>
      <c r="H38" s="2">
        <f t="shared" si="0"/>
        <v>2512.1307999999999</v>
      </c>
      <c r="I38" s="2">
        <f t="shared" si="1"/>
        <v>106.80601781472805</v>
      </c>
      <c r="K38">
        <v>35</v>
      </c>
      <c r="L38">
        <v>2400.5059999999999</v>
      </c>
      <c r="M38">
        <v>2612.8710000000001</v>
      </c>
      <c r="N38">
        <v>2621.19</v>
      </c>
      <c r="O38">
        <v>2292.9580000000001</v>
      </c>
      <c r="P38">
        <v>2754.88</v>
      </c>
      <c r="R38" s="3">
        <f t="shared" si="2"/>
        <v>2536.4810000000007</v>
      </c>
      <c r="S38" s="3">
        <f t="shared" si="3"/>
        <v>83.217132291373758</v>
      </c>
    </row>
    <row r="39" spans="1:19" x14ac:dyDescent="0.25">
      <c r="A39">
        <v>36.25</v>
      </c>
      <c r="B39">
        <v>2619.5349999999999</v>
      </c>
      <c r="C39">
        <v>2526.0140000000001</v>
      </c>
      <c r="D39">
        <v>2546.9079999999999</v>
      </c>
      <c r="E39">
        <v>2233.6640000000002</v>
      </c>
      <c r="F39">
        <v>2089.123</v>
      </c>
      <c r="H39" s="2">
        <f t="shared" si="0"/>
        <v>2403.0488</v>
      </c>
      <c r="I39" s="2">
        <f t="shared" si="1"/>
        <v>102.45067178959829</v>
      </c>
      <c r="K39">
        <v>36.25</v>
      </c>
      <c r="L39">
        <v>2294.6970000000001</v>
      </c>
      <c r="M39">
        <v>2502.4499999999998</v>
      </c>
      <c r="N39">
        <v>2512.7080000000001</v>
      </c>
      <c r="O39">
        <v>2199.846</v>
      </c>
      <c r="P39">
        <v>2620.0970000000002</v>
      </c>
      <c r="R39" s="3">
        <f t="shared" si="2"/>
        <v>2425.9595999999997</v>
      </c>
      <c r="S39" s="3">
        <f t="shared" si="3"/>
        <v>77.273095750461565</v>
      </c>
    </row>
    <row r="40" spans="1:19" x14ac:dyDescent="0.25">
      <c r="A40">
        <v>37.5</v>
      </c>
      <c r="B40">
        <v>2452.9920000000002</v>
      </c>
      <c r="C40">
        <v>2355.9119999999998</v>
      </c>
      <c r="D40">
        <v>2359.9090000000001</v>
      </c>
      <c r="E40">
        <v>2063.7460000000001</v>
      </c>
      <c r="F40">
        <v>1925.143</v>
      </c>
      <c r="H40" s="2">
        <f t="shared" si="0"/>
        <v>2231.5404000000003</v>
      </c>
      <c r="I40" s="2">
        <f t="shared" si="1"/>
        <v>100.7526503108479</v>
      </c>
      <c r="K40">
        <v>37.5</v>
      </c>
      <c r="L40">
        <v>2120.4189999999999</v>
      </c>
      <c r="M40">
        <v>2304.1419999999998</v>
      </c>
      <c r="N40">
        <v>2323.1889999999999</v>
      </c>
      <c r="O40">
        <v>2023.5930000000001</v>
      </c>
      <c r="P40">
        <v>2427.886</v>
      </c>
      <c r="R40" s="3">
        <f t="shared" si="2"/>
        <v>2239.8458000000001</v>
      </c>
      <c r="S40" s="3">
        <f t="shared" si="3"/>
        <v>73.303219984800094</v>
      </c>
    </row>
    <row r="41" spans="1:19" x14ac:dyDescent="0.25">
      <c r="A41">
        <v>38.75</v>
      </c>
      <c r="B41">
        <v>2287.2640000000001</v>
      </c>
      <c r="C41">
        <v>2174.0839999999998</v>
      </c>
      <c r="D41">
        <v>2164.3319999999999</v>
      </c>
      <c r="E41">
        <v>1898.8869999999999</v>
      </c>
      <c r="F41">
        <v>1776.7660000000001</v>
      </c>
      <c r="H41" s="2">
        <f t="shared" si="0"/>
        <v>2060.2665999999999</v>
      </c>
      <c r="I41" s="2">
        <f t="shared" si="1"/>
        <v>95.322555862502966</v>
      </c>
      <c r="K41">
        <v>38.75</v>
      </c>
      <c r="L41">
        <v>1948.1210000000001</v>
      </c>
      <c r="M41">
        <v>2128.8539999999998</v>
      </c>
      <c r="N41">
        <v>2132.2939999999999</v>
      </c>
      <c r="O41">
        <v>1859.1690000000001</v>
      </c>
      <c r="P41">
        <v>2225.2910000000002</v>
      </c>
      <c r="R41" s="3">
        <f t="shared" si="2"/>
        <v>2058.7457999999997</v>
      </c>
      <c r="S41" s="3">
        <f t="shared" si="3"/>
        <v>67.130673520679025</v>
      </c>
    </row>
    <row r="42" spans="1:19" x14ac:dyDescent="0.25">
      <c r="A42">
        <v>40</v>
      </c>
      <c r="B42">
        <v>2181.7959999999998</v>
      </c>
      <c r="C42">
        <v>2061.37</v>
      </c>
      <c r="D42">
        <v>2065.2040000000002</v>
      </c>
      <c r="E42">
        <v>1802.653</v>
      </c>
      <c r="F42">
        <v>1690.646</v>
      </c>
      <c r="H42" s="2">
        <f t="shared" si="0"/>
        <v>1960.3337999999999</v>
      </c>
      <c r="I42" s="2">
        <f t="shared" si="1"/>
        <v>91.609585400437211</v>
      </c>
      <c r="K42">
        <v>40</v>
      </c>
      <c r="L42">
        <v>1861.6590000000001</v>
      </c>
      <c r="M42">
        <v>2026.0070000000001</v>
      </c>
      <c r="N42">
        <v>2025.1790000000001</v>
      </c>
      <c r="O42">
        <v>1764.9659999999999</v>
      </c>
      <c r="P42">
        <v>2116.8240000000001</v>
      </c>
      <c r="R42" s="3">
        <f t="shared" si="2"/>
        <v>1958.9270000000001</v>
      </c>
      <c r="S42" s="3">
        <f t="shared" si="3"/>
        <v>63.601277447076505</v>
      </c>
    </row>
    <row r="43" spans="1:19" x14ac:dyDescent="0.25">
      <c r="A43">
        <v>41.25</v>
      </c>
      <c r="B43">
        <v>2129.1909999999998</v>
      </c>
      <c r="C43">
        <v>2016.69</v>
      </c>
      <c r="D43">
        <v>2025.5050000000001</v>
      </c>
      <c r="E43">
        <v>1755.423</v>
      </c>
      <c r="F43">
        <v>1657.739</v>
      </c>
      <c r="H43" s="2">
        <f t="shared" si="0"/>
        <v>1916.9095999999997</v>
      </c>
      <c r="I43" s="2">
        <f t="shared" si="1"/>
        <v>89.45943320723643</v>
      </c>
      <c r="K43">
        <v>41.25</v>
      </c>
      <c r="L43">
        <v>1816.694</v>
      </c>
      <c r="M43">
        <v>1970.8920000000001</v>
      </c>
      <c r="N43">
        <v>1988.1659999999999</v>
      </c>
      <c r="O43">
        <v>1723.001</v>
      </c>
      <c r="P43">
        <v>2069.846</v>
      </c>
      <c r="R43" s="3">
        <f t="shared" si="2"/>
        <v>1913.7198000000001</v>
      </c>
      <c r="S43" s="3">
        <f t="shared" si="3"/>
        <v>62.838664058364571</v>
      </c>
    </row>
    <row r="44" spans="1:19" x14ac:dyDescent="0.25">
      <c r="A44">
        <v>42.5</v>
      </c>
      <c r="B44">
        <v>2109.1370000000002</v>
      </c>
      <c r="C44">
        <v>1999.479</v>
      </c>
      <c r="D44">
        <v>2000.69</v>
      </c>
      <c r="E44">
        <v>1750.172</v>
      </c>
      <c r="F44">
        <v>1649.126</v>
      </c>
      <c r="H44" s="2">
        <f t="shared" si="0"/>
        <v>1901.7208000000003</v>
      </c>
      <c r="I44" s="2">
        <f t="shared" si="1"/>
        <v>86.355144608413468</v>
      </c>
      <c r="K44">
        <v>42.5</v>
      </c>
      <c r="L44">
        <v>1799.586</v>
      </c>
      <c r="M44">
        <v>1949.931</v>
      </c>
      <c r="N44">
        <v>1980.366</v>
      </c>
      <c r="O44">
        <v>1702.6410000000001</v>
      </c>
      <c r="P44">
        <v>2044.056</v>
      </c>
      <c r="R44" s="3">
        <f t="shared" si="2"/>
        <v>1895.316</v>
      </c>
      <c r="S44" s="3">
        <f t="shared" si="3"/>
        <v>62.700788212748954</v>
      </c>
    </row>
    <row r="45" spans="1:19" x14ac:dyDescent="0.25">
      <c r="A45">
        <v>43.75</v>
      </c>
      <c r="B45">
        <v>2110.721</v>
      </c>
      <c r="C45">
        <v>2002.3910000000001</v>
      </c>
      <c r="D45">
        <v>2000.761</v>
      </c>
      <c r="E45">
        <v>1747.681</v>
      </c>
      <c r="F45">
        <v>1643.681</v>
      </c>
      <c r="H45" s="2">
        <f t="shared" si="0"/>
        <v>1901.047</v>
      </c>
      <c r="I45" s="2">
        <f t="shared" si="1"/>
        <v>87.731141084565849</v>
      </c>
      <c r="K45">
        <v>43.75</v>
      </c>
      <c r="L45">
        <v>1795.49</v>
      </c>
      <c r="M45">
        <v>1955.376</v>
      </c>
      <c r="N45">
        <v>1969.0619999999999</v>
      </c>
      <c r="O45">
        <v>1701.2170000000001</v>
      </c>
      <c r="P45">
        <v>2029.414</v>
      </c>
      <c r="R45" s="3">
        <f t="shared" si="2"/>
        <v>1890.1118000000001</v>
      </c>
      <c r="S45" s="3">
        <f t="shared" si="3"/>
        <v>61.045959452202872</v>
      </c>
    </row>
    <row r="46" spans="1:19" x14ac:dyDescent="0.25">
      <c r="A46">
        <v>45</v>
      </c>
      <c r="B46">
        <v>2126.0949999999998</v>
      </c>
      <c r="C46">
        <v>2023.2470000000001</v>
      </c>
      <c r="D46">
        <v>2031.972</v>
      </c>
      <c r="E46">
        <v>1755.4690000000001</v>
      </c>
      <c r="F46">
        <v>1648.7339999999999</v>
      </c>
      <c r="H46" s="2">
        <f t="shared" si="0"/>
        <v>1917.1034</v>
      </c>
      <c r="I46" s="2">
        <f t="shared" si="1"/>
        <v>91.182937569810704</v>
      </c>
      <c r="K46">
        <v>45</v>
      </c>
      <c r="L46">
        <v>1796.6669999999999</v>
      </c>
      <c r="M46">
        <v>1963.1289999999999</v>
      </c>
      <c r="N46">
        <v>1964.4449999999999</v>
      </c>
      <c r="O46">
        <v>1712.722</v>
      </c>
      <c r="P46">
        <v>2039.7370000000001</v>
      </c>
      <c r="R46" s="3">
        <f t="shared" si="2"/>
        <v>1895.3400000000001</v>
      </c>
      <c r="S46" s="3">
        <f t="shared" si="3"/>
        <v>60.54214978343601</v>
      </c>
    </row>
    <row r="47" spans="1:19" x14ac:dyDescent="0.25">
      <c r="A47">
        <v>46.25</v>
      </c>
      <c r="B47">
        <v>2167.027</v>
      </c>
      <c r="C47">
        <v>2064.4549999999999</v>
      </c>
      <c r="D47">
        <v>2084.3240000000001</v>
      </c>
      <c r="E47">
        <v>1790.6110000000001</v>
      </c>
      <c r="F47">
        <v>1678.548</v>
      </c>
      <c r="H47" s="2">
        <f t="shared" si="0"/>
        <v>1956.9929999999999</v>
      </c>
      <c r="I47" s="2">
        <f t="shared" si="1"/>
        <v>94.09838843200238</v>
      </c>
      <c r="K47">
        <v>46.25</v>
      </c>
      <c r="L47">
        <v>1837.902</v>
      </c>
      <c r="M47">
        <v>1987.6079999999999</v>
      </c>
      <c r="N47">
        <v>1994.7750000000001</v>
      </c>
      <c r="O47">
        <v>1751.23</v>
      </c>
      <c r="P47">
        <v>2083.7719999999999</v>
      </c>
      <c r="R47" s="3">
        <f t="shared" si="2"/>
        <v>1931.0574000000001</v>
      </c>
      <c r="S47" s="3">
        <f t="shared" si="3"/>
        <v>59.831210209722471</v>
      </c>
    </row>
    <row r="48" spans="1:19" x14ac:dyDescent="0.25">
      <c r="A48">
        <v>47.5</v>
      </c>
      <c r="B48">
        <v>2239.2739999999999</v>
      </c>
      <c r="C48">
        <v>2134.1790000000001</v>
      </c>
      <c r="D48">
        <v>2162.1990000000001</v>
      </c>
      <c r="E48">
        <v>1843.5630000000001</v>
      </c>
      <c r="F48">
        <v>1718.989</v>
      </c>
      <c r="H48" s="2">
        <f t="shared" si="0"/>
        <v>2019.6407999999999</v>
      </c>
      <c r="I48" s="2">
        <f t="shared" si="1"/>
        <v>100.76593637852028</v>
      </c>
      <c r="K48">
        <v>47.5</v>
      </c>
      <c r="L48">
        <v>1896.2270000000001</v>
      </c>
      <c r="M48">
        <v>2050.9740000000002</v>
      </c>
      <c r="N48">
        <v>2069.377</v>
      </c>
      <c r="O48">
        <v>1808.9269999999999</v>
      </c>
      <c r="P48">
        <v>2155.8850000000002</v>
      </c>
      <c r="R48" s="3">
        <f t="shared" si="2"/>
        <v>1996.2779999999998</v>
      </c>
      <c r="S48" s="3">
        <f t="shared" si="3"/>
        <v>62.817239062219251</v>
      </c>
    </row>
    <row r="49" spans="1:19" x14ac:dyDescent="0.25">
      <c r="A49">
        <v>48.75</v>
      </c>
      <c r="B49">
        <v>2336.384</v>
      </c>
      <c r="C49">
        <v>2218.277</v>
      </c>
      <c r="D49">
        <v>2243.8270000000002</v>
      </c>
      <c r="E49">
        <v>1923.136</v>
      </c>
      <c r="F49">
        <v>1788.903</v>
      </c>
      <c r="H49" s="2">
        <f t="shared" si="0"/>
        <v>2102.1053999999999</v>
      </c>
      <c r="I49" s="2">
        <f t="shared" si="1"/>
        <v>104.54499138485785</v>
      </c>
      <c r="K49">
        <v>48.75</v>
      </c>
      <c r="L49">
        <v>1962.193</v>
      </c>
      <c r="M49">
        <v>2132.9319999999998</v>
      </c>
      <c r="N49">
        <v>2154.0410000000002</v>
      </c>
      <c r="O49">
        <v>1878.877</v>
      </c>
      <c r="P49">
        <v>2252.15</v>
      </c>
      <c r="R49" s="3">
        <f t="shared" si="2"/>
        <v>2076.0385999999999</v>
      </c>
      <c r="S49" s="3">
        <f t="shared" si="3"/>
        <v>67.885924805220142</v>
      </c>
    </row>
    <row r="50" spans="1:19" x14ac:dyDescent="0.25">
      <c r="A50">
        <v>50</v>
      </c>
      <c r="B50">
        <v>2427.6860000000001</v>
      </c>
      <c r="C50">
        <v>2318.0439999999999</v>
      </c>
      <c r="D50">
        <v>2336.4160000000002</v>
      </c>
      <c r="E50">
        <v>2022.354</v>
      </c>
      <c r="F50">
        <v>1870.8240000000001</v>
      </c>
      <c r="H50" s="2">
        <f t="shared" si="0"/>
        <v>2195.0648000000001</v>
      </c>
      <c r="I50" s="2">
        <f t="shared" si="1"/>
        <v>105.87204184410538</v>
      </c>
      <c r="K50">
        <v>50</v>
      </c>
      <c r="L50">
        <v>2051.2919999999999</v>
      </c>
      <c r="M50">
        <v>2220.5030000000002</v>
      </c>
      <c r="N50">
        <v>2222.6990000000001</v>
      </c>
      <c r="O50">
        <v>1948.874</v>
      </c>
      <c r="P50">
        <v>2339.0639999999999</v>
      </c>
      <c r="R50" s="3">
        <f t="shared" si="2"/>
        <v>2156.4864000000002</v>
      </c>
      <c r="S50" s="3">
        <f t="shared" si="3"/>
        <v>69.276830153089421</v>
      </c>
    </row>
    <row r="51" spans="1:19" x14ac:dyDescent="0.25">
      <c r="A51">
        <v>51.25</v>
      </c>
      <c r="B51">
        <v>2507.8420000000001</v>
      </c>
      <c r="C51">
        <v>2423.6309999999999</v>
      </c>
      <c r="D51">
        <v>2436.152</v>
      </c>
      <c r="E51">
        <v>2110.9630000000002</v>
      </c>
      <c r="F51">
        <v>1945.7059999999999</v>
      </c>
      <c r="H51" s="2">
        <f t="shared" si="0"/>
        <v>2284.8588</v>
      </c>
      <c r="I51" s="2">
        <f t="shared" si="1"/>
        <v>108.88829926736848</v>
      </c>
      <c r="K51">
        <v>51.25</v>
      </c>
      <c r="L51">
        <v>2132.0439999999999</v>
      </c>
      <c r="M51">
        <v>2310.442</v>
      </c>
      <c r="N51">
        <v>2294.7269999999999</v>
      </c>
      <c r="O51">
        <v>2011.3320000000001</v>
      </c>
      <c r="P51">
        <v>2417.0680000000002</v>
      </c>
      <c r="R51" s="3">
        <f t="shared" si="2"/>
        <v>2233.1226000000001</v>
      </c>
      <c r="S51" s="3">
        <f t="shared" si="3"/>
        <v>71.769511466638832</v>
      </c>
    </row>
    <row r="52" spans="1:19" x14ac:dyDescent="0.25">
      <c r="A52">
        <v>52.5</v>
      </c>
      <c r="B52">
        <v>2577.4769999999999</v>
      </c>
      <c r="C52">
        <v>2482.826</v>
      </c>
      <c r="D52">
        <v>2478.5149999999999</v>
      </c>
      <c r="E52">
        <v>2142.471</v>
      </c>
      <c r="F52">
        <v>1969.837</v>
      </c>
      <c r="H52" s="2">
        <f t="shared" si="0"/>
        <v>2330.2251999999999</v>
      </c>
      <c r="I52" s="2">
        <f t="shared" si="1"/>
        <v>116.52073117364134</v>
      </c>
      <c r="K52">
        <v>52.5</v>
      </c>
      <c r="L52">
        <v>2160.4810000000002</v>
      </c>
      <c r="M52">
        <v>2350.875</v>
      </c>
      <c r="N52">
        <v>2352.1590000000001</v>
      </c>
      <c r="O52">
        <v>2036.5940000000001</v>
      </c>
      <c r="P52">
        <v>2450.1819999999998</v>
      </c>
      <c r="R52" s="3">
        <f t="shared" si="2"/>
        <v>2270.0582000000004</v>
      </c>
      <c r="S52" s="3">
        <f t="shared" si="3"/>
        <v>74.909670701051624</v>
      </c>
    </row>
    <row r="53" spans="1:19" x14ac:dyDescent="0.25">
      <c r="A53">
        <v>53.75</v>
      </c>
      <c r="B53">
        <v>2640.23</v>
      </c>
      <c r="C53">
        <v>2475.6880000000001</v>
      </c>
      <c r="D53">
        <v>2508.067</v>
      </c>
      <c r="E53">
        <v>2111.386</v>
      </c>
      <c r="F53">
        <v>1952.2860000000001</v>
      </c>
      <c r="H53" s="2">
        <f t="shared" si="0"/>
        <v>2337.5313999999998</v>
      </c>
      <c r="I53" s="2">
        <f t="shared" si="1"/>
        <v>130.25970973313392</v>
      </c>
      <c r="K53">
        <v>53.75</v>
      </c>
      <c r="L53">
        <v>2148.7109999999998</v>
      </c>
      <c r="M53">
        <v>2344.931</v>
      </c>
      <c r="N53">
        <v>2401.8969999999999</v>
      </c>
      <c r="O53">
        <v>2025.491</v>
      </c>
      <c r="P53">
        <v>2442.0039999999999</v>
      </c>
      <c r="R53" s="3">
        <f t="shared" si="2"/>
        <v>2272.6068</v>
      </c>
      <c r="S53" s="3">
        <f t="shared" si="3"/>
        <v>79.705252322792376</v>
      </c>
    </row>
    <row r="54" spans="1:19" x14ac:dyDescent="0.25">
      <c r="A54">
        <v>55</v>
      </c>
      <c r="B54">
        <v>2691.348</v>
      </c>
      <c r="C54">
        <v>2415.2910000000002</v>
      </c>
      <c r="D54">
        <v>2565.453</v>
      </c>
      <c r="E54">
        <v>2062.5279999999998</v>
      </c>
      <c r="F54">
        <v>1916.66</v>
      </c>
      <c r="H54" s="2">
        <f t="shared" si="0"/>
        <v>2330.2560000000003</v>
      </c>
      <c r="I54" s="2">
        <f t="shared" si="1"/>
        <v>147.59335108635366</v>
      </c>
      <c r="K54">
        <v>55</v>
      </c>
      <c r="L54">
        <v>2121.3420000000001</v>
      </c>
      <c r="M54">
        <v>2296.9279999999999</v>
      </c>
      <c r="N54">
        <v>2390.9050000000002</v>
      </c>
      <c r="O54">
        <v>1987.04</v>
      </c>
      <c r="P54">
        <v>2395.5509999999999</v>
      </c>
      <c r="R54" s="3">
        <f t="shared" si="2"/>
        <v>2238.3532</v>
      </c>
      <c r="S54" s="3">
        <f t="shared" si="3"/>
        <v>80.082505150251137</v>
      </c>
    </row>
    <row r="55" spans="1:19" x14ac:dyDescent="0.25">
      <c r="A55">
        <v>56.25</v>
      </c>
      <c r="B55">
        <v>2707.67</v>
      </c>
      <c r="C55">
        <v>2290.6819999999998</v>
      </c>
      <c r="D55">
        <v>2577.09</v>
      </c>
      <c r="E55">
        <v>1965.877</v>
      </c>
      <c r="F55">
        <v>1816.1489999999999</v>
      </c>
      <c r="H55" s="2">
        <f t="shared" si="0"/>
        <v>2271.4935999999998</v>
      </c>
      <c r="I55" s="2">
        <f t="shared" si="1"/>
        <v>170.98938815745356</v>
      </c>
      <c r="K55">
        <v>56.25</v>
      </c>
      <c r="L55">
        <v>2024.231</v>
      </c>
      <c r="M55">
        <v>2170.3409999999999</v>
      </c>
      <c r="N55">
        <v>2277.63</v>
      </c>
      <c r="O55">
        <v>1889.61</v>
      </c>
      <c r="P55">
        <v>2283.7199999999998</v>
      </c>
      <c r="R55" s="3">
        <f t="shared" si="2"/>
        <v>2129.1063999999997</v>
      </c>
      <c r="S55" s="3">
        <f t="shared" si="3"/>
        <v>76.16504855811489</v>
      </c>
    </row>
    <row r="56" spans="1:19" x14ac:dyDescent="0.25">
      <c r="A56">
        <v>57.5</v>
      </c>
      <c r="B56">
        <v>2673.364</v>
      </c>
      <c r="C56">
        <v>2130.482</v>
      </c>
      <c r="D56">
        <v>2529.3629999999998</v>
      </c>
      <c r="E56">
        <v>1816.0219999999999</v>
      </c>
      <c r="F56">
        <v>1656.8720000000001</v>
      </c>
      <c r="H56" s="2">
        <f t="shared" si="0"/>
        <v>2161.2205999999996</v>
      </c>
      <c r="I56" s="2">
        <f t="shared" si="1"/>
        <v>196.50625106281035</v>
      </c>
      <c r="K56">
        <v>57.5</v>
      </c>
      <c r="L56">
        <v>1894.318</v>
      </c>
      <c r="M56">
        <v>2010.4380000000001</v>
      </c>
      <c r="N56">
        <v>2150.241</v>
      </c>
      <c r="O56">
        <v>1744.788</v>
      </c>
      <c r="P56">
        <v>2144.297</v>
      </c>
      <c r="R56" s="3">
        <f t="shared" si="2"/>
        <v>1988.8164000000002</v>
      </c>
      <c r="S56" s="3">
        <f t="shared" si="3"/>
        <v>77.194371445462266</v>
      </c>
    </row>
    <row r="57" spans="1:19" x14ac:dyDescent="0.25">
      <c r="A57">
        <v>58.75</v>
      </c>
      <c r="B57">
        <v>2643.364</v>
      </c>
      <c r="C57">
        <v>1987.7260000000001</v>
      </c>
      <c r="D57">
        <v>2469.6239999999998</v>
      </c>
      <c r="E57">
        <v>1692.3710000000001</v>
      </c>
      <c r="F57">
        <v>1517.675</v>
      </c>
      <c r="H57" s="2">
        <f t="shared" si="0"/>
        <v>2062.1519999999996</v>
      </c>
      <c r="I57" s="2">
        <f t="shared" si="1"/>
        <v>217.09136794147398</v>
      </c>
      <c r="K57">
        <v>58.75</v>
      </c>
      <c r="L57">
        <v>1778.239</v>
      </c>
      <c r="M57">
        <v>1869.0239999999999</v>
      </c>
      <c r="N57">
        <v>2054.1770000000001</v>
      </c>
      <c r="O57">
        <v>1605.6849999999999</v>
      </c>
      <c r="P57">
        <v>2010.3530000000001</v>
      </c>
      <c r="R57" s="3">
        <f t="shared" si="2"/>
        <v>1863.4955999999997</v>
      </c>
      <c r="S57" s="3">
        <f t="shared" si="3"/>
        <v>81.145563268486853</v>
      </c>
    </row>
    <row r="58" spans="1:19" x14ac:dyDescent="0.25">
      <c r="A58">
        <v>60</v>
      </c>
      <c r="B58">
        <v>2629.8589999999999</v>
      </c>
      <c r="C58">
        <v>1884.539</v>
      </c>
      <c r="D58">
        <v>2415.607</v>
      </c>
      <c r="E58">
        <v>1602.913</v>
      </c>
      <c r="F58">
        <v>1443.2349999999999</v>
      </c>
      <c r="H58" s="2">
        <f t="shared" si="0"/>
        <v>1995.2306000000001</v>
      </c>
      <c r="I58" s="2">
        <f t="shared" si="1"/>
        <v>229.16526741231965</v>
      </c>
      <c r="K58">
        <v>60</v>
      </c>
      <c r="L58">
        <v>1677.7139999999999</v>
      </c>
      <c r="M58">
        <v>1771.9929999999999</v>
      </c>
      <c r="N58">
        <v>1981.934</v>
      </c>
      <c r="O58">
        <v>1526.788</v>
      </c>
      <c r="P58">
        <v>1904.6179999999999</v>
      </c>
      <c r="R58" s="3">
        <f t="shared" si="2"/>
        <v>1772.6094000000001</v>
      </c>
      <c r="S58" s="3">
        <f t="shared" si="3"/>
        <v>80.832152089128485</v>
      </c>
    </row>
    <row r="59" spans="1:19" x14ac:dyDescent="0.25">
      <c r="A59">
        <v>61.25</v>
      </c>
      <c r="B59">
        <v>2614.2069999999999</v>
      </c>
      <c r="C59">
        <v>1810.366</v>
      </c>
      <c r="D59">
        <v>2373.5590000000002</v>
      </c>
      <c r="E59">
        <v>1539.0150000000001</v>
      </c>
      <c r="F59">
        <v>1394.0650000000001</v>
      </c>
      <c r="H59" s="2">
        <f t="shared" si="0"/>
        <v>1946.2424000000003</v>
      </c>
      <c r="I59" s="2">
        <f t="shared" si="1"/>
        <v>236.4289127779424</v>
      </c>
      <c r="K59">
        <v>61.25</v>
      </c>
      <c r="L59">
        <v>1601.0319999999999</v>
      </c>
      <c r="M59">
        <v>1707.944</v>
      </c>
      <c r="N59">
        <v>1889.2049999999999</v>
      </c>
      <c r="O59">
        <v>1478.9090000000001</v>
      </c>
      <c r="P59">
        <v>1818.6310000000001</v>
      </c>
      <c r="R59" s="3">
        <f t="shared" si="2"/>
        <v>1699.1442</v>
      </c>
      <c r="S59" s="3">
        <f t="shared" si="3"/>
        <v>73.690971855037972</v>
      </c>
    </row>
    <row r="60" spans="1:19" x14ac:dyDescent="0.25">
      <c r="A60">
        <v>62.5</v>
      </c>
      <c r="B60">
        <v>2608.029</v>
      </c>
      <c r="C60">
        <v>1739.7719999999999</v>
      </c>
      <c r="D60">
        <v>2287.4499999999998</v>
      </c>
      <c r="E60">
        <v>1479.7919999999999</v>
      </c>
      <c r="F60">
        <v>1339.829</v>
      </c>
      <c r="H60" s="2">
        <f t="shared" si="0"/>
        <v>1890.9743999999998</v>
      </c>
      <c r="I60" s="2">
        <f t="shared" si="1"/>
        <v>241.56309574862598</v>
      </c>
      <c r="K60">
        <v>62.5</v>
      </c>
      <c r="L60">
        <v>1543.684</v>
      </c>
      <c r="M60">
        <v>1658.6759999999999</v>
      </c>
      <c r="N60">
        <v>1809.5229999999999</v>
      </c>
      <c r="O60">
        <v>1436.0419999999999</v>
      </c>
      <c r="P60">
        <v>1757.896</v>
      </c>
      <c r="R60" s="3">
        <f t="shared" si="2"/>
        <v>1641.1641999999999</v>
      </c>
      <c r="S60" s="3">
        <f t="shared" si="3"/>
        <v>68.503710896855793</v>
      </c>
    </row>
    <row r="61" spans="1:19" x14ac:dyDescent="0.25">
      <c r="A61">
        <v>63.75</v>
      </c>
      <c r="B61">
        <v>2542.011</v>
      </c>
      <c r="C61">
        <v>1687.337</v>
      </c>
      <c r="D61">
        <v>2164.5650000000001</v>
      </c>
      <c r="E61">
        <v>1439.2850000000001</v>
      </c>
      <c r="F61">
        <v>1293.8699999999999</v>
      </c>
      <c r="H61" s="2">
        <f t="shared" si="0"/>
        <v>1825.4135999999999</v>
      </c>
      <c r="I61" s="2">
        <f t="shared" si="1"/>
        <v>232.29663662171302</v>
      </c>
      <c r="K61">
        <v>63.75</v>
      </c>
      <c r="L61">
        <v>1496.42</v>
      </c>
      <c r="M61">
        <v>1615.277</v>
      </c>
      <c r="N61">
        <v>1754.385</v>
      </c>
      <c r="O61">
        <v>1401.2850000000001</v>
      </c>
      <c r="P61">
        <v>1708.9449999999999</v>
      </c>
      <c r="R61" s="3">
        <f t="shared" si="2"/>
        <v>1595.2624000000001</v>
      </c>
      <c r="S61" s="3">
        <f t="shared" si="3"/>
        <v>65.590156020244351</v>
      </c>
    </row>
    <row r="62" spans="1:19" x14ac:dyDescent="0.25">
      <c r="A62">
        <v>65</v>
      </c>
      <c r="B62">
        <v>2417.0990000000002</v>
      </c>
      <c r="C62">
        <v>1654.145</v>
      </c>
      <c r="D62">
        <v>2020.8130000000001</v>
      </c>
      <c r="E62">
        <v>1407.6289999999999</v>
      </c>
      <c r="F62">
        <v>1257.252</v>
      </c>
      <c r="H62" s="2">
        <f t="shared" si="0"/>
        <v>1751.3876</v>
      </c>
      <c r="I62" s="2">
        <f t="shared" si="1"/>
        <v>210.66060426325558</v>
      </c>
      <c r="K62">
        <v>65</v>
      </c>
      <c r="L62">
        <v>1459.866</v>
      </c>
      <c r="M62">
        <v>1581.932</v>
      </c>
      <c r="N62">
        <v>1686.7729999999999</v>
      </c>
      <c r="O62">
        <v>1361.951</v>
      </c>
      <c r="P62">
        <v>1656.2070000000001</v>
      </c>
      <c r="R62" s="3">
        <f t="shared" si="2"/>
        <v>1549.3458000000001</v>
      </c>
      <c r="S62" s="3">
        <f t="shared" si="3"/>
        <v>61.029033037891068</v>
      </c>
    </row>
    <row r="63" spans="1:19" x14ac:dyDescent="0.25">
      <c r="A63">
        <v>66.25</v>
      </c>
      <c r="B63">
        <v>2243.0259999999998</v>
      </c>
      <c r="C63">
        <v>1626.0609999999999</v>
      </c>
      <c r="D63">
        <v>1866.799</v>
      </c>
      <c r="E63">
        <v>1376.66</v>
      </c>
      <c r="F63">
        <v>1239.45</v>
      </c>
      <c r="H63" s="2">
        <f t="shared" si="0"/>
        <v>1670.3991999999998</v>
      </c>
      <c r="I63" s="2">
        <f t="shared" si="1"/>
        <v>178.9469390761968</v>
      </c>
      <c r="K63">
        <v>66.25</v>
      </c>
      <c r="L63">
        <v>1427.925</v>
      </c>
      <c r="M63">
        <v>1548.242</v>
      </c>
      <c r="N63">
        <v>1612.325</v>
      </c>
      <c r="O63">
        <v>1329.6110000000001</v>
      </c>
      <c r="P63">
        <v>1606.529</v>
      </c>
      <c r="R63" s="3">
        <f t="shared" si="2"/>
        <v>1504.9263999999998</v>
      </c>
      <c r="S63" s="3">
        <f t="shared" si="3"/>
        <v>54.953841490472698</v>
      </c>
    </row>
    <row r="64" spans="1:19" x14ac:dyDescent="0.25">
      <c r="A64">
        <v>67.5</v>
      </c>
      <c r="B64">
        <v>2027.4659999999999</v>
      </c>
      <c r="C64">
        <v>1605.683</v>
      </c>
      <c r="D64">
        <v>1716.6179999999999</v>
      </c>
      <c r="E64">
        <v>1365.135</v>
      </c>
      <c r="F64">
        <v>1231.1479999999999</v>
      </c>
      <c r="H64" s="2">
        <f t="shared" si="0"/>
        <v>1589.21</v>
      </c>
      <c r="I64" s="2">
        <f t="shared" si="1"/>
        <v>139.1025666905532</v>
      </c>
      <c r="K64">
        <v>67.5</v>
      </c>
      <c r="L64">
        <v>1409.692</v>
      </c>
      <c r="M64">
        <v>1539.144</v>
      </c>
      <c r="N64">
        <v>1559.1479999999999</v>
      </c>
      <c r="O64">
        <v>1324.442</v>
      </c>
      <c r="P64">
        <v>1583.886</v>
      </c>
      <c r="R64" s="3">
        <f t="shared" si="2"/>
        <v>1483.2624000000001</v>
      </c>
      <c r="S64" s="3">
        <f t="shared" si="3"/>
        <v>49.821185049735604</v>
      </c>
    </row>
    <row r="65" spans="1:19" x14ac:dyDescent="0.25">
      <c r="A65">
        <v>68.75</v>
      </c>
      <c r="B65">
        <v>1826.049</v>
      </c>
      <c r="C65">
        <v>1580.32</v>
      </c>
      <c r="D65">
        <v>1614.88</v>
      </c>
      <c r="E65">
        <v>1362.52</v>
      </c>
      <c r="F65">
        <v>1228.787</v>
      </c>
      <c r="H65" s="2">
        <f t="shared" si="0"/>
        <v>1522.5112000000001</v>
      </c>
      <c r="I65" s="2">
        <f t="shared" si="1"/>
        <v>103.89421021952953</v>
      </c>
      <c r="K65">
        <v>68.75</v>
      </c>
      <c r="L65">
        <v>1397.5409999999999</v>
      </c>
      <c r="M65">
        <v>1528.6420000000001</v>
      </c>
      <c r="N65">
        <v>1525.7429999999999</v>
      </c>
      <c r="O65">
        <v>1322.7629999999999</v>
      </c>
      <c r="P65">
        <v>1567.5129999999999</v>
      </c>
      <c r="R65" s="3">
        <f t="shared" si="2"/>
        <v>1468.4404</v>
      </c>
      <c r="S65" s="3">
        <f t="shared" si="3"/>
        <v>46.35290199717813</v>
      </c>
    </row>
    <row r="66" spans="1:19" x14ac:dyDescent="0.25">
      <c r="A66">
        <v>70</v>
      </c>
      <c r="B66">
        <v>1677.752</v>
      </c>
      <c r="C66">
        <v>1558.3789999999999</v>
      </c>
      <c r="D66">
        <v>1559.0029999999999</v>
      </c>
      <c r="E66">
        <v>1348.6880000000001</v>
      </c>
      <c r="F66">
        <v>1219.49</v>
      </c>
      <c r="H66" s="2">
        <f t="shared" si="0"/>
        <v>1472.6623999999999</v>
      </c>
      <c r="I66" s="2">
        <f t="shared" si="1"/>
        <v>82.56200540478585</v>
      </c>
      <c r="K66">
        <v>70</v>
      </c>
      <c r="L66">
        <v>1371.9770000000001</v>
      </c>
      <c r="M66">
        <v>1515.8869999999999</v>
      </c>
      <c r="N66">
        <v>1502.9849999999999</v>
      </c>
      <c r="O66">
        <v>1307.5419999999999</v>
      </c>
      <c r="P66">
        <v>1545.739</v>
      </c>
      <c r="R66" s="3">
        <f t="shared" si="2"/>
        <v>1448.8259999999998</v>
      </c>
      <c r="S66" s="3">
        <f t="shared" si="3"/>
        <v>46.200347416442654</v>
      </c>
    </row>
    <row r="67" spans="1:19" x14ac:dyDescent="0.25">
      <c r="A67">
        <v>71.25</v>
      </c>
      <c r="B67">
        <v>1621.306</v>
      </c>
      <c r="C67">
        <v>1550.367</v>
      </c>
      <c r="D67">
        <v>1530.0260000000001</v>
      </c>
      <c r="E67">
        <v>1343.499</v>
      </c>
      <c r="F67">
        <v>1208.3440000000001</v>
      </c>
      <c r="H67" s="2">
        <f t="shared" si="0"/>
        <v>1450.7084</v>
      </c>
      <c r="I67" s="2">
        <f t="shared" si="1"/>
        <v>76.013491297664345</v>
      </c>
      <c r="K67">
        <v>71.25</v>
      </c>
      <c r="L67">
        <v>1360.665</v>
      </c>
      <c r="M67">
        <v>1503.575</v>
      </c>
      <c r="N67">
        <v>1483.6189999999999</v>
      </c>
      <c r="O67">
        <v>1295.6279999999999</v>
      </c>
      <c r="P67">
        <v>1529.9649999999999</v>
      </c>
      <c r="R67" s="3">
        <f t="shared" si="2"/>
        <v>1434.6904</v>
      </c>
      <c r="S67" s="3">
        <f t="shared" si="3"/>
        <v>45.295947036793478</v>
      </c>
    </row>
    <row r="68" spans="1:19" x14ac:dyDescent="0.25">
      <c r="A68">
        <v>72.5</v>
      </c>
      <c r="B68">
        <v>1620.009</v>
      </c>
      <c r="C68">
        <v>1540.59</v>
      </c>
      <c r="D68">
        <v>1527.29</v>
      </c>
      <c r="E68">
        <v>1339.4159999999999</v>
      </c>
      <c r="F68">
        <v>1199.0920000000001</v>
      </c>
      <c r="H68" s="2">
        <f t="shared" si="0"/>
        <v>1445.2794000000001</v>
      </c>
      <c r="I68" s="2">
        <f t="shared" si="1"/>
        <v>76.862076955803332</v>
      </c>
      <c r="K68">
        <v>72.5</v>
      </c>
      <c r="L68">
        <v>1356.2360000000001</v>
      </c>
      <c r="M68">
        <v>1488.8530000000001</v>
      </c>
      <c r="N68">
        <v>1472.605</v>
      </c>
      <c r="O68">
        <v>1295.6489999999999</v>
      </c>
      <c r="P68">
        <v>1519.5709999999999</v>
      </c>
      <c r="R68" s="3">
        <f t="shared" si="2"/>
        <v>1426.5827999999997</v>
      </c>
      <c r="S68" s="3">
        <f t="shared" si="3"/>
        <v>42.857180432688288</v>
      </c>
    </row>
    <row r="69" spans="1:19" x14ac:dyDescent="0.25">
      <c r="A69">
        <v>73.75</v>
      </c>
      <c r="B69">
        <v>1656.1179999999999</v>
      </c>
      <c r="C69">
        <v>1552.182</v>
      </c>
      <c r="D69">
        <v>1552.0650000000001</v>
      </c>
      <c r="E69">
        <v>1356.71</v>
      </c>
      <c r="F69">
        <v>1209.7950000000001</v>
      </c>
      <c r="H69" s="2">
        <f t="shared" ref="H69:H96" si="4">AVERAGE(B69:F69)</f>
        <v>1465.374</v>
      </c>
      <c r="I69" s="2">
        <f t="shared" ref="I69:I96" si="5">STDEV(B69:F69)/SQRT(COUNT(B69:F69))</f>
        <v>80.17565778277087</v>
      </c>
      <c r="K69">
        <v>73.75</v>
      </c>
      <c r="L69">
        <v>1372.8869999999999</v>
      </c>
      <c r="M69">
        <v>1507.89</v>
      </c>
      <c r="N69">
        <v>1491.078</v>
      </c>
      <c r="O69">
        <v>1321.518</v>
      </c>
      <c r="P69">
        <v>1532.288</v>
      </c>
      <c r="R69" s="3">
        <f t="shared" ref="R69:R96" si="6">AVERAGE(L69:P69)</f>
        <v>1445.1322</v>
      </c>
      <c r="S69" s="3">
        <f t="shared" ref="S69:S96" si="7">STDEV(L69:P69)/SQRT(COUNT(L69:P69))</f>
        <v>41.319203063950788</v>
      </c>
    </row>
    <row r="70" spans="1:19" x14ac:dyDescent="0.25">
      <c r="A70">
        <v>75</v>
      </c>
      <c r="B70">
        <v>1744.268</v>
      </c>
      <c r="C70">
        <v>1668.5029999999999</v>
      </c>
      <c r="D70">
        <v>1647.296</v>
      </c>
      <c r="E70">
        <v>1449.8969999999999</v>
      </c>
      <c r="F70">
        <v>1271.02</v>
      </c>
      <c r="H70" s="2">
        <f t="shared" si="4"/>
        <v>1556.1968000000002</v>
      </c>
      <c r="I70" s="2">
        <f t="shared" si="5"/>
        <v>86.286724878975178</v>
      </c>
      <c r="K70">
        <v>75</v>
      </c>
      <c r="L70">
        <v>1450.7739999999999</v>
      </c>
      <c r="M70">
        <v>1607.8520000000001</v>
      </c>
      <c r="N70">
        <v>1582.22</v>
      </c>
      <c r="O70">
        <v>1400.777</v>
      </c>
      <c r="P70">
        <v>1630.6110000000001</v>
      </c>
      <c r="R70" s="3">
        <f t="shared" si="6"/>
        <v>1534.4468000000002</v>
      </c>
      <c r="S70" s="3">
        <f t="shared" si="7"/>
        <v>45.709358056529325</v>
      </c>
    </row>
    <row r="71" spans="1:19" x14ac:dyDescent="0.25">
      <c r="A71">
        <v>76.25</v>
      </c>
      <c r="B71">
        <v>1882.7619999999999</v>
      </c>
      <c r="C71">
        <v>1879.2380000000001</v>
      </c>
      <c r="D71">
        <v>1798.056</v>
      </c>
      <c r="E71">
        <v>1604.44</v>
      </c>
      <c r="F71">
        <v>1397.6880000000001</v>
      </c>
      <c r="H71" s="2">
        <f t="shared" si="4"/>
        <v>1712.4368000000002</v>
      </c>
      <c r="I71" s="2">
        <f t="shared" si="5"/>
        <v>93.51312137791065</v>
      </c>
      <c r="K71">
        <v>76.25</v>
      </c>
      <c r="L71">
        <v>1620.5730000000001</v>
      </c>
      <c r="M71">
        <v>1789.0550000000001</v>
      </c>
      <c r="N71">
        <v>1746.461</v>
      </c>
      <c r="O71">
        <v>1541.847</v>
      </c>
      <c r="P71">
        <v>1793.6030000000001</v>
      </c>
      <c r="R71" s="3">
        <f t="shared" si="6"/>
        <v>1698.3078</v>
      </c>
      <c r="S71" s="3">
        <f t="shared" si="7"/>
        <v>50.078758565283948</v>
      </c>
    </row>
    <row r="72" spans="1:19" x14ac:dyDescent="0.25">
      <c r="A72">
        <v>77.5</v>
      </c>
      <c r="B72">
        <v>1949.7460000000001</v>
      </c>
      <c r="C72">
        <v>1972.7439999999999</v>
      </c>
      <c r="D72">
        <v>1866.825</v>
      </c>
      <c r="E72">
        <v>1682.8510000000001</v>
      </c>
      <c r="F72">
        <v>1476.375</v>
      </c>
      <c r="H72" s="2">
        <f t="shared" si="4"/>
        <v>1789.7081999999998</v>
      </c>
      <c r="I72" s="2">
        <f t="shared" si="5"/>
        <v>93.449814811695404</v>
      </c>
      <c r="K72">
        <v>77.5</v>
      </c>
      <c r="L72">
        <v>1715.9169999999999</v>
      </c>
      <c r="M72">
        <v>1903.346</v>
      </c>
      <c r="N72">
        <v>1828.778</v>
      </c>
      <c r="O72">
        <v>1613.5129999999999</v>
      </c>
      <c r="P72">
        <v>1857.914</v>
      </c>
      <c r="R72" s="3">
        <f t="shared" si="6"/>
        <v>1783.8936000000001</v>
      </c>
      <c r="S72" s="3">
        <f t="shared" si="7"/>
        <v>52.636903332737965</v>
      </c>
    </row>
    <row r="73" spans="1:19" x14ac:dyDescent="0.25">
      <c r="A73">
        <v>78.75</v>
      </c>
      <c r="B73">
        <v>1908.0530000000001</v>
      </c>
      <c r="C73">
        <v>1924.4760000000001</v>
      </c>
      <c r="D73">
        <v>1816.154</v>
      </c>
      <c r="E73">
        <v>1632.8610000000001</v>
      </c>
      <c r="F73">
        <v>1443.5329999999999</v>
      </c>
      <c r="H73" s="2">
        <f t="shared" si="4"/>
        <v>1745.0154000000002</v>
      </c>
      <c r="I73" s="2">
        <f t="shared" si="5"/>
        <v>91.465379604853311</v>
      </c>
      <c r="K73">
        <v>78.75</v>
      </c>
      <c r="L73">
        <v>1669.1289999999999</v>
      </c>
      <c r="M73">
        <v>1861.856</v>
      </c>
      <c r="N73">
        <v>1787.0450000000001</v>
      </c>
      <c r="O73">
        <v>1572.586</v>
      </c>
      <c r="P73">
        <v>1807.3679999999999</v>
      </c>
      <c r="R73" s="3">
        <f t="shared" si="6"/>
        <v>1739.5968</v>
      </c>
      <c r="S73" s="3">
        <f t="shared" si="7"/>
        <v>52.273271071743736</v>
      </c>
    </row>
    <row r="74" spans="1:19" x14ac:dyDescent="0.25">
      <c r="A74">
        <v>80</v>
      </c>
      <c r="B74">
        <v>1845.1030000000001</v>
      </c>
      <c r="C74">
        <v>1816.0820000000001</v>
      </c>
      <c r="D74">
        <v>1726.498</v>
      </c>
      <c r="E74">
        <v>1536.806</v>
      </c>
      <c r="F74">
        <v>1366.5509999999999</v>
      </c>
      <c r="H74" s="2">
        <f t="shared" si="4"/>
        <v>1658.2080000000001</v>
      </c>
      <c r="I74" s="2">
        <f t="shared" si="5"/>
        <v>90.642075289016816</v>
      </c>
      <c r="K74">
        <v>80</v>
      </c>
      <c r="L74">
        <v>1570.0150000000001</v>
      </c>
      <c r="M74">
        <v>1761.866</v>
      </c>
      <c r="N74">
        <v>1700.39</v>
      </c>
      <c r="O74">
        <v>1506.241</v>
      </c>
      <c r="P74">
        <v>1741.3589999999999</v>
      </c>
      <c r="R74" s="3">
        <f t="shared" si="6"/>
        <v>1655.9742000000001</v>
      </c>
      <c r="S74" s="3">
        <f t="shared" si="7"/>
        <v>50.14250488098893</v>
      </c>
    </row>
    <row r="75" spans="1:19" x14ac:dyDescent="0.25">
      <c r="A75">
        <v>81.25</v>
      </c>
      <c r="B75">
        <v>1912.711</v>
      </c>
      <c r="C75">
        <v>1774.9559999999999</v>
      </c>
      <c r="D75">
        <v>1731.2360000000001</v>
      </c>
      <c r="E75">
        <v>1547.9659999999999</v>
      </c>
      <c r="F75">
        <v>1351.9280000000001</v>
      </c>
      <c r="H75" s="2">
        <f t="shared" si="4"/>
        <v>1663.7594000000001</v>
      </c>
      <c r="I75" s="2">
        <f t="shared" si="5"/>
        <v>97.350297393279561</v>
      </c>
      <c r="K75">
        <v>81.25</v>
      </c>
      <c r="L75">
        <v>1570.816</v>
      </c>
      <c r="M75">
        <v>1782.68</v>
      </c>
      <c r="N75">
        <v>1746.405</v>
      </c>
      <c r="O75">
        <v>1553.64</v>
      </c>
      <c r="P75">
        <v>1822.8879999999999</v>
      </c>
      <c r="R75" s="3">
        <f t="shared" si="6"/>
        <v>1695.2858000000001</v>
      </c>
      <c r="S75" s="3">
        <f t="shared" si="7"/>
        <v>55.717817624526518</v>
      </c>
    </row>
    <row r="76" spans="1:19" x14ac:dyDescent="0.25">
      <c r="A76">
        <v>82.5</v>
      </c>
      <c r="B76">
        <v>2226.0309999999999</v>
      </c>
      <c r="C76">
        <v>2043.2470000000001</v>
      </c>
      <c r="D76">
        <v>2030.913</v>
      </c>
      <c r="E76">
        <v>1931.568</v>
      </c>
      <c r="F76">
        <v>1598.8810000000001</v>
      </c>
      <c r="H76" s="2">
        <f t="shared" si="4"/>
        <v>1966.1279999999999</v>
      </c>
      <c r="I76" s="2">
        <f t="shared" si="5"/>
        <v>103.38248362367814</v>
      </c>
      <c r="K76">
        <v>82.5</v>
      </c>
      <c r="L76">
        <v>1882.963</v>
      </c>
      <c r="M76">
        <v>2198.6529999999998</v>
      </c>
      <c r="N76">
        <v>2150.6419999999998</v>
      </c>
      <c r="O76">
        <v>1892.048</v>
      </c>
      <c r="P76">
        <v>2195.5740000000001</v>
      </c>
      <c r="R76" s="3">
        <f t="shared" si="6"/>
        <v>2063.9759999999997</v>
      </c>
      <c r="S76" s="3">
        <f t="shared" si="7"/>
        <v>72.557517474759265</v>
      </c>
    </row>
    <row r="77" spans="1:19" x14ac:dyDescent="0.25">
      <c r="A77">
        <v>83.75</v>
      </c>
      <c r="B77">
        <v>2698.1010000000001</v>
      </c>
      <c r="C77">
        <v>2893.788</v>
      </c>
      <c r="D77">
        <v>2610.1410000000001</v>
      </c>
      <c r="E77">
        <v>2661.6190000000001</v>
      </c>
      <c r="F77">
        <v>2097.0540000000001</v>
      </c>
      <c r="H77" s="2">
        <f t="shared" si="4"/>
        <v>2592.1406000000002</v>
      </c>
      <c r="I77" s="2">
        <f t="shared" si="5"/>
        <v>132.75555812492249</v>
      </c>
      <c r="K77">
        <v>83.75</v>
      </c>
      <c r="L77">
        <v>2511.701</v>
      </c>
      <c r="M77">
        <v>2973.5709999999999</v>
      </c>
      <c r="N77">
        <v>2868.98</v>
      </c>
      <c r="O77">
        <v>2564.3490000000002</v>
      </c>
      <c r="P77">
        <v>3023.886</v>
      </c>
      <c r="R77" s="3">
        <f t="shared" si="6"/>
        <v>2788.4974000000002</v>
      </c>
      <c r="S77" s="3">
        <f t="shared" si="7"/>
        <v>105.59266821261784</v>
      </c>
    </row>
    <row r="78" spans="1:19" x14ac:dyDescent="0.25">
      <c r="A78">
        <v>85</v>
      </c>
      <c r="B78">
        <v>3144.3530000000001</v>
      </c>
      <c r="C78">
        <v>3940.9459999999999</v>
      </c>
      <c r="D78">
        <v>3253.3009999999999</v>
      </c>
      <c r="E78">
        <v>3264.2310000000002</v>
      </c>
      <c r="F78">
        <v>2646.8130000000001</v>
      </c>
      <c r="H78" s="2">
        <f t="shared" si="4"/>
        <v>3249.9288000000001</v>
      </c>
      <c r="I78" s="2">
        <f t="shared" si="5"/>
        <v>206.47222732232038</v>
      </c>
      <c r="K78">
        <v>85</v>
      </c>
      <c r="L78">
        <v>3229.8490000000002</v>
      </c>
      <c r="M78">
        <v>3973.011</v>
      </c>
      <c r="N78">
        <v>3587.9969999999998</v>
      </c>
      <c r="O78">
        <v>3267.0010000000002</v>
      </c>
      <c r="P78">
        <v>3796.91</v>
      </c>
      <c r="R78" s="3">
        <f t="shared" si="6"/>
        <v>3570.9535999999998</v>
      </c>
      <c r="S78" s="3">
        <f t="shared" si="7"/>
        <v>145.21302563255122</v>
      </c>
    </row>
    <row r="79" spans="1:19" x14ac:dyDescent="0.25">
      <c r="A79">
        <v>86.25</v>
      </c>
      <c r="B79">
        <v>3328.1289999999999</v>
      </c>
      <c r="C79">
        <v>4673.4129999999996</v>
      </c>
      <c r="D79">
        <v>3548.1149999999998</v>
      </c>
      <c r="E79">
        <v>3578.8519999999999</v>
      </c>
      <c r="F79">
        <v>2895.6469999999999</v>
      </c>
      <c r="H79" s="2">
        <f t="shared" si="4"/>
        <v>3604.8311999999996</v>
      </c>
      <c r="I79" s="2">
        <f t="shared" si="5"/>
        <v>293.70606449993539</v>
      </c>
      <c r="K79">
        <v>86.25</v>
      </c>
      <c r="L79">
        <v>3677.68</v>
      </c>
      <c r="M79">
        <v>4614.0159999999996</v>
      </c>
      <c r="N79">
        <v>3958.8780000000002</v>
      </c>
      <c r="O79">
        <v>3624.3580000000002</v>
      </c>
      <c r="P79">
        <v>4160.4759999999997</v>
      </c>
      <c r="R79" s="3">
        <f t="shared" si="6"/>
        <v>4007.0816</v>
      </c>
      <c r="S79" s="3">
        <f t="shared" si="7"/>
        <v>180.16736149857988</v>
      </c>
    </row>
    <row r="80" spans="1:19" x14ac:dyDescent="0.25">
      <c r="A80">
        <v>87.5</v>
      </c>
      <c r="B80">
        <v>3176.2350000000001</v>
      </c>
      <c r="C80">
        <v>4655.9350000000004</v>
      </c>
      <c r="D80">
        <v>3387.6579999999999</v>
      </c>
      <c r="E80">
        <v>3512.1550000000002</v>
      </c>
      <c r="F80">
        <v>2772.0929999999998</v>
      </c>
      <c r="H80" s="2">
        <f t="shared" si="4"/>
        <v>3500.8152</v>
      </c>
      <c r="I80" s="2">
        <f t="shared" si="5"/>
        <v>314.93040868839591</v>
      </c>
      <c r="K80">
        <v>87.5</v>
      </c>
      <c r="L80">
        <v>3618.221</v>
      </c>
      <c r="M80">
        <v>4636.8149999999996</v>
      </c>
      <c r="N80">
        <v>3787.0430000000001</v>
      </c>
      <c r="O80">
        <v>3473.5770000000002</v>
      </c>
      <c r="P80">
        <v>3954.9140000000002</v>
      </c>
      <c r="R80" s="3">
        <f t="shared" si="6"/>
        <v>3894.114</v>
      </c>
      <c r="S80" s="3">
        <f t="shared" si="7"/>
        <v>202.4517140283088</v>
      </c>
    </row>
    <row r="81" spans="1:19" x14ac:dyDescent="0.25">
      <c r="A81">
        <v>88.75</v>
      </c>
      <c r="B81">
        <v>2834.2460000000001</v>
      </c>
      <c r="C81">
        <v>4145.8950000000004</v>
      </c>
      <c r="D81">
        <v>2980.2930000000001</v>
      </c>
      <c r="E81">
        <v>3154.2179999999998</v>
      </c>
      <c r="F81">
        <v>2405.703</v>
      </c>
      <c r="H81" s="2">
        <f t="shared" si="4"/>
        <v>3104.0710000000004</v>
      </c>
      <c r="I81" s="2">
        <f t="shared" si="5"/>
        <v>288.42298416717739</v>
      </c>
      <c r="K81">
        <v>88.75</v>
      </c>
      <c r="L81">
        <v>3213.38</v>
      </c>
      <c r="M81">
        <v>4089.0610000000001</v>
      </c>
      <c r="N81">
        <v>3269.3519999999999</v>
      </c>
      <c r="O81">
        <v>3088.7649999999999</v>
      </c>
      <c r="P81">
        <v>3410.1779999999999</v>
      </c>
      <c r="R81" s="3">
        <f t="shared" si="6"/>
        <v>3414.1472000000003</v>
      </c>
      <c r="S81" s="3">
        <f t="shared" si="7"/>
        <v>176.44702981274543</v>
      </c>
    </row>
    <row r="82" spans="1:19" x14ac:dyDescent="0.25">
      <c r="A82">
        <v>90</v>
      </c>
      <c r="B82">
        <v>2599.02</v>
      </c>
      <c r="C82">
        <v>3724.4279999999999</v>
      </c>
      <c r="D82">
        <v>2671.223</v>
      </c>
      <c r="E82">
        <v>2779.0830000000001</v>
      </c>
      <c r="F82">
        <v>2114.384</v>
      </c>
      <c r="H82" s="2">
        <f t="shared" si="4"/>
        <v>2777.6276000000003</v>
      </c>
      <c r="I82" s="2">
        <f t="shared" si="5"/>
        <v>262.6354700196834</v>
      </c>
      <c r="K82">
        <v>90</v>
      </c>
      <c r="L82">
        <v>2836.433</v>
      </c>
      <c r="M82">
        <v>3589.8470000000002</v>
      </c>
      <c r="N82">
        <v>2931.3780000000002</v>
      </c>
      <c r="O82">
        <v>2704.37</v>
      </c>
      <c r="P82">
        <v>3012.9690000000001</v>
      </c>
      <c r="R82" s="3">
        <f t="shared" si="6"/>
        <v>3014.9994000000006</v>
      </c>
      <c r="S82" s="3">
        <f t="shared" si="7"/>
        <v>152.61438458434608</v>
      </c>
    </row>
    <row r="83" spans="1:19" x14ac:dyDescent="0.25">
      <c r="A83">
        <v>91.25</v>
      </c>
      <c r="B83">
        <v>2584.5740000000001</v>
      </c>
      <c r="C83">
        <v>3736.23</v>
      </c>
      <c r="D83">
        <v>2592.9009999999998</v>
      </c>
      <c r="E83">
        <v>2677.8530000000001</v>
      </c>
      <c r="F83">
        <v>2031.366</v>
      </c>
      <c r="H83" s="2">
        <f t="shared" si="4"/>
        <v>2724.5848000000001</v>
      </c>
      <c r="I83" s="2">
        <f t="shared" si="5"/>
        <v>277.76841287183777</v>
      </c>
      <c r="K83">
        <v>91.25</v>
      </c>
      <c r="L83">
        <v>2764.9389999999999</v>
      </c>
      <c r="M83">
        <v>3584.8760000000002</v>
      </c>
      <c r="N83">
        <v>2865.3519999999999</v>
      </c>
      <c r="O83">
        <v>2616.471</v>
      </c>
      <c r="P83">
        <v>2941.1750000000002</v>
      </c>
      <c r="R83" s="3">
        <f t="shared" si="6"/>
        <v>2954.5626000000002</v>
      </c>
      <c r="S83" s="3">
        <f t="shared" si="7"/>
        <v>166.6876991372169</v>
      </c>
    </row>
    <row r="84" spans="1:19" x14ac:dyDescent="0.25">
      <c r="A84">
        <v>92.5</v>
      </c>
      <c r="B84">
        <v>2739.0279999999998</v>
      </c>
      <c r="C84">
        <v>4010.7710000000002</v>
      </c>
      <c r="D84">
        <v>2648.636</v>
      </c>
      <c r="E84">
        <v>2738.2779999999998</v>
      </c>
      <c r="F84">
        <v>2106.9810000000002</v>
      </c>
      <c r="H84" s="2">
        <f t="shared" si="4"/>
        <v>2848.7388000000001</v>
      </c>
      <c r="I84" s="2">
        <f t="shared" si="5"/>
        <v>313.43281945568464</v>
      </c>
      <c r="K84">
        <v>92.5</v>
      </c>
      <c r="L84">
        <v>2847.7249999999999</v>
      </c>
      <c r="M84">
        <v>3833.1790000000001</v>
      </c>
      <c r="N84">
        <v>2931.3</v>
      </c>
      <c r="O84">
        <v>2716.3739999999998</v>
      </c>
      <c r="P84">
        <v>3015.6869999999999</v>
      </c>
      <c r="R84" s="3">
        <f t="shared" si="6"/>
        <v>3068.8530000000001</v>
      </c>
      <c r="S84" s="3">
        <f t="shared" si="7"/>
        <v>197.36776883092975</v>
      </c>
    </row>
    <row r="85" spans="1:19" x14ac:dyDescent="0.25">
      <c r="A85">
        <v>93.75</v>
      </c>
      <c r="B85">
        <v>3068.4940000000001</v>
      </c>
      <c r="C85">
        <v>4226.9549999999999</v>
      </c>
      <c r="D85">
        <v>2876.6219999999998</v>
      </c>
      <c r="E85">
        <v>2867.05</v>
      </c>
      <c r="F85">
        <v>2329.2240000000002</v>
      </c>
      <c r="H85" s="2">
        <f t="shared" si="4"/>
        <v>3073.6689999999999</v>
      </c>
      <c r="I85" s="2">
        <f t="shared" si="5"/>
        <v>313.51337035412047</v>
      </c>
      <c r="K85">
        <v>93.75</v>
      </c>
      <c r="L85">
        <v>3022.48</v>
      </c>
      <c r="M85">
        <v>4078.1610000000001</v>
      </c>
      <c r="N85">
        <v>3128.3330000000001</v>
      </c>
      <c r="O85">
        <v>2878.9079999999999</v>
      </c>
      <c r="P85">
        <v>3207.7660000000001</v>
      </c>
      <c r="R85" s="3">
        <f t="shared" si="6"/>
        <v>3263.1295999999998</v>
      </c>
      <c r="S85" s="3">
        <f t="shared" si="7"/>
        <v>211.07461979702794</v>
      </c>
    </row>
    <row r="86" spans="1:19" x14ac:dyDescent="0.25">
      <c r="A86">
        <v>95</v>
      </c>
      <c r="B86">
        <v>3532.1010000000001</v>
      </c>
      <c r="C86">
        <v>4305.6059999999998</v>
      </c>
      <c r="D86">
        <v>3250.4459999999999</v>
      </c>
      <c r="E86">
        <v>3129.0740000000001</v>
      </c>
      <c r="F86">
        <v>2617.134</v>
      </c>
      <c r="H86" s="2">
        <f t="shared" si="4"/>
        <v>3366.8722000000002</v>
      </c>
      <c r="I86" s="2">
        <f t="shared" si="5"/>
        <v>277.55468975688314</v>
      </c>
      <c r="K86">
        <v>95</v>
      </c>
      <c r="L86">
        <v>3244.587</v>
      </c>
      <c r="M86">
        <v>4240.6570000000002</v>
      </c>
      <c r="N86">
        <v>3405.1469999999999</v>
      </c>
      <c r="O86">
        <v>3101.692</v>
      </c>
      <c r="P86">
        <v>3518.6460000000002</v>
      </c>
      <c r="R86" s="3">
        <f t="shared" si="6"/>
        <v>3502.1457999999998</v>
      </c>
      <c r="S86" s="3">
        <f t="shared" si="7"/>
        <v>197.70933181299512</v>
      </c>
    </row>
    <row r="87" spans="1:19" x14ac:dyDescent="0.25">
      <c r="A87">
        <v>96.25</v>
      </c>
      <c r="B87">
        <v>4039.444</v>
      </c>
      <c r="C87">
        <v>4395.2700000000004</v>
      </c>
      <c r="D87">
        <v>3725.4879999999998</v>
      </c>
      <c r="E87">
        <v>3447.1950000000002</v>
      </c>
      <c r="F87">
        <v>2946.6149999999998</v>
      </c>
      <c r="H87" s="2">
        <f t="shared" si="4"/>
        <v>3710.8023999999996</v>
      </c>
      <c r="I87" s="2">
        <f t="shared" si="5"/>
        <v>248.01089766391354</v>
      </c>
      <c r="K87">
        <v>96.25</v>
      </c>
      <c r="L87">
        <v>3512.3809999999999</v>
      </c>
      <c r="M87">
        <v>4321.9319999999998</v>
      </c>
      <c r="N87">
        <v>3718.279</v>
      </c>
      <c r="O87">
        <v>3365.741</v>
      </c>
      <c r="P87">
        <v>3884.0929999999998</v>
      </c>
      <c r="R87" s="3">
        <f t="shared" si="6"/>
        <v>3760.4852000000001</v>
      </c>
      <c r="S87" s="3">
        <f t="shared" si="7"/>
        <v>165.78019155809895</v>
      </c>
    </row>
    <row r="88" spans="1:19" x14ac:dyDescent="0.25">
      <c r="A88">
        <v>97.5</v>
      </c>
      <c r="B88">
        <v>4480.3999999999996</v>
      </c>
      <c r="C88">
        <v>4482.1210000000001</v>
      </c>
      <c r="D88">
        <v>4201.0349999999999</v>
      </c>
      <c r="E88">
        <v>3790.9160000000002</v>
      </c>
      <c r="F88">
        <v>3294.6909999999998</v>
      </c>
      <c r="H88" s="2">
        <f t="shared" si="4"/>
        <v>4049.8326000000002</v>
      </c>
      <c r="I88" s="2">
        <f t="shared" si="5"/>
        <v>227.20039109662355</v>
      </c>
      <c r="K88">
        <v>97.5</v>
      </c>
      <c r="L88">
        <v>3795.183</v>
      </c>
      <c r="M88">
        <v>4395.3710000000001</v>
      </c>
      <c r="N88">
        <v>4058.3910000000001</v>
      </c>
      <c r="O88">
        <v>3618.33</v>
      </c>
      <c r="P88">
        <v>4276.5609999999997</v>
      </c>
      <c r="R88" s="3">
        <f t="shared" si="6"/>
        <v>4028.7671999999998</v>
      </c>
      <c r="S88" s="3">
        <f t="shared" si="7"/>
        <v>144.86165066241654</v>
      </c>
    </row>
    <row r="89" spans="1:19" x14ac:dyDescent="0.25">
      <c r="A89">
        <v>98.75</v>
      </c>
      <c r="B89">
        <v>4739.6940000000004</v>
      </c>
      <c r="C89">
        <v>4626.3549999999996</v>
      </c>
      <c r="D89">
        <v>4525.2730000000001</v>
      </c>
      <c r="E89">
        <v>4018.6750000000002</v>
      </c>
      <c r="F89">
        <v>3550.2339999999999</v>
      </c>
      <c r="H89" s="2">
        <f t="shared" si="4"/>
        <v>4292.0461999999998</v>
      </c>
      <c r="I89" s="2">
        <f t="shared" si="5"/>
        <v>222.66149419003548</v>
      </c>
      <c r="K89">
        <v>98.75</v>
      </c>
      <c r="L89">
        <v>4027.8629999999998</v>
      </c>
      <c r="M89">
        <v>4470.1120000000001</v>
      </c>
      <c r="N89">
        <v>4381.5529999999999</v>
      </c>
      <c r="O89">
        <v>3850.7420000000002</v>
      </c>
      <c r="P89">
        <v>4543.7190000000001</v>
      </c>
      <c r="R89" s="3">
        <f t="shared" si="6"/>
        <v>4254.7978000000003</v>
      </c>
      <c r="S89" s="3">
        <f t="shared" si="7"/>
        <v>134.28757169276682</v>
      </c>
    </row>
    <row r="90" spans="1:19" x14ac:dyDescent="0.25">
      <c r="A90">
        <v>100</v>
      </c>
      <c r="B90">
        <v>4749.3490000000002</v>
      </c>
      <c r="C90">
        <v>4685.4769999999999</v>
      </c>
      <c r="D90">
        <v>4569.4390000000003</v>
      </c>
      <c r="E90">
        <v>4073.453</v>
      </c>
      <c r="F90">
        <v>3598.8539999999998</v>
      </c>
      <c r="H90" s="2">
        <f t="shared" si="4"/>
        <v>4335.3144000000002</v>
      </c>
      <c r="I90" s="2">
        <f t="shared" si="5"/>
        <v>219.06598758584212</v>
      </c>
      <c r="K90">
        <v>100</v>
      </c>
      <c r="L90">
        <v>4057.0770000000002</v>
      </c>
      <c r="M90">
        <v>4526.1369999999997</v>
      </c>
      <c r="N90">
        <v>4469.4669999999996</v>
      </c>
      <c r="O90">
        <v>3929.7539999999999</v>
      </c>
      <c r="P90">
        <v>4558.2569999999996</v>
      </c>
      <c r="R90" s="3">
        <f t="shared" si="6"/>
        <v>4308.1384000000007</v>
      </c>
      <c r="S90" s="3">
        <f t="shared" si="7"/>
        <v>130.82740568764626</v>
      </c>
    </row>
    <row r="91" spans="1:19" x14ac:dyDescent="0.25">
      <c r="A91">
        <v>101.25</v>
      </c>
      <c r="B91">
        <v>4514.17</v>
      </c>
      <c r="C91">
        <v>4477.6040000000003</v>
      </c>
      <c r="D91">
        <v>4304.7160000000003</v>
      </c>
      <c r="E91">
        <v>3843.3209999999999</v>
      </c>
      <c r="F91">
        <v>3413.3719999999998</v>
      </c>
      <c r="H91" s="2">
        <f t="shared" si="4"/>
        <v>4110.6365999999998</v>
      </c>
      <c r="I91" s="2">
        <f t="shared" si="5"/>
        <v>211.28258843302675</v>
      </c>
      <c r="K91">
        <v>101.25</v>
      </c>
      <c r="L91">
        <v>3840.9380000000001</v>
      </c>
      <c r="M91">
        <v>4358.4040000000005</v>
      </c>
      <c r="N91">
        <v>4288.393</v>
      </c>
      <c r="O91">
        <v>3765.0650000000001</v>
      </c>
      <c r="P91">
        <v>4301.915</v>
      </c>
      <c r="R91" s="3">
        <f t="shared" si="6"/>
        <v>4110.9430000000002</v>
      </c>
      <c r="S91" s="3">
        <f t="shared" si="7"/>
        <v>126.83257560934418</v>
      </c>
    </row>
    <row r="92" spans="1:19" x14ac:dyDescent="0.25">
      <c r="A92">
        <v>102.5</v>
      </c>
      <c r="B92">
        <v>4122.5290000000005</v>
      </c>
      <c r="C92">
        <v>4052.0140000000001</v>
      </c>
      <c r="D92">
        <v>3867.7249999999999</v>
      </c>
      <c r="E92">
        <v>3407.6880000000001</v>
      </c>
      <c r="F92">
        <v>3073.9929999999999</v>
      </c>
      <c r="H92" s="2">
        <f t="shared" si="4"/>
        <v>3704.7898</v>
      </c>
      <c r="I92" s="2">
        <f t="shared" si="5"/>
        <v>200.97172016664354</v>
      </c>
      <c r="K92">
        <v>102.5</v>
      </c>
      <c r="L92">
        <v>3448.6590000000001</v>
      </c>
      <c r="M92">
        <v>3961.58</v>
      </c>
      <c r="N92">
        <v>3885.3270000000002</v>
      </c>
      <c r="O92">
        <v>3431.0680000000002</v>
      </c>
      <c r="P92">
        <v>3878.69</v>
      </c>
      <c r="R92" s="3">
        <f t="shared" si="6"/>
        <v>3721.0647999999992</v>
      </c>
      <c r="S92" s="3">
        <f t="shared" si="7"/>
        <v>115.75370390160306</v>
      </c>
    </row>
    <row r="93" spans="1:19" x14ac:dyDescent="0.25">
      <c r="A93">
        <v>103.75</v>
      </c>
      <c r="B93">
        <v>3667.538</v>
      </c>
      <c r="C93">
        <v>3466.6750000000002</v>
      </c>
      <c r="D93">
        <v>3376.491</v>
      </c>
      <c r="E93">
        <v>2934.627</v>
      </c>
      <c r="F93">
        <v>2667.873</v>
      </c>
      <c r="H93" s="2">
        <f t="shared" si="4"/>
        <v>3222.6408000000001</v>
      </c>
      <c r="I93" s="2">
        <f t="shared" si="5"/>
        <v>183.28602705673009</v>
      </c>
      <c r="K93">
        <v>103.75</v>
      </c>
      <c r="L93">
        <v>2953.8980000000001</v>
      </c>
      <c r="M93">
        <v>3363.7240000000002</v>
      </c>
      <c r="N93">
        <v>3330.3960000000002</v>
      </c>
      <c r="O93">
        <v>2977.8409999999999</v>
      </c>
      <c r="P93">
        <v>3369.39</v>
      </c>
      <c r="R93" s="3">
        <f t="shared" si="6"/>
        <v>3199.0497999999998</v>
      </c>
      <c r="S93" s="3">
        <f t="shared" si="7"/>
        <v>95.503386949573681</v>
      </c>
    </row>
    <row r="94" spans="1:19" x14ac:dyDescent="0.25">
      <c r="A94">
        <v>105</v>
      </c>
      <c r="B94">
        <v>3258.4989999999998</v>
      </c>
      <c r="C94">
        <v>2903.2069999999999</v>
      </c>
      <c r="D94">
        <v>2960.0239999999999</v>
      </c>
      <c r="E94">
        <v>2565.7060000000001</v>
      </c>
      <c r="F94">
        <v>2326.5329999999999</v>
      </c>
      <c r="H94" s="2">
        <f t="shared" si="4"/>
        <v>2802.7937999999999</v>
      </c>
      <c r="I94" s="2">
        <f t="shared" si="5"/>
        <v>162.09663018687442</v>
      </c>
      <c r="K94">
        <v>105</v>
      </c>
      <c r="L94">
        <v>2479.1950000000002</v>
      </c>
      <c r="M94">
        <v>2794.0210000000002</v>
      </c>
      <c r="N94">
        <v>2840.0749999999998</v>
      </c>
      <c r="O94">
        <v>2543.3119999999999</v>
      </c>
      <c r="P94">
        <v>2931.1219999999998</v>
      </c>
      <c r="R94" s="3">
        <f t="shared" si="6"/>
        <v>2717.5449999999996</v>
      </c>
      <c r="S94" s="3">
        <f t="shared" si="7"/>
        <v>87.648495478815803</v>
      </c>
    </row>
    <row r="95" spans="1:19" x14ac:dyDescent="0.25">
      <c r="A95">
        <v>106.25</v>
      </c>
      <c r="B95">
        <v>2997.529</v>
      </c>
      <c r="C95">
        <v>2549.7919999999999</v>
      </c>
      <c r="D95">
        <v>2696.5210000000002</v>
      </c>
      <c r="E95">
        <v>2311.6460000000002</v>
      </c>
      <c r="F95">
        <v>2109.221</v>
      </c>
      <c r="H95" s="2">
        <f t="shared" si="4"/>
        <v>2532.9418000000001</v>
      </c>
      <c r="I95" s="2">
        <f t="shared" si="5"/>
        <v>153.52434623974082</v>
      </c>
      <c r="K95">
        <v>106.25</v>
      </c>
      <c r="L95">
        <v>2200.3809999999999</v>
      </c>
      <c r="M95">
        <v>2448.4589999999998</v>
      </c>
      <c r="N95">
        <v>2540.7979999999998</v>
      </c>
      <c r="O95">
        <v>2261.4560000000001</v>
      </c>
      <c r="P95">
        <v>2639.4340000000002</v>
      </c>
      <c r="R95" s="3">
        <f t="shared" si="6"/>
        <v>2418.1056000000003</v>
      </c>
      <c r="S95" s="3">
        <f t="shared" si="7"/>
        <v>82.735758043665754</v>
      </c>
    </row>
    <row r="96" spans="1:19" x14ac:dyDescent="0.25">
      <c r="A96">
        <v>107.5</v>
      </c>
      <c r="B96">
        <v>2789.7730000000001</v>
      </c>
      <c r="C96">
        <v>2334.1550000000002</v>
      </c>
      <c r="D96">
        <v>2496.1950000000002</v>
      </c>
      <c r="E96">
        <v>2119.96</v>
      </c>
      <c r="F96">
        <v>1955.4570000000001</v>
      </c>
      <c r="H96" s="2">
        <f t="shared" si="4"/>
        <v>2339.1079999999997</v>
      </c>
      <c r="I96" s="2">
        <f t="shared" si="5"/>
        <v>145.43275692016601</v>
      </c>
      <c r="K96">
        <v>107.5</v>
      </c>
      <c r="L96">
        <v>2042.4259999999999</v>
      </c>
      <c r="M96">
        <v>2238.0770000000002</v>
      </c>
      <c r="N96">
        <v>2353.4470000000001</v>
      </c>
      <c r="O96">
        <v>2082.9050000000002</v>
      </c>
      <c r="P96">
        <v>2445.1559999999999</v>
      </c>
      <c r="R96" s="3">
        <f t="shared" si="6"/>
        <v>2232.4022000000004</v>
      </c>
      <c r="S96" s="3">
        <f t="shared" si="7"/>
        <v>76.937830665674468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BRIGHT!OCT_RAW___\CO09\_dark_profiles_CO09_DARK</vt:lpstr>
      <vt:lpstr>BRIGHT!OCT_RAW___\CO09\_light_profiles_CO09_LIGHT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2019-11-17T03:38:41Z</dcterms:modified>
</cp:coreProperties>
</file>