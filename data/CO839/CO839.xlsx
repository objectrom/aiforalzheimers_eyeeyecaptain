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839\"/>
    </mc:Choice>
  </mc:AlternateContent>
  <xr:revisionPtr revIDLastSave="0" documentId="13_ncr:1_{FDCA3AC0-83AF-4948-B3CC-3D877162BFF1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07\_dark_profiles_CO07_DARK" localSheetId="0">BRIGHT!$A$2:$F$96</definedName>
    <definedName name="OCT_RAW___\CO07\_fovea_dark_profiles_CO07_DARK" localSheetId="0">BRIGHT!#REF!</definedName>
    <definedName name="OCT_RAW___\CO07\_fovea_light_profiles_CO07_LIGHT" localSheetId="0">BRIGHT!#REF!</definedName>
    <definedName name="OCT_RAW___\CO07\_light_profiles_CO07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3BFB4E-CD65-40FB-9706-7CAF7BC833C7}" name="[[[OCT RAW]]]\CO07\_dark_profiles_CO07_DARK" type="6" refreshedVersion="6" background="1" saveData="1">
    <textPr codePage="437" sourceFile="E:\[Documents]\[[[OCT RAW]]]\CO07\_dark_profiles_CO07_DARK.txt" space="1" consecutive="1">
      <textFields count="6">
        <textField/>
        <textField/>
        <textField/>
        <textField/>
        <textField/>
        <textField/>
      </textFields>
    </textPr>
  </connection>
  <connection id="2" xr16:uid="{14F9E675-A12E-43E8-A0AF-B8A90CA16FA5}" name="[[[OCT RAW]]]\CO07\_light_profiles_CO07_LIGHT" type="6" refreshedVersion="6" background="1" saveData="1">
    <textPr codePage="437" sourceFile="E:\[Documents]\[[[OCT RAW]]]\CO07\_light_profiles_CO07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<sst xmlns="http://schemas.openxmlformats.org/spreadsheetml/2006/main" count="12" uniqueCount="8">
  <si>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</si>
  <si>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</si>
  <si>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</si>
  <si>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</si>
  <si>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</si>
  <si>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</si>
  <si>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CO839_DARK</t>
  </si>
  <si>
    <t>CO839_LIGHT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</si>
</sst>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942.74660000000006</c:v>
                </c:pt>
                <c:pt idx="1">
                  <c:v>1172.8065999999999</c:v>
                </c:pt>
                <c:pt idx="2">
                  <c:v>1654.9122000000002</c:v>
                </c:pt>
                <c:pt idx="3">
                  <c:v>2270.8977999999997</c:v>
                </c:pt>
                <c:pt idx="4">
                  <c:v>2786.8285999999998</c:v>
                </c:pt>
                <c:pt idx="5">
                  <c:v>3173.0965999999999</c:v>
                </c:pt>
                <c:pt idx="6">
                  <c:v>3429.4993999999997</c:v>
                </c:pt>
                <c:pt idx="7">
                  <c:v>3569.8923999999997</c:v>
                </c:pt>
                <c:pt idx="8">
                  <c:v>3606.6743999999999</c:v>
                </c:pt>
                <c:pt idx="9">
                  <c:v>3494.3436000000002</c:v>
                </c:pt>
                <c:pt idx="10">
                  <c:v>3221.5628000000002</c:v>
                </c:pt>
                <c:pt idx="11">
                  <c:v>2848.5798</c:v>
                </c:pt>
                <c:pt idx="12">
                  <c:v>2586.0284000000001</c:v>
                </c:pt>
                <c:pt idx="13">
                  <c:v>2419.9339999999997</c:v>
                </c:pt>
                <c:pt idx="14">
                  <c:v>2358.0101999999997</c:v>
                </c:pt>
                <c:pt idx="15">
                  <c:v>2350.3396000000002</c:v>
                </c:pt>
                <c:pt idx="16">
                  <c:v>2362.4826000000003</c:v>
                </c:pt>
                <c:pt idx="17">
                  <c:v>2376.7333999999996</c:v>
                </c:pt>
                <c:pt idx="18">
                  <c:v>2381.6750000000002</c:v>
                </c:pt>
                <c:pt idx="19">
                  <c:v>2382.768</c:v>
                </c:pt>
                <c:pt idx="20">
                  <c:v>2383.0816</c:v>
                </c:pt>
                <c:pt idx="21">
                  <c:v>2389.2460000000001</c:v>
                </c:pt>
                <c:pt idx="22">
                  <c:v>2395.8989999999999</c:v>
                </c:pt>
                <c:pt idx="23">
                  <c:v>2404.3058000000001</c:v>
                </c:pt>
                <c:pt idx="24">
                  <c:v>2410.59</c:v>
                </c:pt>
                <c:pt idx="25">
                  <c:v>2423.4841999999999</c:v>
                </c:pt>
                <c:pt idx="26">
                  <c:v>2436.7282</c:v>
                </c:pt>
                <c:pt idx="27">
                  <c:v>2445.1440000000002</c:v>
                </c:pt>
                <c:pt idx="28">
                  <c:v>2447.7509999999997</c:v>
                </c:pt>
                <c:pt idx="29">
                  <c:v>2445.5576000000001</c:v>
                </c:pt>
                <c:pt idx="30">
                  <c:v>2421.2197999999999</c:v>
                </c:pt>
                <c:pt idx="31">
                  <c:v>2350.134</c:v>
                </c:pt>
                <c:pt idx="32">
                  <c:v>2248.0342000000001</c:v>
                </c:pt>
                <c:pt idx="33">
                  <c:v>2135.4458000000004</c:v>
                </c:pt>
                <c:pt idx="34">
                  <c:v>1992.6944000000003</c:v>
                </c:pt>
                <c:pt idx="35">
                  <c:v>1899.3545999999999</c:v>
                </c:pt>
                <c:pt idx="36">
                  <c:v>1862.0462</c:v>
                </c:pt>
                <c:pt idx="37">
                  <c:v>1851.6851999999999</c:v>
                </c:pt>
                <c:pt idx="38">
                  <c:v>1854.3043999999998</c:v>
                </c:pt>
                <c:pt idx="39">
                  <c:v>1879.2797999999998</c:v>
                </c:pt>
                <c:pt idx="40">
                  <c:v>1941.7670000000003</c:v>
                </c:pt>
                <c:pt idx="41">
                  <c:v>2023.1797999999999</c:v>
                </c:pt>
                <c:pt idx="42">
                  <c:v>2097.3519999999999</c:v>
                </c:pt>
                <c:pt idx="43">
                  <c:v>2157.2177999999999</c:v>
                </c:pt>
                <c:pt idx="44">
                  <c:v>2200.7923999999998</c:v>
                </c:pt>
                <c:pt idx="45">
                  <c:v>2207.5165999999999</c:v>
                </c:pt>
                <c:pt idx="46">
                  <c:v>2181.4290000000001</c:v>
                </c:pt>
                <c:pt idx="47">
                  <c:v>2130.1588000000002</c:v>
                </c:pt>
                <c:pt idx="48">
                  <c:v>2023.2596000000001</c:v>
                </c:pt>
                <c:pt idx="49">
                  <c:v>1873.896</c:v>
                </c:pt>
                <c:pt idx="50">
                  <c:v>1733.2408</c:v>
                </c:pt>
                <c:pt idx="51">
                  <c:v>1639.193</c:v>
                </c:pt>
                <c:pt idx="52">
                  <c:v>1579.4671999999998</c:v>
                </c:pt>
                <c:pt idx="53">
                  <c:v>1539.924</c:v>
                </c:pt>
                <c:pt idx="54">
                  <c:v>1503.4227999999998</c:v>
                </c:pt>
                <c:pt idx="55">
                  <c:v>1477.6158</c:v>
                </c:pt>
                <c:pt idx="56">
                  <c:v>1457.0830000000001</c:v>
                </c:pt>
                <c:pt idx="57">
                  <c:v>1432.9254000000001</c:v>
                </c:pt>
                <c:pt idx="58">
                  <c:v>1417.4563999999998</c:v>
                </c:pt>
                <c:pt idx="59">
                  <c:v>1411.8377999999998</c:v>
                </c:pt>
                <c:pt idx="60">
                  <c:v>1407.4662000000001</c:v>
                </c:pt>
                <c:pt idx="61">
                  <c:v>1398.4663999999998</c:v>
                </c:pt>
                <c:pt idx="62">
                  <c:v>1393.7783999999999</c:v>
                </c:pt>
                <c:pt idx="63">
                  <c:v>1443.7624000000001</c:v>
                </c:pt>
                <c:pt idx="64">
                  <c:v>1601.3632</c:v>
                </c:pt>
                <c:pt idx="65">
                  <c:v>1690.6260000000002</c:v>
                </c:pt>
                <c:pt idx="66">
                  <c:v>1637.748</c:v>
                </c:pt>
                <c:pt idx="67">
                  <c:v>1616.9333999999999</c:v>
                </c:pt>
                <c:pt idx="68">
                  <c:v>1936.7704000000001</c:v>
                </c:pt>
                <c:pt idx="69">
                  <c:v>2712.5598</c:v>
                </c:pt>
                <c:pt idx="70">
                  <c:v>3458.3691999999996</c:v>
                </c:pt>
                <c:pt idx="71">
                  <c:v>3764.9041999999999</c:v>
                </c:pt>
                <c:pt idx="72">
                  <c:v>3519.3714</c:v>
                </c:pt>
                <c:pt idx="73">
                  <c:v>3010.1293999999998</c:v>
                </c:pt>
                <c:pt idx="74">
                  <c:v>2743.1980000000003</c:v>
                </c:pt>
                <c:pt idx="75">
                  <c:v>2825.0819999999999</c:v>
                </c:pt>
                <c:pt idx="76">
                  <c:v>3058.2814000000003</c:v>
                </c:pt>
                <c:pt idx="77">
                  <c:v>3298.0538000000001</c:v>
                </c:pt>
                <c:pt idx="78">
                  <c:v>3473.5552000000002</c:v>
                </c:pt>
                <c:pt idx="79">
                  <c:v>3582.4873999999995</c:v>
                </c:pt>
                <c:pt idx="80">
                  <c:v>3688.8638000000001</c:v>
                </c:pt>
                <c:pt idx="81">
                  <c:v>3925.9025999999999</c:v>
                </c:pt>
                <c:pt idx="82">
                  <c:v>4189.7359999999999</c:v>
                </c:pt>
                <c:pt idx="83">
                  <c:v>4281.6768000000002</c:v>
                </c:pt>
                <c:pt idx="84">
                  <c:v>4105.8344000000006</c:v>
                </c:pt>
                <c:pt idx="85">
                  <c:v>3731.2781999999997</c:v>
                </c:pt>
                <c:pt idx="86">
                  <c:v>3267.3116</c:v>
                </c:pt>
                <c:pt idx="87">
                  <c:v>2872.5245999999997</c:v>
                </c:pt>
                <c:pt idx="88">
                  <c:v>2604.085</c:v>
                </c:pt>
                <c:pt idx="89">
                  <c:v>2383.1318000000001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1074.1201999999998</c:v>
                </c:pt>
                <c:pt idx="1">
                  <c:v>1298.7726</c:v>
                </c:pt>
                <c:pt idx="2">
                  <c:v>1813.9921999999999</c:v>
                </c:pt>
                <c:pt idx="3">
                  <c:v>2526.6427999999996</c:v>
                </c:pt>
                <c:pt idx="4">
                  <c:v>3105.7087999999999</c:v>
                </c:pt>
                <c:pt idx="5">
                  <c:v>3541.7290000000003</c:v>
                </c:pt>
                <c:pt idx="6">
                  <c:v>3783.2103999999999</c:v>
                </c:pt>
                <c:pt idx="7">
                  <c:v>3910.8103999999998</c:v>
                </c:pt>
                <c:pt idx="8">
                  <c:v>3928.3945999999996</c:v>
                </c:pt>
                <c:pt idx="9">
                  <c:v>3809.9843999999998</c:v>
                </c:pt>
                <c:pt idx="10">
                  <c:v>3517.8458000000001</c:v>
                </c:pt>
                <c:pt idx="11">
                  <c:v>3100.4125999999997</c:v>
                </c:pt>
                <c:pt idx="12">
                  <c:v>2807.0368000000003</c:v>
                </c:pt>
                <c:pt idx="13">
                  <c:v>2628.7840000000001</c:v>
                </c:pt>
                <c:pt idx="14">
                  <c:v>2554.1945999999998</c:v>
                </c:pt>
                <c:pt idx="15">
                  <c:v>2544.8728000000001</c:v>
                </c:pt>
                <c:pt idx="16">
                  <c:v>2561.1835999999998</c:v>
                </c:pt>
                <c:pt idx="17">
                  <c:v>2575.6675999999998</c:v>
                </c:pt>
                <c:pt idx="18">
                  <c:v>2582.1556</c:v>
                </c:pt>
                <c:pt idx="19">
                  <c:v>2572.9996000000001</c:v>
                </c:pt>
                <c:pt idx="20">
                  <c:v>2564.5055999999995</c:v>
                </c:pt>
                <c:pt idx="21">
                  <c:v>2565.8609999999999</c:v>
                </c:pt>
                <c:pt idx="22">
                  <c:v>2576.8598000000002</c:v>
                </c:pt>
                <c:pt idx="23">
                  <c:v>2587.6106000000004</c:v>
                </c:pt>
                <c:pt idx="24">
                  <c:v>2598.3717999999999</c:v>
                </c:pt>
                <c:pt idx="25">
                  <c:v>2612.6961999999999</c:v>
                </c:pt>
                <c:pt idx="26">
                  <c:v>2629.0586000000003</c:v>
                </c:pt>
                <c:pt idx="27">
                  <c:v>2640.3393999999998</c:v>
                </c:pt>
                <c:pt idx="28">
                  <c:v>2648.9332000000004</c:v>
                </c:pt>
                <c:pt idx="29">
                  <c:v>2648.6752000000001</c:v>
                </c:pt>
                <c:pt idx="30">
                  <c:v>2620.7847999999999</c:v>
                </c:pt>
                <c:pt idx="31">
                  <c:v>2543.1916000000006</c:v>
                </c:pt>
                <c:pt idx="32">
                  <c:v>2427.4556000000002</c:v>
                </c:pt>
                <c:pt idx="33">
                  <c:v>2307.0387999999998</c:v>
                </c:pt>
                <c:pt idx="34">
                  <c:v>2160.8742000000002</c:v>
                </c:pt>
                <c:pt idx="35">
                  <c:v>2060.1791999999996</c:v>
                </c:pt>
                <c:pt idx="36">
                  <c:v>2011.7393999999999</c:v>
                </c:pt>
                <c:pt idx="37">
                  <c:v>1988.7372</c:v>
                </c:pt>
                <c:pt idx="38">
                  <c:v>1986.7002</c:v>
                </c:pt>
                <c:pt idx="39">
                  <c:v>2013.5583999999999</c:v>
                </c:pt>
                <c:pt idx="40">
                  <c:v>2074.3866000000003</c:v>
                </c:pt>
                <c:pt idx="41">
                  <c:v>2166.0843999999997</c:v>
                </c:pt>
                <c:pt idx="42">
                  <c:v>2249.3866000000003</c:v>
                </c:pt>
                <c:pt idx="43">
                  <c:v>2307.3847999999998</c:v>
                </c:pt>
                <c:pt idx="44">
                  <c:v>2337.5133999999998</c:v>
                </c:pt>
                <c:pt idx="45">
                  <c:v>2341.9551999999999</c:v>
                </c:pt>
                <c:pt idx="46">
                  <c:v>2324.1390000000001</c:v>
                </c:pt>
                <c:pt idx="47">
                  <c:v>2269.6030000000001</c:v>
                </c:pt>
                <c:pt idx="48">
                  <c:v>2152.6220000000003</c:v>
                </c:pt>
                <c:pt idx="49">
                  <c:v>1994.7816000000003</c:v>
                </c:pt>
                <c:pt idx="50">
                  <c:v>1842.5788</c:v>
                </c:pt>
                <c:pt idx="51">
                  <c:v>1745.4108000000001</c:v>
                </c:pt>
                <c:pt idx="52">
                  <c:v>1683.4512000000002</c:v>
                </c:pt>
                <c:pt idx="53">
                  <c:v>1638.6122</c:v>
                </c:pt>
                <c:pt idx="54">
                  <c:v>1602.5881999999997</c:v>
                </c:pt>
                <c:pt idx="55">
                  <c:v>1572.6896000000002</c:v>
                </c:pt>
                <c:pt idx="56">
                  <c:v>1548.1808000000001</c:v>
                </c:pt>
                <c:pt idx="57">
                  <c:v>1531.4743999999998</c:v>
                </c:pt>
                <c:pt idx="58">
                  <c:v>1513.7841999999998</c:v>
                </c:pt>
                <c:pt idx="59">
                  <c:v>1502.6784</c:v>
                </c:pt>
                <c:pt idx="60">
                  <c:v>1494.9364</c:v>
                </c:pt>
                <c:pt idx="61">
                  <c:v>1485.1002000000001</c:v>
                </c:pt>
                <c:pt idx="62">
                  <c:v>1478.1725999999999</c:v>
                </c:pt>
                <c:pt idx="63">
                  <c:v>1535.556</c:v>
                </c:pt>
                <c:pt idx="64">
                  <c:v>1714.5666000000001</c:v>
                </c:pt>
                <c:pt idx="65">
                  <c:v>1819.2498000000001</c:v>
                </c:pt>
                <c:pt idx="66">
                  <c:v>1757.1376</c:v>
                </c:pt>
                <c:pt idx="67">
                  <c:v>1731.6092000000001</c:v>
                </c:pt>
                <c:pt idx="68">
                  <c:v>2115.9277999999999</c:v>
                </c:pt>
                <c:pt idx="69">
                  <c:v>3001.9189999999999</c:v>
                </c:pt>
                <c:pt idx="70">
                  <c:v>3906.8305999999998</c:v>
                </c:pt>
                <c:pt idx="71">
                  <c:v>4277.5160000000005</c:v>
                </c:pt>
                <c:pt idx="72">
                  <c:v>3976.0946000000004</c:v>
                </c:pt>
                <c:pt idx="73">
                  <c:v>3334.4436000000001</c:v>
                </c:pt>
                <c:pt idx="74">
                  <c:v>3012.1215999999999</c:v>
                </c:pt>
                <c:pt idx="75">
                  <c:v>3175.4607999999998</c:v>
                </c:pt>
                <c:pt idx="76">
                  <c:v>3501.9920000000006</c:v>
                </c:pt>
                <c:pt idx="77">
                  <c:v>3811.3483999999999</c:v>
                </c:pt>
                <c:pt idx="78">
                  <c:v>3958.7485999999999</c:v>
                </c:pt>
                <c:pt idx="79">
                  <c:v>3961.4349999999999</c:v>
                </c:pt>
                <c:pt idx="80">
                  <c:v>3973.2915999999996</c:v>
                </c:pt>
                <c:pt idx="81">
                  <c:v>4159.6078000000007</c:v>
                </c:pt>
                <c:pt idx="82">
                  <c:v>4418.8679999999995</c:v>
                </c:pt>
                <c:pt idx="83">
                  <c:v>4521.6149999999998</c:v>
                </c:pt>
                <c:pt idx="84">
                  <c:v>4336.8440000000001</c:v>
                </c:pt>
                <c:pt idx="85">
                  <c:v>3939.7</c:v>
                </c:pt>
                <c:pt idx="86">
                  <c:v>3427.7368000000001</c:v>
                </c:pt>
                <c:pt idx="87">
                  <c:v>2986.1554000000001</c:v>
                </c:pt>
                <c:pt idx="88">
                  <c:v>2710.2956000000004</c:v>
                </c:pt>
                <c:pt idx="89">
                  <c:v>2486.8247999999999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7\_dark_profiles_CO07_DARK" connectionId="1" xr16:uid="{1CAB0DF0-21F1-4F54-877B-578798AEF87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7\_light_profiles_CO07_LIGHT" connectionId="2" xr16:uid="{3BD6AD54-501D-49D9-91E5-608EB705173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D2" sqref="D2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0.10100000000000001</v>
      </c>
      <c r="C3">
        <v>2.7730000000000001</v>
      </c>
      <c r="D3">
        <v>-0.33900000000000002</v>
      </c>
      <c r="E3">
        <v>-2.6459999999999999</v>
      </c>
      <c r="F3">
        <v>3.056</v>
      </c>
      <c r="K3" t="s">
        <v>0</v>
      </c>
      <c r="L3">
        <v>-1.2E-2</v>
      </c>
      <c r="M3">
        <v>1.7629999999999999</v>
      </c>
      <c r="N3">
        <v>-1.0229999999999999</v>
      </c>
      <c r="O3">
        <v>-0.66100000000000003</v>
      </c>
      <c r="P3">
        <v>2.3570000000000002</v>
      </c>
    </row>
    <row r="4" spans="1:19" x14ac:dyDescent="0.25">
      <c r="A4" t="s">
        <v>1</v>
      </c>
      <c r="B4">
        <v>292.72199999999998</v>
      </c>
      <c r="C4">
        <v>292.86500000000001</v>
      </c>
      <c r="D4">
        <v>293.17700000000002</v>
      </c>
      <c r="E4">
        <v>294.21100000000001</v>
      </c>
      <c r="F4">
        <v>294.315</v>
      </c>
      <c r="H4" s="2">
        <f>AVERAGE(B4:F4)</f>
        <v>293.45799999999997</v>
      </c>
      <c r="I4" s="2">
        <f>STDEV(B4:F4)/SQRT(COUNT(B4:F4))</f>
        <v>0.33717680821788609</v>
      </c>
      <c r="K4" t="s">
        <v>1</v>
      </c>
      <c r="L4">
        <v>294.404</v>
      </c>
      <c r="M4">
        <v>293.517</v>
      </c>
      <c r="N4">
        <v>294.05799999999999</v>
      </c>
      <c r="O4">
        <v>293.74700000000001</v>
      </c>
      <c r="P4">
        <v>295.62900000000002</v>
      </c>
      <c r="R4" s="3">
        <f>AVERAGE(L4:P4)</f>
        <v>294.27100000000002</v>
      </c>
      <c r="S4" s="3">
        <f>STDEV(L4:P4)/SQRT(COUNT(L4:P4))</f>
        <v>0.37083109362619832</v>
      </c>
    </row>
    <row r="5" spans="1:19" x14ac:dyDescent="0.25">
      <c r="A5" t="s">
        <v>2</v>
      </c>
      <c r="B5">
        <v>69.474999999999994</v>
      </c>
      <c r="C5">
        <v>69.177999999999997</v>
      </c>
      <c r="D5">
        <v>69.989999999999995</v>
      </c>
      <c r="E5">
        <v>69.918000000000006</v>
      </c>
      <c r="F5">
        <v>69.069999999999993</v>
      </c>
      <c r="H5" s="2">
        <f t="shared" ref="H5:H68" si="0">AVERAGE(B5:F5)</f>
        <v>69.526199999999989</v>
      </c>
      <c r="I5" s="2">
        <f t="shared" ref="I5:I68" si="1">STDEV(B5:F5)/SQRT(COUNT(B5:F5))</f>
        <v>0.187163137396231</v>
      </c>
      <c r="K5" t="s">
        <v>2</v>
      </c>
      <c r="L5">
        <v>69.733999999999995</v>
      </c>
      <c r="M5">
        <v>69.436999999999998</v>
      </c>
      <c r="N5">
        <v>70.466999999999999</v>
      </c>
      <c r="O5">
        <v>70.364000000000004</v>
      </c>
      <c r="P5">
        <v>69.534999999999997</v>
      </c>
      <c r="R5" s="3">
        <f t="shared" ref="R5:R68" si="2">AVERAGE(L5:P5)</f>
        <v>69.907399999999981</v>
      </c>
      <c r="S5" s="3">
        <f t="shared" ref="S5:S68" si="3">STDEV(L5:P5)/SQRT(COUNT(L5:P5))</f>
        <v>0.21350189694707739</v>
      </c>
    </row>
    <row r="6" spans="1:19" x14ac:dyDescent="0.25">
      <c r="A6" t="s">
        <v>3</v>
      </c>
      <c r="B6">
        <v>26.257999999999999</v>
      </c>
      <c r="C6">
        <v>27.54</v>
      </c>
      <c r="D6">
        <v>28.295000000000002</v>
      </c>
      <c r="E6">
        <v>28.021000000000001</v>
      </c>
      <c r="F6">
        <v>28.337</v>
      </c>
      <c r="H6" s="2">
        <f t="shared" si="0"/>
        <v>27.690199999999997</v>
      </c>
      <c r="I6" s="2">
        <f t="shared" si="1"/>
        <v>0.38518299547098422</v>
      </c>
      <c r="K6" t="s">
        <v>3</v>
      </c>
      <c r="L6">
        <v>26.568999999999999</v>
      </c>
      <c r="M6">
        <v>27.09</v>
      </c>
      <c r="N6">
        <v>26.956</v>
      </c>
      <c r="O6">
        <v>27.449000000000002</v>
      </c>
      <c r="P6">
        <v>29.016999999999999</v>
      </c>
      <c r="R6" s="3">
        <f t="shared" si="2"/>
        <v>27.416199999999996</v>
      </c>
      <c r="S6" s="3">
        <f t="shared" si="3"/>
        <v>0.42423901282178184</v>
      </c>
    </row>
    <row r="7" spans="1:19" x14ac:dyDescent="0.25">
      <c r="A7">
        <v>-3.75</v>
      </c>
      <c r="B7">
        <v>960.19399999999996</v>
      </c>
      <c r="C7">
        <v>1002.495</v>
      </c>
      <c r="D7">
        <v>978.19100000000003</v>
      </c>
      <c r="E7">
        <v>898.79100000000005</v>
      </c>
      <c r="F7">
        <v>874.06200000000001</v>
      </c>
      <c r="H7" s="2">
        <f t="shared" si="0"/>
        <v>942.74660000000006</v>
      </c>
      <c r="I7" s="2">
        <f t="shared" si="1"/>
        <v>24.269587562626597</v>
      </c>
      <c r="K7">
        <v>-3.75</v>
      </c>
      <c r="L7">
        <v>1072.6559999999999</v>
      </c>
      <c r="M7">
        <v>1032.8520000000001</v>
      </c>
      <c r="N7">
        <v>1015.525</v>
      </c>
      <c r="O7">
        <v>1278.9000000000001</v>
      </c>
      <c r="P7">
        <v>970.66800000000001</v>
      </c>
      <c r="R7" s="3">
        <f t="shared" si="2"/>
        <v>1074.1201999999998</v>
      </c>
      <c r="S7" s="3">
        <f t="shared" si="3"/>
        <v>53.747432426488999</v>
      </c>
    </row>
    <row r="8" spans="1:19" x14ac:dyDescent="0.25">
      <c r="A8">
        <v>-2.5</v>
      </c>
      <c r="B8">
        <v>1240.076</v>
      </c>
      <c r="C8">
        <v>1248.424</v>
      </c>
      <c r="D8">
        <v>1223.1179999999999</v>
      </c>
      <c r="E8">
        <v>1082.7370000000001</v>
      </c>
      <c r="F8">
        <v>1069.6780000000001</v>
      </c>
      <c r="H8" s="2">
        <f t="shared" si="0"/>
        <v>1172.8065999999999</v>
      </c>
      <c r="I8" s="2">
        <f t="shared" si="1"/>
        <v>39.700403846308639</v>
      </c>
      <c r="K8">
        <v>-2.5</v>
      </c>
      <c r="L8">
        <v>1262.825</v>
      </c>
      <c r="M8">
        <v>1269.79</v>
      </c>
      <c r="N8">
        <v>1218.7170000000001</v>
      </c>
      <c r="O8">
        <v>1534.097</v>
      </c>
      <c r="P8">
        <v>1208.434</v>
      </c>
      <c r="R8" s="3">
        <f t="shared" si="2"/>
        <v>1298.7726</v>
      </c>
      <c r="S8" s="3">
        <f t="shared" si="3"/>
        <v>60.033222479390517</v>
      </c>
    </row>
    <row r="9" spans="1:19" x14ac:dyDescent="0.25">
      <c r="A9">
        <v>-1.25</v>
      </c>
      <c r="B9">
        <v>1768.1610000000001</v>
      </c>
      <c r="C9">
        <v>1771.1980000000001</v>
      </c>
      <c r="D9">
        <v>1706.0730000000001</v>
      </c>
      <c r="E9">
        <v>1470.193</v>
      </c>
      <c r="F9">
        <v>1558.9359999999999</v>
      </c>
      <c r="H9" s="2">
        <f t="shared" si="0"/>
        <v>1654.9122000000002</v>
      </c>
      <c r="I9" s="2">
        <f t="shared" si="1"/>
        <v>60.123921717898625</v>
      </c>
      <c r="K9">
        <v>-1.25</v>
      </c>
      <c r="L9">
        <v>1812.261</v>
      </c>
      <c r="M9">
        <v>1774.568</v>
      </c>
      <c r="N9">
        <v>1686.79</v>
      </c>
      <c r="O9">
        <v>2043.9179999999999</v>
      </c>
      <c r="P9">
        <v>1752.424</v>
      </c>
      <c r="R9" s="3">
        <f t="shared" si="2"/>
        <v>1813.9921999999999</v>
      </c>
      <c r="S9" s="3">
        <f t="shared" si="3"/>
        <v>60.989417541406283</v>
      </c>
    </row>
    <row r="10" spans="1:19" x14ac:dyDescent="0.25">
      <c r="A10">
        <v>0</v>
      </c>
      <c r="B10">
        <v>2435.6959999999999</v>
      </c>
      <c r="C10">
        <v>2364.944</v>
      </c>
      <c r="D10">
        <v>2334.12</v>
      </c>
      <c r="E10">
        <v>2036.452</v>
      </c>
      <c r="F10">
        <v>2183.277</v>
      </c>
      <c r="H10" s="2">
        <f t="shared" si="0"/>
        <v>2270.8977999999997</v>
      </c>
      <c r="I10" s="2">
        <f t="shared" si="1"/>
        <v>71.638822840970789</v>
      </c>
      <c r="K10">
        <v>0</v>
      </c>
      <c r="L10">
        <v>2580.085</v>
      </c>
      <c r="M10">
        <v>2495.2020000000002</v>
      </c>
      <c r="N10">
        <v>2367.31</v>
      </c>
      <c r="O10">
        <v>2738.8789999999999</v>
      </c>
      <c r="P10">
        <v>2451.7379999999998</v>
      </c>
      <c r="R10" s="3">
        <f t="shared" si="2"/>
        <v>2526.6427999999996</v>
      </c>
      <c r="S10" s="3">
        <f t="shared" si="3"/>
        <v>63.200659591020091</v>
      </c>
    </row>
    <row r="11" spans="1:19" x14ac:dyDescent="0.25">
      <c r="A11">
        <v>1.25</v>
      </c>
      <c r="B11">
        <v>2967.3409999999999</v>
      </c>
      <c r="C11">
        <v>2817.3629999999998</v>
      </c>
      <c r="D11">
        <v>2874.462</v>
      </c>
      <c r="E11">
        <v>2524.3000000000002</v>
      </c>
      <c r="F11">
        <v>2750.6770000000001</v>
      </c>
      <c r="H11" s="2">
        <f t="shared" si="0"/>
        <v>2786.8285999999998</v>
      </c>
      <c r="I11" s="2">
        <f t="shared" si="1"/>
        <v>74.640770673004127</v>
      </c>
      <c r="K11">
        <v>1.25</v>
      </c>
      <c r="L11">
        <v>3196.2049999999999</v>
      </c>
      <c r="M11">
        <v>3079.027</v>
      </c>
      <c r="N11">
        <v>2890.5720000000001</v>
      </c>
      <c r="O11">
        <v>3348.4119999999998</v>
      </c>
      <c r="P11">
        <v>3014.328</v>
      </c>
      <c r="R11" s="3">
        <f t="shared" si="2"/>
        <v>3105.7087999999999</v>
      </c>
      <c r="S11" s="3">
        <f t="shared" si="3"/>
        <v>78.243407798612608</v>
      </c>
    </row>
    <row r="12" spans="1:19" x14ac:dyDescent="0.25">
      <c r="A12">
        <v>2.5</v>
      </c>
      <c r="B12">
        <v>3399.6460000000002</v>
      </c>
      <c r="C12">
        <v>3180.047</v>
      </c>
      <c r="D12">
        <v>3267.2449999999999</v>
      </c>
      <c r="E12">
        <v>2908.527</v>
      </c>
      <c r="F12">
        <v>3110.018</v>
      </c>
      <c r="H12" s="2">
        <f t="shared" si="0"/>
        <v>3173.0965999999999</v>
      </c>
      <c r="I12" s="2">
        <f t="shared" si="1"/>
        <v>81.918509186019733</v>
      </c>
      <c r="K12">
        <v>2.5</v>
      </c>
      <c r="L12">
        <v>3672.2829999999999</v>
      </c>
      <c r="M12">
        <v>3509.375</v>
      </c>
      <c r="N12">
        <v>3293.2260000000001</v>
      </c>
      <c r="O12">
        <v>3798.9810000000002</v>
      </c>
      <c r="P12">
        <v>3434.78</v>
      </c>
      <c r="R12" s="3">
        <f t="shared" si="2"/>
        <v>3541.7290000000003</v>
      </c>
      <c r="S12" s="3">
        <f t="shared" si="3"/>
        <v>88.730363840683083</v>
      </c>
    </row>
    <row r="13" spans="1:19" x14ac:dyDescent="0.25">
      <c r="A13">
        <v>3.75</v>
      </c>
      <c r="B13">
        <v>3720.4549999999999</v>
      </c>
      <c r="C13">
        <v>3477.3090000000002</v>
      </c>
      <c r="D13">
        <v>3472.5639999999999</v>
      </c>
      <c r="E13">
        <v>3145.194</v>
      </c>
      <c r="F13">
        <v>3331.9749999999999</v>
      </c>
      <c r="H13" s="2">
        <f t="shared" si="0"/>
        <v>3429.4993999999997</v>
      </c>
      <c r="I13" s="2">
        <f t="shared" si="1"/>
        <v>94.640384577937965</v>
      </c>
      <c r="K13">
        <v>3.75</v>
      </c>
      <c r="L13">
        <v>3931.7359999999999</v>
      </c>
      <c r="M13">
        <v>3773.422</v>
      </c>
      <c r="N13">
        <v>3513.8310000000001</v>
      </c>
      <c r="O13">
        <v>4063.9879999999998</v>
      </c>
      <c r="P13">
        <v>3633.0749999999998</v>
      </c>
      <c r="R13" s="3">
        <f t="shared" si="2"/>
        <v>3783.2103999999999</v>
      </c>
      <c r="S13" s="3">
        <f t="shared" si="3"/>
        <v>99.019600779138628</v>
      </c>
    </row>
    <row r="14" spans="1:19" x14ac:dyDescent="0.25">
      <c r="A14">
        <v>5</v>
      </c>
      <c r="B14">
        <v>3902.7359999999999</v>
      </c>
      <c r="C14">
        <v>3650.7809999999999</v>
      </c>
      <c r="D14">
        <v>3586.5230000000001</v>
      </c>
      <c r="E14">
        <v>3237.0149999999999</v>
      </c>
      <c r="F14">
        <v>3472.4070000000002</v>
      </c>
      <c r="H14" s="2">
        <f t="shared" si="0"/>
        <v>3569.8923999999997</v>
      </c>
      <c r="I14" s="2">
        <f t="shared" si="1"/>
        <v>109.0676787988082</v>
      </c>
      <c r="K14">
        <v>5</v>
      </c>
      <c r="L14">
        <v>4081.1010000000001</v>
      </c>
      <c r="M14">
        <v>3954.2310000000002</v>
      </c>
      <c r="N14">
        <v>3588.4789999999998</v>
      </c>
      <c r="O14">
        <v>4243.46</v>
      </c>
      <c r="P14">
        <v>3686.7809999999999</v>
      </c>
      <c r="R14" s="3">
        <f t="shared" si="2"/>
        <v>3910.8103999999998</v>
      </c>
      <c r="S14" s="3">
        <f t="shared" si="3"/>
        <v>121.57851307348683</v>
      </c>
    </row>
    <row r="15" spans="1:19" x14ac:dyDescent="0.25">
      <c r="A15">
        <v>6.25</v>
      </c>
      <c r="B15">
        <v>3948.7689999999998</v>
      </c>
      <c r="C15">
        <v>3669.585</v>
      </c>
      <c r="D15">
        <v>3607.0920000000001</v>
      </c>
      <c r="E15">
        <v>3254.1880000000001</v>
      </c>
      <c r="F15">
        <v>3553.7379999999998</v>
      </c>
      <c r="H15" s="2">
        <f t="shared" si="0"/>
        <v>3606.6743999999999</v>
      </c>
      <c r="I15" s="2">
        <f t="shared" si="1"/>
        <v>111.36326996842355</v>
      </c>
      <c r="K15">
        <v>6.25</v>
      </c>
      <c r="L15">
        <v>4078.7759999999998</v>
      </c>
      <c r="M15">
        <v>4031.3989999999999</v>
      </c>
      <c r="N15">
        <v>3573.74</v>
      </c>
      <c r="O15">
        <v>4265.1660000000002</v>
      </c>
      <c r="P15">
        <v>3692.8919999999998</v>
      </c>
      <c r="R15" s="3">
        <f t="shared" si="2"/>
        <v>3928.3945999999996</v>
      </c>
      <c r="S15" s="3">
        <f t="shared" si="3"/>
        <v>128.03921423751402</v>
      </c>
    </row>
    <row r="16" spans="1:19" x14ac:dyDescent="0.25">
      <c r="A16">
        <v>7.5</v>
      </c>
      <c r="B16">
        <v>3820.7260000000001</v>
      </c>
      <c r="C16">
        <v>3522.0740000000001</v>
      </c>
      <c r="D16">
        <v>3482.6289999999999</v>
      </c>
      <c r="E16">
        <v>3152.8359999999998</v>
      </c>
      <c r="F16">
        <v>3493.453</v>
      </c>
      <c r="H16" s="2">
        <f t="shared" si="0"/>
        <v>3494.3436000000002</v>
      </c>
      <c r="I16" s="2">
        <f t="shared" si="1"/>
        <v>105.84420437444844</v>
      </c>
      <c r="K16">
        <v>7.5</v>
      </c>
      <c r="L16">
        <v>3946.5889999999999</v>
      </c>
      <c r="M16">
        <v>3905.607</v>
      </c>
      <c r="N16">
        <v>3481.0010000000002</v>
      </c>
      <c r="O16">
        <v>4110.1030000000001</v>
      </c>
      <c r="P16">
        <v>3606.6219999999998</v>
      </c>
      <c r="R16" s="3">
        <f t="shared" si="2"/>
        <v>3809.9843999999998</v>
      </c>
      <c r="S16" s="3">
        <f t="shared" si="3"/>
        <v>115.64212373681139</v>
      </c>
    </row>
    <row r="17" spans="1:19" x14ac:dyDescent="0.25">
      <c r="A17">
        <v>8.75</v>
      </c>
      <c r="B17">
        <v>3513.0709999999999</v>
      </c>
      <c r="C17">
        <v>3208.1289999999999</v>
      </c>
      <c r="D17">
        <v>3211.6489999999999</v>
      </c>
      <c r="E17">
        <v>2948.1970000000001</v>
      </c>
      <c r="F17">
        <v>3226.768</v>
      </c>
      <c r="H17" s="2">
        <f t="shared" si="0"/>
        <v>3221.5628000000002</v>
      </c>
      <c r="I17" s="2">
        <f t="shared" si="1"/>
        <v>89.44599929476999</v>
      </c>
      <c r="K17">
        <v>8.75</v>
      </c>
      <c r="L17">
        <v>3657.433</v>
      </c>
      <c r="M17">
        <v>3588.2359999999999</v>
      </c>
      <c r="N17">
        <v>3217.0590000000002</v>
      </c>
      <c r="O17">
        <v>3771.5940000000001</v>
      </c>
      <c r="P17">
        <v>3354.9070000000002</v>
      </c>
      <c r="R17" s="3">
        <f t="shared" si="2"/>
        <v>3517.8458000000001</v>
      </c>
      <c r="S17" s="3">
        <f t="shared" si="3"/>
        <v>101.45177851146815</v>
      </c>
    </row>
    <row r="18" spans="1:19" x14ac:dyDescent="0.25">
      <c r="A18">
        <v>10</v>
      </c>
      <c r="B18">
        <v>3106.136</v>
      </c>
      <c r="C18">
        <v>2840.0680000000002</v>
      </c>
      <c r="D18">
        <v>2827.4969999999998</v>
      </c>
      <c r="E18">
        <v>2654.75</v>
      </c>
      <c r="F18">
        <v>2814.4479999999999</v>
      </c>
      <c r="H18" s="2">
        <f t="shared" si="0"/>
        <v>2848.5798</v>
      </c>
      <c r="I18" s="2">
        <f t="shared" si="1"/>
        <v>72.659170960313048</v>
      </c>
      <c r="K18">
        <v>10</v>
      </c>
      <c r="L18">
        <v>3238.1129999999998</v>
      </c>
      <c r="M18">
        <v>3119.7139999999999</v>
      </c>
      <c r="N18">
        <v>2842.703</v>
      </c>
      <c r="O18">
        <v>3351.24</v>
      </c>
      <c r="P18">
        <v>2950.2930000000001</v>
      </c>
      <c r="R18" s="3">
        <f t="shared" si="2"/>
        <v>3100.4125999999997</v>
      </c>
      <c r="S18" s="3">
        <f t="shared" si="3"/>
        <v>92.519852201892277</v>
      </c>
    </row>
    <row r="19" spans="1:19" x14ac:dyDescent="0.25">
      <c r="A19">
        <v>11.25</v>
      </c>
      <c r="B19">
        <v>2780.9479999999999</v>
      </c>
      <c r="C19">
        <v>2622.386</v>
      </c>
      <c r="D19">
        <v>2538.944</v>
      </c>
      <c r="E19">
        <v>2439.4349999999999</v>
      </c>
      <c r="F19">
        <v>2548.4290000000001</v>
      </c>
      <c r="H19" s="2">
        <f t="shared" si="0"/>
        <v>2586.0284000000001</v>
      </c>
      <c r="I19" s="2">
        <f t="shared" si="1"/>
        <v>56.760816620799218</v>
      </c>
      <c r="K19">
        <v>11.25</v>
      </c>
      <c r="L19">
        <v>2924.1419999999998</v>
      </c>
      <c r="M19">
        <v>2805.5720000000001</v>
      </c>
      <c r="N19">
        <v>2567.913</v>
      </c>
      <c r="O19">
        <v>3052.3409999999999</v>
      </c>
      <c r="P19">
        <v>2685.2159999999999</v>
      </c>
      <c r="R19" s="3">
        <f t="shared" si="2"/>
        <v>2807.0368000000003</v>
      </c>
      <c r="S19" s="3">
        <f t="shared" si="3"/>
        <v>85.413822968767747</v>
      </c>
    </row>
    <row r="20" spans="1:19" x14ac:dyDescent="0.25">
      <c r="A20">
        <v>12.5</v>
      </c>
      <c r="B20">
        <v>2603.2179999999998</v>
      </c>
      <c r="C20">
        <v>2444.4209999999998</v>
      </c>
      <c r="D20">
        <v>2370.1729999999998</v>
      </c>
      <c r="E20">
        <v>2329.5889999999999</v>
      </c>
      <c r="F20">
        <v>2352.2689999999998</v>
      </c>
      <c r="H20" s="2">
        <f t="shared" si="0"/>
        <v>2419.9339999999997</v>
      </c>
      <c r="I20" s="2">
        <f t="shared" si="1"/>
        <v>49.703906383703881</v>
      </c>
      <c r="K20">
        <v>12.5</v>
      </c>
      <c r="L20">
        <v>2754.4059999999999</v>
      </c>
      <c r="M20">
        <v>2607.8589999999999</v>
      </c>
      <c r="N20">
        <v>2406.123</v>
      </c>
      <c r="O20">
        <v>2872.3270000000002</v>
      </c>
      <c r="P20">
        <v>2503.2049999999999</v>
      </c>
      <c r="R20" s="3">
        <f t="shared" si="2"/>
        <v>2628.7840000000001</v>
      </c>
      <c r="S20" s="3">
        <f t="shared" si="3"/>
        <v>83.928523613846593</v>
      </c>
    </row>
    <row r="21" spans="1:19" x14ac:dyDescent="0.25">
      <c r="A21">
        <v>13.75</v>
      </c>
      <c r="B21">
        <v>2550.0549999999998</v>
      </c>
      <c r="C21">
        <v>2370.9250000000002</v>
      </c>
      <c r="D21">
        <v>2305.4499999999998</v>
      </c>
      <c r="E21">
        <v>2274.6509999999998</v>
      </c>
      <c r="F21">
        <v>2288.9699999999998</v>
      </c>
      <c r="H21" s="2">
        <f t="shared" si="0"/>
        <v>2358.0101999999997</v>
      </c>
      <c r="I21" s="2">
        <f t="shared" si="1"/>
        <v>50.757205070216386</v>
      </c>
      <c r="K21">
        <v>13.75</v>
      </c>
      <c r="L21">
        <v>2694.3229999999999</v>
      </c>
      <c r="M21">
        <v>2538.518</v>
      </c>
      <c r="N21">
        <v>2334.4059999999999</v>
      </c>
      <c r="O21">
        <v>2786.8980000000001</v>
      </c>
      <c r="P21">
        <v>2416.828</v>
      </c>
      <c r="R21" s="3">
        <f t="shared" si="2"/>
        <v>2554.1945999999998</v>
      </c>
      <c r="S21" s="3">
        <f t="shared" si="3"/>
        <v>84.026545844512754</v>
      </c>
    </row>
    <row r="22" spans="1:19" x14ac:dyDescent="0.25">
      <c r="A22">
        <v>15</v>
      </c>
      <c r="B22">
        <v>2534.6970000000001</v>
      </c>
      <c r="C22">
        <v>2361.6410000000001</v>
      </c>
      <c r="D22">
        <v>2303.1289999999999</v>
      </c>
      <c r="E22">
        <v>2274.4580000000001</v>
      </c>
      <c r="F22">
        <v>2277.7730000000001</v>
      </c>
      <c r="H22" s="2">
        <f t="shared" si="0"/>
        <v>2350.3396000000002</v>
      </c>
      <c r="I22" s="2">
        <f t="shared" si="1"/>
        <v>48.666282980724972</v>
      </c>
      <c r="K22">
        <v>15</v>
      </c>
      <c r="L22">
        <v>2689.3409999999999</v>
      </c>
      <c r="M22">
        <v>2543.069</v>
      </c>
      <c r="N22">
        <v>2314.674</v>
      </c>
      <c r="O22">
        <v>2778.3429999999998</v>
      </c>
      <c r="P22">
        <v>2398.9369999999999</v>
      </c>
      <c r="R22" s="3">
        <f t="shared" si="2"/>
        <v>2544.8728000000001</v>
      </c>
      <c r="S22" s="3">
        <f t="shared" si="3"/>
        <v>86.507627997997929</v>
      </c>
    </row>
    <row r="23" spans="1:19" x14ac:dyDescent="0.25">
      <c r="A23">
        <v>16.25</v>
      </c>
      <c r="B23">
        <v>2542.806</v>
      </c>
      <c r="C23">
        <v>2365.0720000000001</v>
      </c>
      <c r="D23">
        <v>2324.2759999999998</v>
      </c>
      <c r="E23">
        <v>2290.5920000000001</v>
      </c>
      <c r="F23">
        <v>2289.6669999999999</v>
      </c>
      <c r="H23" s="2">
        <f t="shared" si="0"/>
        <v>2362.4826000000003</v>
      </c>
      <c r="I23" s="2">
        <f t="shared" si="1"/>
        <v>47.145173578638996</v>
      </c>
      <c r="K23">
        <v>16.25</v>
      </c>
      <c r="L23">
        <v>2699.2179999999998</v>
      </c>
      <c r="M23">
        <v>2573.2350000000001</v>
      </c>
      <c r="N23">
        <v>2324.5070000000001</v>
      </c>
      <c r="O23">
        <v>2794.0360000000001</v>
      </c>
      <c r="P23">
        <v>2414.922</v>
      </c>
      <c r="R23" s="3">
        <f t="shared" si="2"/>
        <v>2561.1835999999998</v>
      </c>
      <c r="S23" s="3">
        <f t="shared" si="3"/>
        <v>86.841015837333444</v>
      </c>
    </row>
    <row r="24" spans="1:19" x14ac:dyDescent="0.25">
      <c r="A24">
        <v>17.5</v>
      </c>
      <c r="B24">
        <v>2547.9229999999998</v>
      </c>
      <c r="C24">
        <v>2389.3719999999998</v>
      </c>
      <c r="D24">
        <v>2337.8449999999998</v>
      </c>
      <c r="E24">
        <v>2304.1039999999998</v>
      </c>
      <c r="F24">
        <v>2304.4229999999998</v>
      </c>
      <c r="H24" s="2">
        <f t="shared" si="0"/>
        <v>2376.7333999999996</v>
      </c>
      <c r="I24" s="2">
        <f t="shared" si="1"/>
        <v>45.542147899061582</v>
      </c>
      <c r="K24">
        <v>17.5</v>
      </c>
      <c r="L24">
        <v>2710.6030000000001</v>
      </c>
      <c r="M24">
        <v>2593.194</v>
      </c>
      <c r="N24">
        <v>2336.65</v>
      </c>
      <c r="O24">
        <v>2804.5010000000002</v>
      </c>
      <c r="P24">
        <v>2433.39</v>
      </c>
      <c r="R24" s="3">
        <f t="shared" si="2"/>
        <v>2575.6675999999998</v>
      </c>
      <c r="S24" s="3">
        <f t="shared" si="3"/>
        <v>86.096396671753951</v>
      </c>
    </row>
    <row r="25" spans="1:19" x14ac:dyDescent="0.25">
      <c r="A25">
        <v>18.75</v>
      </c>
      <c r="B25">
        <v>2544.3220000000001</v>
      </c>
      <c r="C25">
        <v>2404.4670000000001</v>
      </c>
      <c r="D25">
        <v>2341.5590000000002</v>
      </c>
      <c r="E25">
        <v>2307.634</v>
      </c>
      <c r="F25">
        <v>2310.393</v>
      </c>
      <c r="H25" s="2">
        <f t="shared" si="0"/>
        <v>2381.6750000000002</v>
      </c>
      <c r="I25" s="2">
        <f t="shared" si="1"/>
        <v>44.241388164251823</v>
      </c>
      <c r="K25">
        <v>18.75</v>
      </c>
      <c r="L25">
        <v>2720.7170000000001</v>
      </c>
      <c r="M25">
        <v>2598.4389999999999</v>
      </c>
      <c r="N25">
        <v>2352.8789999999999</v>
      </c>
      <c r="O25">
        <v>2803.52</v>
      </c>
      <c r="P25">
        <v>2435.223</v>
      </c>
      <c r="R25" s="3">
        <f t="shared" si="2"/>
        <v>2582.1556</v>
      </c>
      <c r="S25" s="3">
        <f t="shared" si="3"/>
        <v>84.446301435646106</v>
      </c>
    </row>
    <row r="26" spans="1:19" x14ac:dyDescent="0.25">
      <c r="A26">
        <v>20</v>
      </c>
      <c r="B26">
        <v>2552.1729999999998</v>
      </c>
      <c r="C26">
        <v>2400.3739999999998</v>
      </c>
      <c r="D26">
        <v>2339.3609999999999</v>
      </c>
      <c r="E26">
        <v>2303.8270000000002</v>
      </c>
      <c r="F26">
        <v>2318.105</v>
      </c>
      <c r="H26" s="2">
        <f t="shared" si="0"/>
        <v>2382.768</v>
      </c>
      <c r="I26" s="2">
        <f t="shared" si="1"/>
        <v>45.445119627964388</v>
      </c>
      <c r="K26">
        <v>20</v>
      </c>
      <c r="L26">
        <v>2726.3910000000001</v>
      </c>
      <c r="M26">
        <v>2580.2919999999999</v>
      </c>
      <c r="N26">
        <v>2346.8240000000001</v>
      </c>
      <c r="O26">
        <v>2783.4740000000002</v>
      </c>
      <c r="P26">
        <v>2428.0169999999998</v>
      </c>
      <c r="R26" s="3">
        <f t="shared" si="2"/>
        <v>2572.9996000000001</v>
      </c>
      <c r="S26" s="3">
        <f t="shared" si="3"/>
        <v>83.683012041034985</v>
      </c>
    </row>
    <row r="27" spans="1:19" x14ac:dyDescent="0.25">
      <c r="A27">
        <v>21.25</v>
      </c>
      <c r="B27">
        <v>2563.7809999999999</v>
      </c>
      <c r="C27">
        <v>2394.172</v>
      </c>
      <c r="D27">
        <v>2339.3539999999998</v>
      </c>
      <c r="E27">
        <v>2300.4299999999998</v>
      </c>
      <c r="F27">
        <v>2317.6709999999998</v>
      </c>
      <c r="H27" s="2">
        <f t="shared" si="0"/>
        <v>2383.0816</v>
      </c>
      <c r="I27" s="2">
        <f t="shared" si="1"/>
        <v>47.852485154482856</v>
      </c>
      <c r="K27">
        <v>21.25</v>
      </c>
      <c r="L27">
        <v>2719.6379999999999</v>
      </c>
      <c r="M27">
        <v>2577.8220000000001</v>
      </c>
      <c r="N27">
        <v>2328.1179999999999</v>
      </c>
      <c r="O27">
        <v>2765.623</v>
      </c>
      <c r="P27">
        <v>2431.3270000000002</v>
      </c>
      <c r="R27" s="3">
        <f t="shared" si="2"/>
        <v>2564.5055999999995</v>
      </c>
      <c r="S27" s="3">
        <f t="shared" si="3"/>
        <v>83.15865365468585</v>
      </c>
    </row>
    <row r="28" spans="1:19" x14ac:dyDescent="0.25">
      <c r="A28">
        <v>22.5</v>
      </c>
      <c r="B28">
        <v>2577.6529999999998</v>
      </c>
      <c r="C28">
        <v>2391.2469999999998</v>
      </c>
      <c r="D28">
        <v>2341.3850000000002</v>
      </c>
      <c r="E28">
        <v>2312.7089999999998</v>
      </c>
      <c r="F28">
        <v>2323.2359999999999</v>
      </c>
      <c r="H28" s="2">
        <f t="shared" si="0"/>
        <v>2389.2460000000001</v>
      </c>
      <c r="I28" s="2">
        <f t="shared" si="1"/>
        <v>48.993422742241606</v>
      </c>
      <c r="K28">
        <v>22.5</v>
      </c>
      <c r="L28">
        <v>2721.3020000000001</v>
      </c>
      <c r="M28">
        <v>2572.4369999999999</v>
      </c>
      <c r="N28">
        <v>2330.444</v>
      </c>
      <c r="O28">
        <v>2764.2930000000001</v>
      </c>
      <c r="P28">
        <v>2440.8290000000002</v>
      </c>
      <c r="R28" s="3">
        <f t="shared" si="2"/>
        <v>2565.8609999999999</v>
      </c>
      <c r="S28" s="3">
        <f t="shared" si="3"/>
        <v>82.047112013159861</v>
      </c>
    </row>
    <row r="29" spans="1:19" x14ac:dyDescent="0.25">
      <c r="A29">
        <v>23.75</v>
      </c>
      <c r="B29">
        <v>2589.7919999999999</v>
      </c>
      <c r="C29">
        <v>2405.6080000000002</v>
      </c>
      <c r="D29">
        <v>2330.0360000000001</v>
      </c>
      <c r="E29">
        <v>2324.7959999999998</v>
      </c>
      <c r="F29">
        <v>2329.2629999999999</v>
      </c>
      <c r="H29" s="2">
        <f t="shared" si="0"/>
        <v>2395.8989999999999</v>
      </c>
      <c r="I29" s="2">
        <f t="shared" si="1"/>
        <v>50.755634171981335</v>
      </c>
      <c r="K29">
        <v>23.75</v>
      </c>
      <c r="L29">
        <v>2727.4050000000002</v>
      </c>
      <c r="M29">
        <v>2581.7359999999999</v>
      </c>
      <c r="N29">
        <v>2338.4929999999999</v>
      </c>
      <c r="O29">
        <v>2774.5010000000002</v>
      </c>
      <c r="P29">
        <v>2462.1640000000002</v>
      </c>
      <c r="R29" s="3">
        <f t="shared" si="2"/>
        <v>2576.8598000000002</v>
      </c>
      <c r="S29" s="3">
        <f t="shared" si="3"/>
        <v>81.155263657633483</v>
      </c>
    </row>
    <row r="30" spans="1:19" x14ac:dyDescent="0.25">
      <c r="A30">
        <v>25</v>
      </c>
      <c r="B30">
        <v>2592.105</v>
      </c>
      <c r="C30">
        <v>2421.5700000000002</v>
      </c>
      <c r="D30">
        <v>2341.1570000000002</v>
      </c>
      <c r="E30">
        <v>2332.6909999999998</v>
      </c>
      <c r="F30">
        <v>2334.0059999999999</v>
      </c>
      <c r="H30" s="2">
        <f t="shared" si="0"/>
        <v>2404.3058000000001</v>
      </c>
      <c r="I30" s="2">
        <f t="shared" si="1"/>
        <v>49.81219957139016</v>
      </c>
      <c r="K30">
        <v>25</v>
      </c>
      <c r="L30">
        <v>2732.143</v>
      </c>
      <c r="M30">
        <v>2592.9650000000001</v>
      </c>
      <c r="N30">
        <v>2348.4470000000001</v>
      </c>
      <c r="O30">
        <v>2797.433</v>
      </c>
      <c r="P30">
        <v>2467.0650000000001</v>
      </c>
      <c r="R30" s="3">
        <f t="shared" si="2"/>
        <v>2587.6106000000004</v>
      </c>
      <c r="S30" s="3">
        <f t="shared" si="3"/>
        <v>82.666254613112812</v>
      </c>
    </row>
    <row r="31" spans="1:19" x14ac:dyDescent="0.25">
      <c r="A31">
        <v>26.25</v>
      </c>
      <c r="B31">
        <v>2582.5390000000002</v>
      </c>
      <c r="C31">
        <v>2441.15</v>
      </c>
      <c r="D31">
        <v>2352.5610000000001</v>
      </c>
      <c r="E31">
        <v>2331.6689999999999</v>
      </c>
      <c r="F31">
        <v>2345.0309999999999</v>
      </c>
      <c r="H31" s="2">
        <f t="shared" si="0"/>
        <v>2410.59</v>
      </c>
      <c r="I31" s="2">
        <f t="shared" si="1"/>
        <v>47.113821625930584</v>
      </c>
      <c r="K31">
        <v>26.25</v>
      </c>
      <c r="L31">
        <v>2738.6410000000001</v>
      </c>
      <c r="M31">
        <v>2606.7979999999998</v>
      </c>
      <c r="N31">
        <v>2361.3829999999998</v>
      </c>
      <c r="O31">
        <v>2813.2289999999998</v>
      </c>
      <c r="P31">
        <v>2471.808</v>
      </c>
      <c r="R31" s="3">
        <f t="shared" si="2"/>
        <v>2598.3717999999999</v>
      </c>
      <c r="S31" s="3">
        <f t="shared" si="3"/>
        <v>83.09396864478191</v>
      </c>
    </row>
    <row r="32" spans="1:19" x14ac:dyDescent="0.25">
      <c r="A32">
        <v>27.5</v>
      </c>
      <c r="B32">
        <v>2588.761</v>
      </c>
      <c r="C32">
        <v>2452.8710000000001</v>
      </c>
      <c r="D32">
        <v>2376.0680000000002</v>
      </c>
      <c r="E32">
        <v>2332.607</v>
      </c>
      <c r="F32">
        <v>2367.114</v>
      </c>
      <c r="H32" s="2">
        <f t="shared" si="0"/>
        <v>2423.4841999999999</v>
      </c>
      <c r="I32" s="2">
        <f t="shared" si="1"/>
        <v>45.751811758005807</v>
      </c>
      <c r="K32">
        <v>27.5</v>
      </c>
      <c r="L32">
        <v>2752.692</v>
      </c>
      <c r="M32">
        <v>2637.0920000000001</v>
      </c>
      <c r="N32">
        <v>2376.9340000000002</v>
      </c>
      <c r="O32">
        <v>2830.4180000000001</v>
      </c>
      <c r="P32">
        <v>2466.3449999999998</v>
      </c>
      <c r="R32" s="3">
        <f t="shared" si="2"/>
        <v>2612.6961999999999</v>
      </c>
      <c r="S32" s="3">
        <f t="shared" si="3"/>
        <v>85.029186154167093</v>
      </c>
    </row>
    <row r="33" spans="1:19" x14ac:dyDescent="0.25">
      <c r="A33">
        <v>28.75</v>
      </c>
      <c r="B33">
        <v>2592.645</v>
      </c>
      <c r="C33">
        <v>2465.7269999999999</v>
      </c>
      <c r="D33">
        <v>2391.6379999999999</v>
      </c>
      <c r="E33">
        <v>2353.165</v>
      </c>
      <c r="F33">
        <v>2380.4659999999999</v>
      </c>
      <c r="H33" s="2">
        <f t="shared" si="0"/>
        <v>2436.7282</v>
      </c>
      <c r="I33" s="2">
        <f t="shared" si="1"/>
        <v>43.204368183552923</v>
      </c>
      <c r="K33">
        <v>28.75</v>
      </c>
      <c r="L33">
        <v>2770.1950000000002</v>
      </c>
      <c r="M33">
        <v>2658.6379999999999</v>
      </c>
      <c r="N33">
        <v>2400.5529999999999</v>
      </c>
      <c r="O33">
        <v>2846.34</v>
      </c>
      <c r="P33">
        <v>2469.567</v>
      </c>
      <c r="R33" s="3">
        <f t="shared" si="2"/>
        <v>2629.0586000000003</v>
      </c>
      <c r="S33" s="3">
        <f t="shared" si="3"/>
        <v>85.33991176384005</v>
      </c>
    </row>
    <row r="34" spans="1:19" x14ac:dyDescent="0.25">
      <c r="A34">
        <v>30</v>
      </c>
      <c r="B34">
        <v>2604.181</v>
      </c>
      <c r="C34">
        <v>2470.4740000000002</v>
      </c>
      <c r="D34">
        <v>2392.9470000000001</v>
      </c>
      <c r="E34">
        <v>2375.498</v>
      </c>
      <c r="F34">
        <v>2382.62</v>
      </c>
      <c r="H34" s="2">
        <f t="shared" si="0"/>
        <v>2445.1440000000002</v>
      </c>
      <c r="I34" s="2">
        <f t="shared" si="1"/>
        <v>43.254317108237885</v>
      </c>
      <c r="K34">
        <v>30</v>
      </c>
      <c r="L34">
        <v>2775.623</v>
      </c>
      <c r="M34">
        <v>2660.6120000000001</v>
      </c>
      <c r="N34">
        <v>2412.5100000000002</v>
      </c>
      <c r="O34">
        <v>2865.009</v>
      </c>
      <c r="P34">
        <v>2487.9430000000002</v>
      </c>
      <c r="R34" s="3">
        <f t="shared" si="2"/>
        <v>2640.3393999999998</v>
      </c>
      <c r="S34" s="3">
        <f t="shared" si="3"/>
        <v>84.947030007293321</v>
      </c>
    </row>
    <row r="35" spans="1:19" x14ac:dyDescent="0.25">
      <c r="A35">
        <v>31.25</v>
      </c>
      <c r="B35">
        <v>2613.5120000000002</v>
      </c>
      <c r="C35">
        <v>2470.89</v>
      </c>
      <c r="D35">
        <v>2389.806</v>
      </c>
      <c r="E35">
        <v>2387.8069999999998</v>
      </c>
      <c r="F35">
        <v>2376.7399999999998</v>
      </c>
      <c r="H35" s="2">
        <f t="shared" si="0"/>
        <v>2447.7509999999997</v>
      </c>
      <c r="I35" s="2">
        <f t="shared" si="1"/>
        <v>44.72448475052569</v>
      </c>
      <c r="K35">
        <v>31.25</v>
      </c>
      <c r="L35">
        <v>2783.0619999999999</v>
      </c>
      <c r="M35">
        <v>2686.38</v>
      </c>
      <c r="N35">
        <v>2414.3290000000002</v>
      </c>
      <c r="O35">
        <v>2866.4160000000002</v>
      </c>
      <c r="P35">
        <v>2494.4789999999998</v>
      </c>
      <c r="R35" s="3">
        <f t="shared" si="2"/>
        <v>2648.9332000000004</v>
      </c>
      <c r="S35" s="3">
        <f t="shared" si="3"/>
        <v>85.319047307972212</v>
      </c>
    </row>
    <row r="36" spans="1:19" x14ac:dyDescent="0.25">
      <c r="A36">
        <v>32.5</v>
      </c>
      <c r="B36">
        <v>2623.35</v>
      </c>
      <c r="C36">
        <v>2465.9349999999999</v>
      </c>
      <c r="D36">
        <v>2378.6909999999998</v>
      </c>
      <c r="E36">
        <v>2379.194</v>
      </c>
      <c r="F36">
        <v>2380.6179999999999</v>
      </c>
      <c r="H36" s="2">
        <f t="shared" si="0"/>
        <v>2445.5576000000001</v>
      </c>
      <c r="I36" s="2">
        <f t="shared" si="1"/>
        <v>47.496208889341894</v>
      </c>
      <c r="K36">
        <v>32.5</v>
      </c>
      <c r="L36">
        <v>2800.9290000000001</v>
      </c>
      <c r="M36">
        <v>2686.2330000000002</v>
      </c>
      <c r="N36">
        <v>2400.819</v>
      </c>
      <c r="O36">
        <v>2859.9679999999998</v>
      </c>
      <c r="P36">
        <v>2495.4270000000001</v>
      </c>
      <c r="R36" s="3">
        <f t="shared" si="2"/>
        <v>2648.6752000000001</v>
      </c>
      <c r="S36" s="3">
        <f t="shared" si="3"/>
        <v>87.793553854710737</v>
      </c>
    </row>
    <row r="37" spans="1:19" x14ac:dyDescent="0.25">
      <c r="A37">
        <v>33.75</v>
      </c>
      <c r="B37">
        <v>2604.6030000000001</v>
      </c>
      <c r="C37">
        <v>2448.991</v>
      </c>
      <c r="D37">
        <v>2355.1469999999999</v>
      </c>
      <c r="E37">
        <v>2349.6149999999998</v>
      </c>
      <c r="F37">
        <v>2347.7429999999999</v>
      </c>
      <c r="H37" s="2">
        <f t="shared" si="0"/>
        <v>2421.2197999999999</v>
      </c>
      <c r="I37" s="2">
        <f t="shared" si="1"/>
        <v>49.644909111005568</v>
      </c>
      <c r="K37">
        <v>33.75</v>
      </c>
      <c r="L37">
        <v>2776.9059999999999</v>
      </c>
      <c r="M37">
        <v>2679.643</v>
      </c>
      <c r="N37">
        <v>2362.1909999999998</v>
      </c>
      <c r="O37">
        <v>2815.933</v>
      </c>
      <c r="P37">
        <v>2469.2510000000002</v>
      </c>
      <c r="R37" s="3">
        <f t="shared" si="2"/>
        <v>2620.7847999999999</v>
      </c>
      <c r="S37" s="3">
        <f t="shared" si="3"/>
        <v>88.247997909527669</v>
      </c>
    </row>
    <row r="38" spans="1:19" x14ac:dyDescent="0.25">
      <c r="A38">
        <v>35</v>
      </c>
      <c r="B38">
        <v>2522.5659999999998</v>
      </c>
      <c r="C38">
        <v>2366.9349999999999</v>
      </c>
      <c r="D38">
        <v>2289.6</v>
      </c>
      <c r="E38">
        <v>2277.2930000000001</v>
      </c>
      <c r="F38">
        <v>2294.2759999999998</v>
      </c>
      <c r="H38" s="2">
        <f t="shared" si="0"/>
        <v>2350.134</v>
      </c>
      <c r="I38" s="2">
        <f t="shared" si="1"/>
        <v>45.883199989756569</v>
      </c>
      <c r="K38">
        <v>35</v>
      </c>
      <c r="L38">
        <v>2686.0650000000001</v>
      </c>
      <c r="M38">
        <v>2600</v>
      </c>
      <c r="N38">
        <v>2294.7020000000002</v>
      </c>
      <c r="O38">
        <v>2741.1770000000001</v>
      </c>
      <c r="P38">
        <v>2394.0140000000001</v>
      </c>
      <c r="R38" s="3">
        <f t="shared" si="2"/>
        <v>2543.1916000000006</v>
      </c>
      <c r="S38" s="3">
        <f t="shared" si="3"/>
        <v>85.685255149646338</v>
      </c>
    </row>
    <row r="39" spans="1:19" x14ac:dyDescent="0.25">
      <c r="A39">
        <v>36.25</v>
      </c>
      <c r="B39">
        <v>2430.8919999999998</v>
      </c>
      <c r="C39">
        <v>2276.2170000000001</v>
      </c>
      <c r="D39">
        <v>2186.6239999999998</v>
      </c>
      <c r="E39">
        <v>2183.855</v>
      </c>
      <c r="F39">
        <v>2162.5830000000001</v>
      </c>
      <c r="H39" s="2">
        <f t="shared" si="0"/>
        <v>2248.0342000000001</v>
      </c>
      <c r="I39" s="2">
        <f t="shared" si="1"/>
        <v>49.710831412681053</v>
      </c>
      <c r="K39">
        <v>36.25</v>
      </c>
      <c r="L39">
        <v>2569.7269999999999</v>
      </c>
      <c r="M39">
        <v>2475.1210000000001</v>
      </c>
      <c r="N39">
        <v>2191.2159999999999</v>
      </c>
      <c r="O39">
        <v>2616.0430000000001</v>
      </c>
      <c r="P39">
        <v>2285.1709999999998</v>
      </c>
      <c r="R39" s="3">
        <f t="shared" si="2"/>
        <v>2427.4556000000002</v>
      </c>
      <c r="S39" s="3">
        <f t="shared" si="3"/>
        <v>81.89395736536369</v>
      </c>
    </row>
    <row r="40" spans="1:19" x14ac:dyDescent="0.25">
      <c r="A40">
        <v>37.5</v>
      </c>
      <c r="B40">
        <v>2286.5569999999998</v>
      </c>
      <c r="C40">
        <v>2166.2510000000002</v>
      </c>
      <c r="D40">
        <v>2076.1689999999999</v>
      </c>
      <c r="E40">
        <v>2085.473</v>
      </c>
      <c r="F40">
        <v>2062.779</v>
      </c>
      <c r="H40" s="2">
        <f t="shared" si="0"/>
        <v>2135.4458000000004</v>
      </c>
      <c r="I40" s="2">
        <f t="shared" si="1"/>
        <v>41.877821512585854</v>
      </c>
      <c r="K40">
        <v>37.5</v>
      </c>
      <c r="L40">
        <v>2441.7640000000001</v>
      </c>
      <c r="M40">
        <v>2350.2159999999999</v>
      </c>
      <c r="N40">
        <v>2075.1260000000002</v>
      </c>
      <c r="O40">
        <v>2485.7379999999998</v>
      </c>
      <c r="P40">
        <v>2182.35</v>
      </c>
      <c r="R40" s="3">
        <f t="shared" si="2"/>
        <v>2307.0387999999998</v>
      </c>
      <c r="S40" s="3">
        <f t="shared" si="3"/>
        <v>77.871496019018366</v>
      </c>
    </row>
    <row r="41" spans="1:19" x14ac:dyDescent="0.25">
      <c r="A41">
        <v>38.75</v>
      </c>
      <c r="B41">
        <v>2126.5540000000001</v>
      </c>
      <c r="C41">
        <v>2023.8720000000001</v>
      </c>
      <c r="D41">
        <v>1936.3910000000001</v>
      </c>
      <c r="E41">
        <v>1948.04</v>
      </c>
      <c r="F41">
        <v>1928.615</v>
      </c>
      <c r="H41" s="2">
        <f t="shared" si="0"/>
        <v>1992.6944000000003</v>
      </c>
      <c r="I41" s="2">
        <f t="shared" si="1"/>
        <v>37.523787821327439</v>
      </c>
      <c r="K41">
        <v>38.75</v>
      </c>
      <c r="L41">
        <v>2289.0039999999999</v>
      </c>
      <c r="M41">
        <v>2211.4470000000001</v>
      </c>
      <c r="N41">
        <v>1939.6869999999999</v>
      </c>
      <c r="O41">
        <v>2314.3290000000002</v>
      </c>
      <c r="P41">
        <v>2049.904</v>
      </c>
      <c r="R41" s="3">
        <f t="shared" si="2"/>
        <v>2160.8742000000002</v>
      </c>
      <c r="S41" s="3">
        <f t="shared" si="3"/>
        <v>72.028255609448195</v>
      </c>
    </row>
    <row r="42" spans="1:19" x14ac:dyDescent="0.25">
      <c r="A42">
        <v>40</v>
      </c>
      <c r="B42">
        <v>2032.056</v>
      </c>
      <c r="C42">
        <v>1929.4290000000001</v>
      </c>
      <c r="D42">
        <v>1835.2909999999999</v>
      </c>
      <c r="E42">
        <v>1859.4010000000001</v>
      </c>
      <c r="F42">
        <v>1840.596</v>
      </c>
      <c r="H42" s="2">
        <f t="shared" si="0"/>
        <v>1899.3545999999999</v>
      </c>
      <c r="I42" s="2">
        <f t="shared" si="1"/>
        <v>37.193506939518365</v>
      </c>
      <c r="K42">
        <v>40</v>
      </c>
      <c r="L42">
        <v>2186.5770000000002</v>
      </c>
      <c r="M42">
        <v>2113.9949999999999</v>
      </c>
      <c r="N42">
        <v>1847.46</v>
      </c>
      <c r="O42">
        <v>2200.5189999999998</v>
      </c>
      <c r="P42">
        <v>1952.345</v>
      </c>
      <c r="R42" s="3">
        <f t="shared" si="2"/>
        <v>2060.1791999999996</v>
      </c>
      <c r="S42" s="3">
        <f t="shared" si="3"/>
        <v>69.0816460345293</v>
      </c>
    </row>
    <row r="43" spans="1:19" x14ac:dyDescent="0.25">
      <c r="A43">
        <v>41.25</v>
      </c>
      <c r="B43">
        <v>1998.857</v>
      </c>
      <c r="C43">
        <v>1877.453</v>
      </c>
      <c r="D43">
        <v>1793.7729999999999</v>
      </c>
      <c r="E43">
        <v>1831.4970000000001</v>
      </c>
      <c r="F43">
        <v>1808.6510000000001</v>
      </c>
      <c r="H43" s="2">
        <f t="shared" si="0"/>
        <v>1862.0462</v>
      </c>
      <c r="I43" s="2">
        <f t="shared" si="1"/>
        <v>37.013575431725037</v>
      </c>
      <c r="K43">
        <v>41.25</v>
      </c>
      <c r="L43">
        <v>2146.04</v>
      </c>
      <c r="M43">
        <v>2054.3710000000001</v>
      </c>
      <c r="N43">
        <v>1803.2919999999999</v>
      </c>
      <c r="O43">
        <v>2148.2170000000001</v>
      </c>
      <c r="P43">
        <v>1906.777</v>
      </c>
      <c r="R43" s="3">
        <f t="shared" si="2"/>
        <v>2011.7393999999999</v>
      </c>
      <c r="S43" s="3">
        <f t="shared" si="3"/>
        <v>68.171718388639746</v>
      </c>
    </row>
    <row r="44" spans="1:19" x14ac:dyDescent="0.25">
      <c r="A44">
        <v>42.5</v>
      </c>
      <c r="B44">
        <v>1982.172</v>
      </c>
      <c r="C44">
        <v>1868.11</v>
      </c>
      <c r="D44">
        <v>1786.682</v>
      </c>
      <c r="E44">
        <v>1820.232</v>
      </c>
      <c r="F44">
        <v>1801.23</v>
      </c>
      <c r="H44" s="2">
        <f t="shared" si="0"/>
        <v>1851.6851999999999</v>
      </c>
      <c r="I44" s="2">
        <f t="shared" si="1"/>
        <v>35.395639587949248</v>
      </c>
      <c r="K44">
        <v>42.5</v>
      </c>
      <c r="L44">
        <v>2123.52</v>
      </c>
      <c r="M44">
        <v>2020.88</v>
      </c>
      <c r="N44">
        <v>1780.5450000000001</v>
      </c>
      <c r="O44">
        <v>2134.7579999999998</v>
      </c>
      <c r="P44">
        <v>1883.9829999999999</v>
      </c>
      <c r="R44" s="3">
        <f t="shared" si="2"/>
        <v>1988.7372</v>
      </c>
      <c r="S44" s="3">
        <f t="shared" si="3"/>
        <v>68.861844064329247</v>
      </c>
    </row>
    <row r="45" spans="1:19" x14ac:dyDescent="0.25">
      <c r="A45">
        <v>43.75</v>
      </c>
      <c r="B45">
        <v>1999.203</v>
      </c>
      <c r="C45">
        <v>1865.01</v>
      </c>
      <c r="D45">
        <v>1785.338</v>
      </c>
      <c r="E45">
        <v>1824.5419999999999</v>
      </c>
      <c r="F45">
        <v>1797.4290000000001</v>
      </c>
      <c r="H45" s="2">
        <f t="shared" si="0"/>
        <v>1854.3043999999998</v>
      </c>
      <c r="I45" s="2">
        <f t="shared" si="1"/>
        <v>38.721563799257893</v>
      </c>
      <c r="K45">
        <v>43.75</v>
      </c>
      <c r="L45">
        <v>2116.4479999999999</v>
      </c>
      <c r="M45">
        <v>2017.673</v>
      </c>
      <c r="N45">
        <v>1779.384</v>
      </c>
      <c r="O45">
        <v>2133.1779999999999</v>
      </c>
      <c r="P45">
        <v>1886.818</v>
      </c>
      <c r="R45" s="3">
        <f t="shared" si="2"/>
        <v>1986.7002</v>
      </c>
      <c r="S45" s="3">
        <f t="shared" si="3"/>
        <v>67.899194581673768</v>
      </c>
    </row>
    <row r="46" spans="1:19" x14ac:dyDescent="0.25">
      <c r="A46">
        <v>45</v>
      </c>
      <c r="B46">
        <v>2038.6179999999999</v>
      </c>
      <c r="C46">
        <v>1880.153</v>
      </c>
      <c r="D46">
        <v>1801.8050000000001</v>
      </c>
      <c r="E46">
        <v>1864.8240000000001</v>
      </c>
      <c r="F46">
        <v>1810.999</v>
      </c>
      <c r="H46" s="2">
        <f t="shared" si="0"/>
        <v>1879.2797999999998</v>
      </c>
      <c r="I46" s="2">
        <f t="shared" si="1"/>
        <v>42.581103141417067</v>
      </c>
      <c r="K46">
        <v>45</v>
      </c>
      <c r="L46">
        <v>2141.1849999999999</v>
      </c>
      <c r="M46">
        <v>2047.665</v>
      </c>
      <c r="N46">
        <v>1812.7329999999999</v>
      </c>
      <c r="O46">
        <v>2165.1680000000001</v>
      </c>
      <c r="P46">
        <v>1901.0409999999999</v>
      </c>
      <c r="R46" s="3">
        <f t="shared" si="2"/>
        <v>2013.5583999999999</v>
      </c>
      <c r="S46" s="3">
        <f t="shared" si="3"/>
        <v>68.347745607005962</v>
      </c>
    </row>
    <row r="47" spans="1:19" x14ac:dyDescent="0.25">
      <c r="A47">
        <v>46.25</v>
      </c>
      <c r="B47">
        <v>2091.8290000000002</v>
      </c>
      <c r="C47">
        <v>1950.836</v>
      </c>
      <c r="D47">
        <v>1853.046</v>
      </c>
      <c r="E47">
        <v>1949.8309999999999</v>
      </c>
      <c r="F47">
        <v>1863.2929999999999</v>
      </c>
      <c r="H47" s="2">
        <f t="shared" si="0"/>
        <v>1941.7670000000003</v>
      </c>
      <c r="I47" s="2">
        <f t="shared" si="1"/>
        <v>42.834252192608695</v>
      </c>
      <c r="K47">
        <v>46.25</v>
      </c>
      <c r="L47">
        <v>2197.11</v>
      </c>
      <c r="M47">
        <v>2115.59</v>
      </c>
      <c r="N47">
        <v>1873.568</v>
      </c>
      <c r="O47">
        <v>2247.308</v>
      </c>
      <c r="P47">
        <v>1938.357</v>
      </c>
      <c r="R47" s="3">
        <f t="shared" si="2"/>
        <v>2074.3866000000003</v>
      </c>
      <c r="S47" s="3">
        <f t="shared" si="3"/>
        <v>72.626691319101141</v>
      </c>
    </row>
    <row r="48" spans="1:19" x14ac:dyDescent="0.25">
      <c r="A48">
        <v>47.5</v>
      </c>
      <c r="B48">
        <v>2157.973</v>
      </c>
      <c r="C48">
        <v>2052.7840000000001</v>
      </c>
      <c r="D48">
        <v>1929.0409999999999</v>
      </c>
      <c r="E48">
        <v>2039.8130000000001</v>
      </c>
      <c r="F48">
        <v>1936.288</v>
      </c>
      <c r="H48" s="2">
        <f t="shared" si="0"/>
        <v>2023.1797999999999</v>
      </c>
      <c r="I48" s="2">
        <f t="shared" si="1"/>
        <v>42.269715718703388</v>
      </c>
      <c r="K48">
        <v>47.5</v>
      </c>
      <c r="L48">
        <v>2301.5729999999999</v>
      </c>
      <c r="M48">
        <v>2204.2919999999999</v>
      </c>
      <c r="N48">
        <v>1959.691</v>
      </c>
      <c r="O48">
        <v>2346.1210000000001</v>
      </c>
      <c r="P48">
        <v>2018.7449999999999</v>
      </c>
      <c r="R48" s="3">
        <f t="shared" si="2"/>
        <v>2166.0843999999997</v>
      </c>
      <c r="S48" s="3">
        <f t="shared" si="3"/>
        <v>76.33390240358473</v>
      </c>
    </row>
    <row r="49" spans="1:19" x14ac:dyDescent="0.25">
      <c r="A49">
        <v>48.75</v>
      </c>
      <c r="B49">
        <v>2228.5729999999999</v>
      </c>
      <c r="C49">
        <v>2132.6770000000001</v>
      </c>
      <c r="D49">
        <v>2000.2619999999999</v>
      </c>
      <c r="E49">
        <v>2113.5819999999999</v>
      </c>
      <c r="F49">
        <v>2011.6659999999999</v>
      </c>
      <c r="H49" s="2">
        <f t="shared" si="0"/>
        <v>2097.3519999999999</v>
      </c>
      <c r="I49" s="2">
        <f t="shared" si="1"/>
        <v>42.130023772839237</v>
      </c>
      <c r="K49">
        <v>48.75</v>
      </c>
      <c r="L49">
        <v>2400.6120000000001</v>
      </c>
      <c r="M49">
        <v>2294.0120000000002</v>
      </c>
      <c r="N49">
        <v>2021.973</v>
      </c>
      <c r="O49">
        <v>2423.3530000000001</v>
      </c>
      <c r="P49">
        <v>2106.9830000000002</v>
      </c>
      <c r="R49" s="3">
        <f t="shared" si="2"/>
        <v>2249.3866000000003</v>
      </c>
      <c r="S49" s="3">
        <f t="shared" si="3"/>
        <v>79.724709788496568</v>
      </c>
    </row>
    <row r="50" spans="1:19" x14ac:dyDescent="0.25">
      <c r="A50">
        <v>50</v>
      </c>
      <c r="B50">
        <v>2308.924</v>
      </c>
      <c r="C50">
        <v>2187.527</v>
      </c>
      <c r="D50">
        <v>2064.6889999999999</v>
      </c>
      <c r="E50">
        <v>2156.4749999999999</v>
      </c>
      <c r="F50">
        <v>2068.4740000000002</v>
      </c>
      <c r="H50" s="2">
        <f t="shared" si="0"/>
        <v>2157.2177999999999</v>
      </c>
      <c r="I50" s="2">
        <f t="shared" si="1"/>
        <v>44.928282485979807</v>
      </c>
      <c r="K50">
        <v>50</v>
      </c>
      <c r="L50">
        <v>2472.3560000000002</v>
      </c>
      <c r="M50">
        <v>2364.848</v>
      </c>
      <c r="N50">
        <v>2057.268</v>
      </c>
      <c r="O50">
        <v>2465.3029999999999</v>
      </c>
      <c r="P50">
        <v>2177.1489999999999</v>
      </c>
      <c r="R50" s="3">
        <f t="shared" si="2"/>
        <v>2307.3847999999998</v>
      </c>
      <c r="S50" s="3">
        <f t="shared" si="3"/>
        <v>82.150913360351637</v>
      </c>
    </row>
    <row r="51" spans="1:19" x14ac:dyDescent="0.25">
      <c r="A51">
        <v>51.25</v>
      </c>
      <c r="B51">
        <v>2386.9830000000002</v>
      </c>
      <c r="C51">
        <v>2228.6799999999998</v>
      </c>
      <c r="D51">
        <v>2105.2620000000002</v>
      </c>
      <c r="E51">
        <v>2174.453</v>
      </c>
      <c r="F51">
        <v>2108.5839999999998</v>
      </c>
      <c r="H51" s="2">
        <f t="shared" si="0"/>
        <v>2200.7923999999998</v>
      </c>
      <c r="I51" s="2">
        <f t="shared" si="1"/>
        <v>51.849237269799858</v>
      </c>
      <c r="K51">
        <v>51.25</v>
      </c>
      <c r="L51">
        <v>2516.6329999999998</v>
      </c>
      <c r="M51">
        <v>2395.1669999999999</v>
      </c>
      <c r="N51">
        <v>2071.2600000000002</v>
      </c>
      <c r="O51">
        <v>2485.607</v>
      </c>
      <c r="P51">
        <v>2218.9</v>
      </c>
      <c r="R51" s="3">
        <f t="shared" si="2"/>
        <v>2337.5133999999998</v>
      </c>
      <c r="S51" s="3">
        <f t="shared" si="3"/>
        <v>84.350309640569719</v>
      </c>
    </row>
    <row r="52" spans="1:19" x14ac:dyDescent="0.25">
      <c r="A52">
        <v>52.5</v>
      </c>
      <c r="B52">
        <v>2405.2919999999999</v>
      </c>
      <c r="C52">
        <v>2235.6660000000002</v>
      </c>
      <c r="D52">
        <v>2095.5450000000001</v>
      </c>
      <c r="E52">
        <v>2176.7069999999999</v>
      </c>
      <c r="F52">
        <v>2124.373</v>
      </c>
      <c r="H52" s="2">
        <f t="shared" si="0"/>
        <v>2207.5165999999999</v>
      </c>
      <c r="I52" s="2">
        <f t="shared" si="1"/>
        <v>54.912305745251651</v>
      </c>
      <c r="K52">
        <v>52.5</v>
      </c>
      <c r="L52">
        <v>2535.942</v>
      </c>
      <c r="M52">
        <v>2402.442</v>
      </c>
      <c r="N52">
        <v>2071.2049999999999</v>
      </c>
      <c r="O52">
        <v>2480.7869999999998</v>
      </c>
      <c r="P52">
        <v>2219.4</v>
      </c>
      <c r="R52" s="3">
        <f t="shared" si="2"/>
        <v>2341.9551999999999</v>
      </c>
      <c r="S52" s="3">
        <f t="shared" si="3"/>
        <v>86.28129811459722</v>
      </c>
    </row>
    <row r="53" spans="1:19" x14ac:dyDescent="0.25">
      <c r="A53">
        <v>53.75</v>
      </c>
      <c r="B53">
        <v>2365.0239999999999</v>
      </c>
      <c r="C53">
        <v>2199.364</v>
      </c>
      <c r="D53">
        <v>2071.5230000000001</v>
      </c>
      <c r="E53">
        <v>2173.6439999999998</v>
      </c>
      <c r="F53">
        <v>2097.59</v>
      </c>
      <c r="H53" s="2">
        <f t="shared" si="0"/>
        <v>2181.4290000000001</v>
      </c>
      <c r="I53" s="2">
        <f t="shared" si="1"/>
        <v>51.574073540878999</v>
      </c>
      <c r="K53">
        <v>53.75</v>
      </c>
      <c r="L53">
        <v>2514.0329999999999</v>
      </c>
      <c r="M53">
        <v>2395.1120000000001</v>
      </c>
      <c r="N53">
        <v>2064.9949999999999</v>
      </c>
      <c r="O53">
        <v>2464.0929999999998</v>
      </c>
      <c r="P53">
        <v>2182.462</v>
      </c>
      <c r="R53" s="3">
        <f t="shared" si="2"/>
        <v>2324.1390000000001</v>
      </c>
      <c r="S53" s="3">
        <f t="shared" si="3"/>
        <v>85.997675883130711</v>
      </c>
    </row>
    <row r="54" spans="1:19" x14ac:dyDescent="0.25">
      <c r="A54">
        <v>55</v>
      </c>
      <c r="B54">
        <v>2299.3449999999998</v>
      </c>
      <c r="C54">
        <v>2136.3739999999998</v>
      </c>
      <c r="D54">
        <v>2022.653</v>
      </c>
      <c r="E54">
        <v>2152.63</v>
      </c>
      <c r="F54">
        <v>2039.7919999999999</v>
      </c>
      <c r="H54" s="2">
        <f t="shared" si="0"/>
        <v>2130.1588000000002</v>
      </c>
      <c r="I54" s="2">
        <f t="shared" si="1"/>
        <v>49.442496592910821</v>
      </c>
      <c r="K54">
        <v>55</v>
      </c>
      <c r="L54">
        <v>2444.364</v>
      </c>
      <c r="M54">
        <v>2329.6610000000001</v>
      </c>
      <c r="N54">
        <v>2026.57</v>
      </c>
      <c r="O54">
        <v>2423.81</v>
      </c>
      <c r="P54">
        <v>2123.61</v>
      </c>
      <c r="R54" s="3">
        <f t="shared" si="2"/>
        <v>2269.6030000000001</v>
      </c>
      <c r="S54" s="3">
        <f t="shared" si="3"/>
        <v>83.158632886790514</v>
      </c>
    </row>
    <row r="55" spans="1:19" x14ac:dyDescent="0.25">
      <c r="A55">
        <v>56.25</v>
      </c>
      <c r="B55">
        <v>2176.7170000000001</v>
      </c>
      <c r="C55">
        <v>2013.4449999999999</v>
      </c>
      <c r="D55">
        <v>1918.287</v>
      </c>
      <c r="E55">
        <v>2091.7719999999999</v>
      </c>
      <c r="F55">
        <v>1916.077</v>
      </c>
      <c r="H55" s="2">
        <f t="shared" si="0"/>
        <v>2023.2596000000001</v>
      </c>
      <c r="I55" s="2">
        <f t="shared" si="1"/>
        <v>50.421625040849293</v>
      </c>
      <c r="K55">
        <v>56.25</v>
      </c>
      <c r="L55">
        <v>2314.8310000000001</v>
      </c>
      <c r="M55">
        <v>2202.183</v>
      </c>
      <c r="N55">
        <v>1926.615</v>
      </c>
      <c r="O55">
        <v>2313.4850000000001</v>
      </c>
      <c r="P55">
        <v>2005.9960000000001</v>
      </c>
      <c r="R55" s="3">
        <f t="shared" si="2"/>
        <v>2152.6220000000003</v>
      </c>
      <c r="S55" s="3">
        <f t="shared" si="3"/>
        <v>79.756913523530997</v>
      </c>
    </row>
    <row r="56" spans="1:19" x14ac:dyDescent="0.25">
      <c r="A56">
        <v>57.5</v>
      </c>
      <c r="B56">
        <v>2004.0989999999999</v>
      </c>
      <c r="C56">
        <v>1841.2370000000001</v>
      </c>
      <c r="D56">
        <v>1773.586</v>
      </c>
      <c r="E56">
        <v>1999.9449999999999</v>
      </c>
      <c r="F56">
        <v>1750.6130000000001</v>
      </c>
      <c r="H56" s="2">
        <f t="shared" si="0"/>
        <v>1873.896</v>
      </c>
      <c r="I56" s="2">
        <f t="shared" si="1"/>
        <v>54.391440539849626</v>
      </c>
      <c r="K56">
        <v>57.5</v>
      </c>
      <c r="L56">
        <v>2131.8290000000002</v>
      </c>
      <c r="M56">
        <v>2024.2159999999999</v>
      </c>
      <c r="N56">
        <v>1802.807</v>
      </c>
      <c r="O56">
        <v>2148.4450000000002</v>
      </c>
      <c r="P56">
        <v>1866.6110000000001</v>
      </c>
      <c r="R56" s="3">
        <f t="shared" si="2"/>
        <v>1994.7816000000003</v>
      </c>
      <c r="S56" s="3">
        <f t="shared" si="3"/>
        <v>69.477609342578859</v>
      </c>
    </row>
    <row r="57" spans="1:19" x14ac:dyDescent="0.25">
      <c r="A57">
        <v>58.75</v>
      </c>
      <c r="B57">
        <v>1855.2750000000001</v>
      </c>
      <c r="C57">
        <v>1681.501</v>
      </c>
      <c r="D57">
        <v>1644.576</v>
      </c>
      <c r="E57">
        <v>1908.63</v>
      </c>
      <c r="F57">
        <v>1576.222</v>
      </c>
      <c r="H57" s="2">
        <f t="shared" si="0"/>
        <v>1733.2408</v>
      </c>
      <c r="I57" s="2">
        <f t="shared" si="1"/>
        <v>63.579507179121826</v>
      </c>
      <c r="K57">
        <v>58.75</v>
      </c>
      <c r="L57">
        <v>1967.6980000000001</v>
      </c>
      <c r="M57">
        <v>1834.5509999999999</v>
      </c>
      <c r="N57">
        <v>1695.2560000000001</v>
      </c>
      <c r="O57">
        <v>2009.644</v>
      </c>
      <c r="P57">
        <v>1705.7449999999999</v>
      </c>
      <c r="R57" s="3">
        <f t="shared" si="2"/>
        <v>1842.5788</v>
      </c>
      <c r="S57" s="3">
        <f t="shared" si="3"/>
        <v>64.829598585368402</v>
      </c>
    </row>
    <row r="58" spans="1:19" x14ac:dyDescent="0.25">
      <c r="A58">
        <v>60</v>
      </c>
      <c r="B58">
        <v>1763.6220000000001</v>
      </c>
      <c r="C58">
        <v>1584.1110000000001</v>
      </c>
      <c r="D58">
        <v>1554.1849999999999</v>
      </c>
      <c r="E58">
        <v>1816.778</v>
      </c>
      <c r="F58">
        <v>1477.269</v>
      </c>
      <c r="H58" s="2">
        <f t="shared" si="0"/>
        <v>1639.193</v>
      </c>
      <c r="I58" s="2">
        <f t="shared" si="1"/>
        <v>64.613766656185589</v>
      </c>
      <c r="K58">
        <v>60</v>
      </c>
      <c r="L58">
        <v>1868.0250000000001</v>
      </c>
      <c r="M58">
        <v>1734.979</v>
      </c>
      <c r="N58">
        <v>1611.9929999999999</v>
      </c>
      <c r="O58">
        <v>1909.3109999999999</v>
      </c>
      <c r="P58">
        <v>1602.7460000000001</v>
      </c>
      <c r="R58" s="3">
        <f t="shared" si="2"/>
        <v>1745.4108000000001</v>
      </c>
      <c r="S58" s="3">
        <f t="shared" si="3"/>
        <v>63.308725531635837</v>
      </c>
    </row>
    <row r="59" spans="1:19" x14ac:dyDescent="0.25">
      <c r="A59">
        <v>61.25</v>
      </c>
      <c r="B59">
        <v>1686.838</v>
      </c>
      <c r="C59">
        <v>1534.521</v>
      </c>
      <c r="D59">
        <v>1491.152</v>
      </c>
      <c r="E59">
        <v>1749.4169999999999</v>
      </c>
      <c r="F59">
        <v>1435.4079999999999</v>
      </c>
      <c r="H59" s="2">
        <f t="shared" si="0"/>
        <v>1579.4671999999998</v>
      </c>
      <c r="I59" s="2">
        <f t="shared" si="1"/>
        <v>59.575251473577516</v>
      </c>
      <c r="K59">
        <v>61.25</v>
      </c>
      <c r="L59">
        <v>1808.8489999999999</v>
      </c>
      <c r="M59">
        <v>1666.954</v>
      </c>
      <c r="N59">
        <v>1543.163</v>
      </c>
      <c r="O59">
        <v>1847.126</v>
      </c>
      <c r="P59">
        <v>1551.164</v>
      </c>
      <c r="R59" s="3">
        <f t="shared" si="2"/>
        <v>1683.4512000000002</v>
      </c>
      <c r="S59" s="3">
        <f t="shared" si="3"/>
        <v>63.232463320196516</v>
      </c>
    </row>
    <row r="60" spans="1:19" x14ac:dyDescent="0.25">
      <c r="A60">
        <v>62.5</v>
      </c>
      <c r="B60">
        <v>1647.35</v>
      </c>
      <c r="C60">
        <v>1498.404</v>
      </c>
      <c r="D60">
        <v>1448.173</v>
      </c>
      <c r="E60">
        <v>1695.2819999999999</v>
      </c>
      <c r="F60">
        <v>1410.4110000000001</v>
      </c>
      <c r="H60" s="2">
        <f t="shared" si="0"/>
        <v>1539.924</v>
      </c>
      <c r="I60" s="2">
        <f t="shared" si="1"/>
        <v>55.942929495156015</v>
      </c>
      <c r="K60">
        <v>62.5</v>
      </c>
      <c r="L60">
        <v>1767.9690000000001</v>
      </c>
      <c r="M60">
        <v>1638.703</v>
      </c>
      <c r="N60">
        <v>1484.9349999999999</v>
      </c>
      <c r="O60">
        <v>1794.1780000000001</v>
      </c>
      <c r="P60">
        <v>1507.2760000000001</v>
      </c>
      <c r="R60" s="3">
        <f t="shared" si="2"/>
        <v>1638.6122</v>
      </c>
      <c r="S60" s="3">
        <f t="shared" si="3"/>
        <v>63.953024678587347</v>
      </c>
    </row>
    <row r="61" spans="1:19" x14ac:dyDescent="0.25">
      <c r="A61">
        <v>63.75</v>
      </c>
      <c r="B61">
        <v>1612.607</v>
      </c>
      <c r="C61">
        <v>1476.0429999999999</v>
      </c>
      <c r="D61">
        <v>1404.885</v>
      </c>
      <c r="E61">
        <v>1648.471</v>
      </c>
      <c r="F61">
        <v>1375.1079999999999</v>
      </c>
      <c r="H61" s="2">
        <f t="shared" si="0"/>
        <v>1503.4227999999998</v>
      </c>
      <c r="I61" s="2">
        <f t="shared" si="1"/>
        <v>54.719379212852921</v>
      </c>
      <c r="K61">
        <v>63.75</v>
      </c>
      <c r="L61">
        <v>1733.307</v>
      </c>
      <c r="M61">
        <v>1616.415</v>
      </c>
      <c r="N61">
        <v>1439.6849999999999</v>
      </c>
      <c r="O61">
        <v>1742.578</v>
      </c>
      <c r="P61">
        <v>1480.9559999999999</v>
      </c>
      <c r="R61" s="3">
        <f t="shared" si="2"/>
        <v>1602.5881999999997</v>
      </c>
      <c r="S61" s="3">
        <f t="shared" si="3"/>
        <v>62.533020806130907</v>
      </c>
    </row>
    <row r="62" spans="1:19" x14ac:dyDescent="0.25">
      <c r="A62">
        <v>65</v>
      </c>
      <c r="B62">
        <v>1577.2149999999999</v>
      </c>
      <c r="C62">
        <v>1466.0239999999999</v>
      </c>
      <c r="D62">
        <v>1374.6020000000001</v>
      </c>
      <c r="E62">
        <v>1612.0039999999999</v>
      </c>
      <c r="F62">
        <v>1358.2339999999999</v>
      </c>
      <c r="H62" s="2">
        <f t="shared" si="0"/>
        <v>1477.6158</v>
      </c>
      <c r="I62" s="2">
        <f t="shared" si="1"/>
        <v>51.467667485908066</v>
      </c>
      <c r="K62">
        <v>65</v>
      </c>
      <c r="L62">
        <v>1693.2750000000001</v>
      </c>
      <c r="M62">
        <v>1598.6479999999999</v>
      </c>
      <c r="N62">
        <v>1407.7560000000001</v>
      </c>
      <c r="O62">
        <v>1706.5060000000001</v>
      </c>
      <c r="P62">
        <v>1457.2629999999999</v>
      </c>
      <c r="R62" s="3">
        <f t="shared" si="2"/>
        <v>1572.6896000000002</v>
      </c>
      <c r="S62" s="3">
        <f t="shared" si="3"/>
        <v>60.682739938634953</v>
      </c>
    </row>
    <row r="63" spans="1:19" x14ac:dyDescent="0.25">
      <c r="A63">
        <v>66.25</v>
      </c>
      <c r="B63">
        <v>1546.962</v>
      </c>
      <c r="C63">
        <v>1468.164</v>
      </c>
      <c r="D63">
        <v>1347.058</v>
      </c>
      <c r="E63">
        <v>1567.7719999999999</v>
      </c>
      <c r="F63">
        <v>1355.4590000000001</v>
      </c>
      <c r="H63" s="2">
        <f t="shared" si="0"/>
        <v>1457.0830000000001</v>
      </c>
      <c r="I63" s="2">
        <f t="shared" si="1"/>
        <v>46.306595601490706</v>
      </c>
      <c r="K63">
        <v>66.25</v>
      </c>
      <c r="L63">
        <v>1669.25</v>
      </c>
      <c r="M63">
        <v>1581.3620000000001</v>
      </c>
      <c r="N63">
        <v>1379.7360000000001</v>
      </c>
      <c r="O63">
        <v>1673.845</v>
      </c>
      <c r="P63">
        <v>1436.711</v>
      </c>
      <c r="R63" s="3">
        <f t="shared" si="2"/>
        <v>1548.1808000000001</v>
      </c>
      <c r="S63" s="3">
        <f t="shared" si="3"/>
        <v>60.145407697845044</v>
      </c>
    </row>
    <row r="64" spans="1:19" x14ac:dyDescent="0.25">
      <c r="A64">
        <v>67.5</v>
      </c>
      <c r="B64">
        <v>1524.3320000000001</v>
      </c>
      <c r="C64">
        <v>1460.116</v>
      </c>
      <c r="D64">
        <v>1323.4649999999999</v>
      </c>
      <c r="E64">
        <v>1513.2460000000001</v>
      </c>
      <c r="F64">
        <v>1343.4680000000001</v>
      </c>
      <c r="H64" s="2">
        <f t="shared" si="0"/>
        <v>1432.9254000000001</v>
      </c>
      <c r="I64" s="2">
        <f t="shared" si="1"/>
        <v>42.148605919531924</v>
      </c>
      <c r="K64">
        <v>67.5</v>
      </c>
      <c r="L64">
        <v>1651.0719999999999</v>
      </c>
      <c r="M64">
        <v>1573.105</v>
      </c>
      <c r="N64">
        <v>1352.982</v>
      </c>
      <c r="O64">
        <v>1647.9770000000001</v>
      </c>
      <c r="P64">
        <v>1432.2360000000001</v>
      </c>
      <c r="R64" s="3">
        <f t="shared" si="2"/>
        <v>1531.4743999999998</v>
      </c>
      <c r="S64" s="3">
        <f t="shared" si="3"/>
        <v>59.714883187192108</v>
      </c>
    </row>
    <row r="65" spans="1:19" x14ac:dyDescent="0.25">
      <c r="A65">
        <v>68.75</v>
      </c>
      <c r="B65">
        <v>1521.9570000000001</v>
      </c>
      <c r="C65">
        <v>1462.1849999999999</v>
      </c>
      <c r="D65">
        <v>1301.299</v>
      </c>
      <c r="E65">
        <v>1463.8330000000001</v>
      </c>
      <c r="F65">
        <v>1338.008</v>
      </c>
      <c r="H65" s="2">
        <f t="shared" si="0"/>
        <v>1417.4563999999998</v>
      </c>
      <c r="I65" s="2">
        <f t="shared" si="1"/>
        <v>41.759072022256454</v>
      </c>
      <c r="K65">
        <v>68.75</v>
      </c>
      <c r="L65">
        <v>1638.962</v>
      </c>
      <c r="M65">
        <v>1557.64</v>
      </c>
      <c r="N65">
        <v>1331.432</v>
      </c>
      <c r="O65">
        <v>1609.7739999999999</v>
      </c>
      <c r="P65">
        <v>1431.1130000000001</v>
      </c>
      <c r="R65" s="3">
        <f t="shared" si="2"/>
        <v>1513.7841999999998</v>
      </c>
      <c r="S65" s="3">
        <f t="shared" si="3"/>
        <v>57.833254562059693</v>
      </c>
    </row>
    <row r="66" spans="1:19" x14ac:dyDescent="0.25">
      <c r="A66">
        <v>70</v>
      </c>
      <c r="B66">
        <v>1522.1880000000001</v>
      </c>
      <c r="C66">
        <v>1467.4949999999999</v>
      </c>
      <c r="D66">
        <v>1296.2670000000001</v>
      </c>
      <c r="E66">
        <v>1433.62</v>
      </c>
      <c r="F66">
        <v>1339.6189999999999</v>
      </c>
      <c r="H66" s="2">
        <f t="shared" si="0"/>
        <v>1411.8377999999998</v>
      </c>
      <c r="I66" s="2">
        <f t="shared" si="1"/>
        <v>41.425547476647786</v>
      </c>
      <c r="K66">
        <v>70</v>
      </c>
      <c r="L66">
        <v>1628.6130000000001</v>
      </c>
      <c r="M66">
        <v>1543.162</v>
      </c>
      <c r="N66">
        <v>1310.52</v>
      </c>
      <c r="O66">
        <v>1599.3130000000001</v>
      </c>
      <c r="P66">
        <v>1431.7840000000001</v>
      </c>
      <c r="R66" s="3">
        <f t="shared" si="2"/>
        <v>1502.6784</v>
      </c>
      <c r="S66" s="3">
        <f t="shared" si="3"/>
        <v>58.646209555776068</v>
      </c>
    </row>
    <row r="67" spans="1:19" x14ac:dyDescent="0.25">
      <c r="A67">
        <v>71.25</v>
      </c>
      <c r="B67">
        <v>1522.979</v>
      </c>
      <c r="C67">
        <v>1461.308</v>
      </c>
      <c r="D67">
        <v>1293.328</v>
      </c>
      <c r="E67">
        <v>1418.038</v>
      </c>
      <c r="F67">
        <v>1341.6780000000001</v>
      </c>
      <c r="H67" s="2">
        <f t="shared" si="0"/>
        <v>1407.4662000000001</v>
      </c>
      <c r="I67" s="2">
        <f t="shared" si="1"/>
        <v>41.054552308361608</v>
      </c>
      <c r="K67">
        <v>71.25</v>
      </c>
      <c r="L67">
        <v>1620.0619999999999</v>
      </c>
      <c r="M67">
        <v>1540.0830000000001</v>
      </c>
      <c r="N67">
        <v>1296.249</v>
      </c>
      <c r="O67">
        <v>1588.23</v>
      </c>
      <c r="P67">
        <v>1430.058</v>
      </c>
      <c r="R67" s="3">
        <f t="shared" si="2"/>
        <v>1494.9364</v>
      </c>
      <c r="S67" s="3">
        <f t="shared" si="3"/>
        <v>59.19637521554845</v>
      </c>
    </row>
    <row r="68" spans="1:19" x14ac:dyDescent="0.25">
      <c r="A68">
        <v>72.5</v>
      </c>
      <c r="B68">
        <v>1516.932</v>
      </c>
      <c r="C68">
        <v>1453.345</v>
      </c>
      <c r="D68">
        <v>1284.3030000000001</v>
      </c>
      <c r="E68">
        <v>1402.114</v>
      </c>
      <c r="F68">
        <v>1335.6379999999999</v>
      </c>
      <c r="H68" s="2">
        <f t="shared" si="0"/>
        <v>1398.4663999999998</v>
      </c>
      <c r="I68" s="2">
        <f t="shared" si="1"/>
        <v>41.25515352849871</v>
      </c>
      <c r="K68">
        <v>72.5</v>
      </c>
      <c r="L68">
        <v>1599.5150000000001</v>
      </c>
      <c r="M68">
        <v>1534.9680000000001</v>
      </c>
      <c r="N68">
        <v>1285.2909999999999</v>
      </c>
      <c r="O68">
        <v>1580.124</v>
      </c>
      <c r="P68">
        <v>1425.6030000000001</v>
      </c>
      <c r="R68" s="3">
        <f t="shared" si="2"/>
        <v>1485.1002000000001</v>
      </c>
      <c r="S68" s="3">
        <f t="shared" si="3"/>
        <v>58.339823326266611</v>
      </c>
    </row>
    <row r="69" spans="1:19" x14ac:dyDescent="0.25">
      <c r="A69">
        <v>73.75</v>
      </c>
      <c r="B69">
        <v>1504.75</v>
      </c>
      <c r="C69">
        <v>1454.835</v>
      </c>
      <c r="D69">
        <v>1279.441</v>
      </c>
      <c r="E69">
        <v>1399.64</v>
      </c>
      <c r="F69">
        <v>1330.2260000000001</v>
      </c>
      <c r="H69" s="2">
        <f t="shared" ref="H69:H96" si="4">AVERAGE(B69:F69)</f>
        <v>1393.7783999999999</v>
      </c>
      <c r="I69" s="2">
        <f t="shared" ref="I69:I96" si="5">STDEV(B69:F69)/SQRT(COUNT(B69:F69))</f>
        <v>40.736293000959222</v>
      </c>
      <c r="K69">
        <v>73.75</v>
      </c>
      <c r="L69">
        <v>1600.578</v>
      </c>
      <c r="M69">
        <v>1519.8209999999999</v>
      </c>
      <c r="N69">
        <v>1280.5640000000001</v>
      </c>
      <c r="O69">
        <v>1576.492</v>
      </c>
      <c r="P69">
        <v>1413.4079999999999</v>
      </c>
      <c r="R69" s="3">
        <f t="shared" ref="R69:R96" si="6">AVERAGE(L69:P69)</f>
        <v>1478.1725999999999</v>
      </c>
      <c r="S69" s="3">
        <f t="shared" ref="S69:S96" si="7">STDEV(L69:P69)/SQRT(COUNT(L69:P69))</f>
        <v>59.003384561904561</v>
      </c>
    </row>
    <row r="70" spans="1:19" x14ac:dyDescent="0.25">
      <c r="A70">
        <v>75</v>
      </c>
      <c r="B70">
        <v>1544.44</v>
      </c>
      <c r="C70">
        <v>1513.056</v>
      </c>
      <c r="D70">
        <v>1332.4179999999999</v>
      </c>
      <c r="E70">
        <v>1467.212</v>
      </c>
      <c r="F70">
        <v>1361.6859999999999</v>
      </c>
      <c r="H70" s="2">
        <f t="shared" si="4"/>
        <v>1443.7624000000001</v>
      </c>
      <c r="I70" s="2">
        <f t="shared" si="5"/>
        <v>41.60623554901359</v>
      </c>
      <c r="K70">
        <v>75</v>
      </c>
      <c r="L70">
        <v>1655.7750000000001</v>
      </c>
      <c r="M70">
        <v>1575.375</v>
      </c>
      <c r="N70">
        <v>1341.0119999999999</v>
      </c>
      <c r="O70">
        <v>1645.4459999999999</v>
      </c>
      <c r="P70">
        <v>1460.172</v>
      </c>
      <c r="R70" s="3">
        <f t="shared" si="6"/>
        <v>1535.556</v>
      </c>
      <c r="S70" s="3">
        <f t="shared" si="7"/>
        <v>59.85151970251048</v>
      </c>
    </row>
    <row r="71" spans="1:19" x14ac:dyDescent="0.25">
      <c r="A71">
        <v>76.25</v>
      </c>
      <c r="B71">
        <v>1703.4169999999999</v>
      </c>
      <c r="C71">
        <v>1660.8330000000001</v>
      </c>
      <c r="D71">
        <v>1525.9359999999999</v>
      </c>
      <c r="E71">
        <v>1607.1659999999999</v>
      </c>
      <c r="F71">
        <v>1509.4639999999999</v>
      </c>
      <c r="H71" s="2">
        <f t="shared" si="4"/>
        <v>1601.3632</v>
      </c>
      <c r="I71" s="2">
        <f t="shared" si="5"/>
        <v>37.496688623663829</v>
      </c>
      <c r="K71">
        <v>76.25</v>
      </c>
      <c r="L71">
        <v>1843.8789999999999</v>
      </c>
      <c r="M71">
        <v>1758.13</v>
      </c>
      <c r="N71">
        <v>1494.4739999999999</v>
      </c>
      <c r="O71">
        <v>1841.8019999999999</v>
      </c>
      <c r="P71">
        <v>1634.548</v>
      </c>
      <c r="R71" s="3">
        <f t="shared" si="6"/>
        <v>1714.5666000000001</v>
      </c>
      <c r="S71" s="3">
        <f t="shared" si="7"/>
        <v>66.952237657601856</v>
      </c>
    </row>
    <row r="72" spans="1:19" x14ac:dyDescent="0.25">
      <c r="A72">
        <v>77.5</v>
      </c>
      <c r="B72">
        <v>1788.4369999999999</v>
      </c>
      <c r="C72">
        <v>1741.867</v>
      </c>
      <c r="D72">
        <v>1653.0260000000001</v>
      </c>
      <c r="E72">
        <v>1671.8579999999999</v>
      </c>
      <c r="F72">
        <v>1597.942</v>
      </c>
      <c r="H72" s="2">
        <f t="shared" si="4"/>
        <v>1690.6260000000002</v>
      </c>
      <c r="I72" s="2">
        <f t="shared" si="5"/>
        <v>33.577487608515298</v>
      </c>
      <c r="K72">
        <v>77.5</v>
      </c>
      <c r="L72">
        <v>1982.6089999999999</v>
      </c>
      <c r="M72">
        <v>1872.924</v>
      </c>
      <c r="N72">
        <v>1575.8979999999999</v>
      </c>
      <c r="O72">
        <v>1926.2919999999999</v>
      </c>
      <c r="P72">
        <v>1738.5260000000001</v>
      </c>
      <c r="R72" s="3">
        <f t="shared" si="6"/>
        <v>1819.2498000000001</v>
      </c>
      <c r="S72" s="3">
        <f t="shared" si="7"/>
        <v>73.062169075657735</v>
      </c>
    </row>
    <row r="73" spans="1:19" x14ac:dyDescent="0.25">
      <c r="A73">
        <v>78.75</v>
      </c>
      <c r="B73">
        <v>1729.3620000000001</v>
      </c>
      <c r="C73">
        <v>1700.3330000000001</v>
      </c>
      <c r="D73">
        <v>1569.5509999999999</v>
      </c>
      <c r="E73">
        <v>1626.7560000000001</v>
      </c>
      <c r="F73">
        <v>1562.7380000000001</v>
      </c>
      <c r="H73" s="2">
        <f t="shared" si="4"/>
        <v>1637.748</v>
      </c>
      <c r="I73" s="2">
        <f t="shared" si="5"/>
        <v>33.69581739177729</v>
      </c>
      <c r="K73">
        <v>78.75</v>
      </c>
      <c r="L73">
        <v>1924.4739999999999</v>
      </c>
      <c r="M73">
        <v>1804.366</v>
      </c>
      <c r="N73">
        <v>1514.165</v>
      </c>
      <c r="O73">
        <v>1849.1859999999999</v>
      </c>
      <c r="P73">
        <v>1693.4970000000001</v>
      </c>
      <c r="R73" s="3">
        <f t="shared" si="6"/>
        <v>1757.1376</v>
      </c>
      <c r="S73" s="3">
        <f t="shared" si="7"/>
        <v>71.34098078706235</v>
      </c>
    </row>
    <row r="74" spans="1:19" x14ac:dyDescent="0.25">
      <c r="A74">
        <v>80</v>
      </c>
      <c r="B74">
        <v>1705.97</v>
      </c>
      <c r="C74">
        <v>1707.2180000000001</v>
      </c>
      <c r="D74">
        <v>1472.9179999999999</v>
      </c>
      <c r="E74">
        <v>1624.213</v>
      </c>
      <c r="F74">
        <v>1574.348</v>
      </c>
      <c r="H74" s="2">
        <f t="shared" si="4"/>
        <v>1616.9333999999999</v>
      </c>
      <c r="I74" s="2">
        <f t="shared" si="5"/>
        <v>43.980546519569337</v>
      </c>
      <c r="K74">
        <v>80</v>
      </c>
      <c r="L74">
        <v>1883.71</v>
      </c>
      <c r="M74">
        <v>1772.7449999999999</v>
      </c>
      <c r="N74">
        <v>1492.2529999999999</v>
      </c>
      <c r="O74">
        <v>1834.3230000000001</v>
      </c>
      <c r="P74">
        <v>1675.0150000000001</v>
      </c>
      <c r="R74" s="3">
        <f t="shared" si="6"/>
        <v>1731.6092000000001</v>
      </c>
      <c r="S74" s="3">
        <f t="shared" si="7"/>
        <v>69.235549418199923</v>
      </c>
    </row>
    <row r="75" spans="1:19" x14ac:dyDescent="0.25">
      <c r="A75">
        <v>81.25</v>
      </c>
      <c r="B75">
        <v>1973.269</v>
      </c>
      <c r="C75">
        <v>2136.192</v>
      </c>
      <c r="D75">
        <v>1699.4090000000001</v>
      </c>
      <c r="E75">
        <v>1944.2090000000001</v>
      </c>
      <c r="F75">
        <v>1930.7729999999999</v>
      </c>
      <c r="H75" s="2">
        <f t="shared" si="4"/>
        <v>1936.7704000000001</v>
      </c>
      <c r="I75" s="2">
        <f t="shared" si="5"/>
        <v>69.83296432745783</v>
      </c>
      <c r="K75">
        <v>81.25</v>
      </c>
      <c r="L75">
        <v>2210.5369999999998</v>
      </c>
      <c r="M75">
        <v>2156.7759999999998</v>
      </c>
      <c r="N75">
        <v>1839.6369999999999</v>
      </c>
      <c r="O75">
        <v>2327.2689999999998</v>
      </c>
      <c r="P75">
        <v>2045.42</v>
      </c>
      <c r="R75" s="3">
        <f t="shared" si="6"/>
        <v>2115.9277999999999</v>
      </c>
      <c r="S75" s="3">
        <f t="shared" si="7"/>
        <v>82.641555833248887</v>
      </c>
    </row>
    <row r="76" spans="1:19" x14ac:dyDescent="0.25">
      <c r="A76">
        <v>82.5</v>
      </c>
      <c r="B76">
        <v>2773.6509999999998</v>
      </c>
      <c r="C76">
        <v>2948.1529999999998</v>
      </c>
      <c r="D76">
        <v>2411.8739999999998</v>
      </c>
      <c r="E76">
        <v>2693.4929999999999</v>
      </c>
      <c r="F76">
        <v>2735.6280000000002</v>
      </c>
      <c r="H76" s="2">
        <f t="shared" si="4"/>
        <v>2712.5598</v>
      </c>
      <c r="I76" s="2">
        <f t="shared" si="5"/>
        <v>86.759416099579639</v>
      </c>
      <c r="K76">
        <v>82.5</v>
      </c>
      <c r="L76">
        <v>3081.1010000000001</v>
      </c>
      <c r="M76">
        <v>3047.7049999999999</v>
      </c>
      <c r="N76">
        <v>2616.3290000000002</v>
      </c>
      <c r="O76">
        <v>3319.4360000000001</v>
      </c>
      <c r="P76">
        <v>2945.0239999999999</v>
      </c>
      <c r="R76" s="3">
        <f t="shared" si="6"/>
        <v>3001.9189999999999</v>
      </c>
      <c r="S76" s="3">
        <f t="shared" si="7"/>
        <v>114.25845293325128</v>
      </c>
    </row>
    <row r="77" spans="1:19" x14ac:dyDescent="0.25">
      <c r="A77">
        <v>83.75</v>
      </c>
      <c r="B77">
        <v>3481.5210000000002</v>
      </c>
      <c r="C77">
        <v>3711.0790000000002</v>
      </c>
      <c r="D77">
        <v>3200.4319999999998</v>
      </c>
      <c r="E77">
        <v>3392.1790000000001</v>
      </c>
      <c r="F77">
        <v>3506.6350000000002</v>
      </c>
      <c r="H77" s="2">
        <f t="shared" si="4"/>
        <v>3458.3691999999996</v>
      </c>
      <c r="I77" s="2">
        <f t="shared" si="5"/>
        <v>82.957994801224615</v>
      </c>
      <c r="K77">
        <v>83.75</v>
      </c>
      <c r="L77">
        <v>4019.4580000000001</v>
      </c>
      <c r="M77">
        <v>3978.6060000000002</v>
      </c>
      <c r="N77">
        <v>3364.1970000000001</v>
      </c>
      <c r="O77">
        <v>4274.6459999999997</v>
      </c>
      <c r="P77">
        <v>3897.2460000000001</v>
      </c>
      <c r="R77" s="3">
        <f t="shared" si="6"/>
        <v>3906.8305999999998</v>
      </c>
      <c r="S77" s="3">
        <f t="shared" si="7"/>
        <v>149.61081113328669</v>
      </c>
    </row>
    <row r="78" spans="1:19" x14ac:dyDescent="0.25">
      <c r="A78">
        <v>85</v>
      </c>
      <c r="B78">
        <v>3753.7109999999998</v>
      </c>
      <c r="C78">
        <v>3977.1480000000001</v>
      </c>
      <c r="D78">
        <v>3621.0880000000002</v>
      </c>
      <c r="E78">
        <v>3649.6190000000001</v>
      </c>
      <c r="F78">
        <v>3822.9549999999999</v>
      </c>
      <c r="H78" s="2">
        <f t="shared" si="4"/>
        <v>3764.9041999999999</v>
      </c>
      <c r="I78" s="2">
        <f t="shared" si="5"/>
        <v>64.232542557024772</v>
      </c>
      <c r="K78">
        <v>85</v>
      </c>
      <c r="L78">
        <v>4487.0929999999998</v>
      </c>
      <c r="M78">
        <v>4362.0820000000003</v>
      </c>
      <c r="N78">
        <v>3653.5120000000002</v>
      </c>
      <c r="O78">
        <v>4553.067</v>
      </c>
      <c r="P78">
        <v>4331.826</v>
      </c>
      <c r="R78" s="3">
        <f t="shared" si="6"/>
        <v>4277.5160000000005</v>
      </c>
      <c r="S78" s="3">
        <f t="shared" si="7"/>
        <v>161.14168439637206</v>
      </c>
    </row>
    <row r="79" spans="1:19" x14ac:dyDescent="0.25">
      <c r="A79">
        <v>86.25</v>
      </c>
      <c r="B79">
        <v>3522.0520000000001</v>
      </c>
      <c r="C79">
        <v>3663.2060000000001</v>
      </c>
      <c r="D79">
        <v>3486.471</v>
      </c>
      <c r="E79">
        <v>3379.49</v>
      </c>
      <c r="F79">
        <v>3545.6379999999999</v>
      </c>
      <c r="H79" s="2">
        <f t="shared" si="4"/>
        <v>3519.3714</v>
      </c>
      <c r="I79" s="2">
        <f t="shared" si="5"/>
        <v>45.84471312768796</v>
      </c>
      <c r="K79">
        <v>86.25</v>
      </c>
      <c r="L79">
        <v>4267.7839999999997</v>
      </c>
      <c r="M79">
        <v>4080.57</v>
      </c>
      <c r="N79">
        <v>3380.4760000000001</v>
      </c>
      <c r="O79">
        <v>4100.7619999999997</v>
      </c>
      <c r="P79">
        <v>4050.8809999999999</v>
      </c>
      <c r="R79" s="3">
        <f t="shared" si="6"/>
        <v>3976.0946000000004</v>
      </c>
      <c r="S79" s="3">
        <f t="shared" si="7"/>
        <v>153.60571248999815</v>
      </c>
    </row>
    <row r="80" spans="1:19" x14ac:dyDescent="0.25">
      <c r="A80">
        <v>87.5</v>
      </c>
      <c r="B80">
        <v>3067.2570000000001</v>
      </c>
      <c r="C80">
        <v>3135.3249999999998</v>
      </c>
      <c r="D80">
        <v>2939.0610000000001</v>
      </c>
      <c r="E80">
        <v>2890.828</v>
      </c>
      <c r="F80">
        <v>3018.1759999999999</v>
      </c>
      <c r="H80" s="2">
        <f t="shared" si="4"/>
        <v>3010.1293999999998</v>
      </c>
      <c r="I80" s="2">
        <f t="shared" si="5"/>
        <v>43.752594342050131</v>
      </c>
      <c r="K80">
        <v>87.5</v>
      </c>
      <c r="L80">
        <v>3562.739</v>
      </c>
      <c r="M80">
        <v>3431.7150000000001</v>
      </c>
      <c r="N80">
        <v>2843.1170000000002</v>
      </c>
      <c r="O80">
        <v>3400.8470000000002</v>
      </c>
      <c r="P80">
        <v>3433.8</v>
      </c>
      <c r="R80" s="3">
        <f t="shared" si="6"/>
        <v>3334.4436000000001</v>
      </c>
      <c r="S80" s="3">
        <f t="shared" si="7"/>
        <v>125.94908664599356</v>
      </c>
    </row>
    <row r="81" spans="1:19" x14ac:dyDescent="0.25">
      <c r="A81">
        <v>88.75</v>
      </c>
      <c r="B81">
        <v>2818.1889999999999</v>
      </c>
      <c r="C81">
        <v>2898.9810000000002</v>
      </c>
      <c r="D81">
        <v>2641.8420000000001</v>
      </c>
      <c r="E81">
        <v>2608.877</v>
      </c>
      <c r="F81">
        <v>2748.1010000000001</v>
      </c>
      <c r="H81" s="2">
        <f t="shared" si="4"/>
        <v>2743.1980000000003</v>
      </c>
      <c r="I81" s="2">
        <f t="shared" si="5"/>
        <v>53.958874319244302</v>
      </c>
      <c r="K81">
        <v>88.75</v>
      </c>
      <c r="L81">
        <v>3183.7930000000001</v>
      </c>
      <c r="M81">
        <v>3157.7310000000002</v>
      </c>
      <c r="N81">
        <v>2579.585</v>
      </c>
      <c r="O81">
        <v>3135.92</v>
      </c>
      <c r="P81">
        <v>3003.5790000000002</v>
      </c>
      <c r="R81" s="3">
        <f t="shared" si="6"/>
        <v>3012.1215999999999</v>
      </c>
      <c r="S81" s="3">
        <f t="shared" si="7"/>
        <v>112.50779909481832</v>
      </c>
    </row>
    <row r="82" spans="1:19" x14ac:dyDescent="0.25">
      <c r="A82">
        <v>90</v>
      </c>
      <c r="B82">
        <v>2865.0140000000001</v>
      </c>
      <c r="C82">
        <v>2971.8040000000001</v>
      </c>
      <c r="D82">
        <v>2804.0140000000001</v>
      </c>
      <c r="E82">
        <v>2652.5050000000001</v>
      </c>
      <c r="F82">
        <v>2832.0729999999999</v>
      </c>
      <c r="H82" s="2">
        <f t="shared" si="4"/>
        <v>2825.0819999999999</v>
      </c>
      <c r="I82" s="2">
        <f t="shared" si="5"/>
        <v>51.670816493452079</v>
      </c>
      <c r="K82">
        <v>90</v>
      </c>
      <c r="L82">
        <v>3347.2570000000001</v>
      </c>
      <c r="M82">
        <v>3343.0430000000001</v>
      </c>
      <c r="N82">
        <v>2747.9520000000002</v>
      </c>
      <c r="O82">
        <v>3355.404</v>
      </c>
      <c r="P82">
        <v>3083.6480000000001</v>
      </c>
      <c r="R82" s="3">
        <f t="shared" si="6"/>
        <v>3175.4607999999998</v>
      </c>
      <c r="S82" s="3">
        <f t="shared" si="7"/>
        <v>118.56868212955726</v>
      </c>
    </row>
    <row r="83" spans="1:19" x14ac:dyDescent="0.25">
      <c r="A83">
        <v>91.25</v>
      </c>
      <c r="B83">
        <v>3048.4989999999998</v>
      </c>
      <c r="C83">
        <v>3205.7510000000002</v>
      </c>
      <c r="D83">
        <v>3147.627</v>
      </c>
      <c r="E83">
        <v>2831.2620000000002</v>
      </c>
      <c r="F83">
        <v>3058.268</v>
      </c>
      <c r="H83" s="2">
        <f t="shared" si="4"/>
        <v>3058.2814000000003</v>
      </c>
      <c r="I83" s="2">
        <f t="shared" si="5"/>
        <v>63.782216435774622</v>
      </c>
      <c r="K83">
        <v>91.25</v>
      </c>
      <c r="L83">
        <v>3684.4349999999999</v>
      </c>
      <c r="M83">
        <v>3627.63</v>
      </c>
      <c r="N83">
        <v>3015.3</v>
      </c>
      <c r="O83">
        <v>3725.16</v>
      </c>
      <c r="P83">
        <v>3457.4349999999999</v>
      </c>
      <c r="R83" s="3">
        <f t="shared" si="6"/>
        <v>3501.9920000000006</v>
      </c>
      <c r="S83" s="3">
        <f t="shared" si="7"/>
        <v>129.9478242661261</v>
      </c>
    </row>
    <row r="84" spans="1:19" x14ac:dyDescent="0.25">
      <c r="A84">
        <v>92.5</v>
      </c>
      <c r="B84">
        <v>3278.8820000000001</v>
      </c>
      <c r="C84">
        <v>3447.22</v>
      </c>
      <c r="D84">
        <v>3432.0219999999999</v>
      </c>
      <c r="E84">
        <v>3041.3870000000002</v>
      </c>
      <c r="F84">
        <v>3290.7579999999998</v>
      </c>
      <c r="H84" s="2">
        <f t="shared" si="4"/>
        <v>3298.0538000000001</v>
      </c>
      <c r="I84" s="2">
        <f t="shared" si="5"/>
        <v>72.971455607244067</v>
      </c>
      <c r="K84">
        <v>92.5</v>
      </c>
      <c r="L84">
        <v>4055.0039999999999</v>
      </c>
      <c r="M84">
        <v>3905.9009999999998</v>
      </c>
      <c r="N84">
        <v>3248.4340000000002</v>
      </c>
      <c r="O84">
        <v>4034.8890000000001</v>
      </c>
      <c r="P84">
        <v>3812.5140000000001</v>
      </c>
      <c r="R84" s="3">
        <f t="shared" si="6"/>
        <v>3811.3483999999999</v>
      </c>
      <c r="S84" s="3">
        <f t="shared" si="7"/>
        <v>147.50468226080142</v>
      </c>
    </row>
    <row r="85" spans="1:19" x14ac:dyDescent="0.25">
      <c r="A85">
        <v>93.75</v>
      </c>
      <c r="B85">
        <v>3527.4</v>
      </c>
      <c r="C85">
        <v>3595.172</v>
      </c>
      <c r="D85">
        <v>3563.8449999999998</v>
      </c>
      <c r="E85">
        <v>3266.6640000000002</v>
      </c>
      <c r="F85">
        <v>3414.6950000000002</v>
      </c>
      <c r="H85" s="2">
        <f t="shared" si="4"/>
        <v>3473.5552000000002</v>
      </c>
      <c r="I85" s="2">
        <f t="shared" si="5"/>
        <v>60.04608575702494</v>
      </c>
      <c r="K85">
        <v>93.75</v>
      </c>
      <c r="L85">
        <v>4230.74</v>
      </c>
      <c r="M85">
        <v>4093.4459999999999</v>
      </c>
      <c r="N85">
        <v>3383.7489999999998</v>
      </c>
      <c r="O85">
        <v>4136.1499999999996</v>
      </c>
      <c r="P85">
        <v>3949.6579999999999</v>
      </c>
      <c r="R85" s="3">
        <f t="shared" si="6"/>
        <v>3958.7485999999999</v>
      </c>
      <c r="S85" s="3">
        <f t="shared" si="7"/>
        <v>150.71515301574689</v>
      </c>
    </row>
    <row r="86" spans="1:19" x14ac:dyDescent="0.25">
      <c r="A86">
        <v>95</v>
      </c>
      <c r="B86">
        <v>3730.5749999999998</v>
      </c>
      <c r="C86">
        <v>3708.4859999999999</v>
      </c>
      <c r="D86">
        <v>3534.5790000000002</v>
      </c>
      <c r="E86">
        <v>3491.6309999999999</v>
      </c>
      <c r="F86">
        <v>3447.1660000000002</v>
      </c>
      <c r="H86" s="2">
        <f t="shared" si="4"/>
        <v>3582.4873999999995</v>
      </c>
      <c r="I86" s="2">
        <f t="shared" si="5"/>
        <v>57.735416333997215</v>
      </c>
      <c r="K86">
        <v>95</v>
      </c>
      <c r="L86">
        <v>4234.7629999999999</v>
      </c>
      <c r="M86">
        <v>4145.99</v>
      </c>
      <c r="N86">
        <v>3454.73</v>
      </c>
      <c r="O86">
        <v>4120.9059999999999</v>
      </c>
      <c r="P86">
        <v>3850.7860000000001</v>
      </c>
      <c r="R86" s="3">
        <f t="shared" si="6"/>
        <v>3961.4349999999999</v>
      </c>
      <c r="S86" s="3">
        <f t="shared" si="7"/>
        <v>141.98466495998781</v>
      </c>
    </row>
    <row r="87" spans="1:19" x14ac:dyDescent="0.25">
      <c r="A87">
        <v>96.25</v>
      </c>
      <c r="B87">
        <v>3923.4209999999998</v>
      </c>
      <c r="C87">
        <v>3874.4520000000002</v>
      </c>
      <c r="D87">
        <v>3453.1480000000001</v>
      </c>
      <c r="E87">
        <v>3706.3879999999999</v>
      </c>
      <c r="F87">
        <v>3486.91</v>
      </c>
      <c r="H87" s="2">
        <f t="shared" si="4"/>
        <v>3688.8638000000001</v>
      </c>
      <c r="I87" s="2">
        <f t="shared" si="5"/>
        <v>96.466168510208803</v>
      </c>
      <c r="K87">
        <v>96.25</v>
      </c>
      <c r="L87">
        <v>4276.7489999999998</v>
      </c>
      <c r="M87">
        <v>4134.7929999999997</v>
      </c>
      <c r="N87">
        <v>3506.6489999999999</v>
      </c>
      <c r="O87">
        <v>4173.4560000000001</v>
      </c>
      <c r="P87">
        <v>3774.8110000000001</v>
      </c>
      <c r="R87" s="3">
        <f t="shared" si="6"/>
        <v>3973.2915999999996</v>
      </c>
      <c r="S87" s="3">
        <f t="shared" si="7"/>
        <v>144.11536135249423</v>
      </c>
    </row>
    <row r="88" spans="1:19" x14ac:dyDescent="0.25">
      <c r="A88">
        <v>97.5</v>
      </c>
      <c r="B88">
        <v>4197.3270000000002</v>
      </c>
      <c r="C88">
        <v>4196.7269999999999</v>
      </c>
      <c r="D88">
        <v>3486.19</v>
      </c>
      <c r="E88">
        <v>4033.4630000000002</v>
      </c>
      <c r="F88">
        <v>3715.806</v>
      </c>
      <c r="H88" s="2">
        <f t="shared" si="4"/>
        <v>3925.9025999999999</v>
      </c>
      <c r="I88" s="2">
        <f t="shared" si="5"/>
        <v>140.72562881884735</v>
      </c>
      <c r="K88">
        <v>97.5</v>
      </c>
      <c r="L88">
        <v>4550.7510000000002</v>
      </c>
      <c r="M88">
        <v>4266.0209999999997</v>
      </c>
      <c r="N88">
        <v>3652.701</v>
      </c>
      <c r="O88">
        <v>4471.88</v>
      </c>
      <c r="P88">
        <v>3856.6860000000001</v>
      </c>
      <c r="R88" s="3">
        <f t="shared" si="6"/>
        <v>4159.6078000000007</v>
      </c>
      <c r="S88" s="3">
        <f t="shared" si="7"/>
        <v>174.72075144853287</v>
      </c>
    </row>
    <row r="89" spans="1:19" x14ac:dyDescent="0.25">
      <c r="A89">
        <v>98.75</v>
      </c>
      <c r="B89">
        <v>4494.482</v>
      </c>
      <c r="C89">
        <v>4489.683</v>
      </c>
      <c r="D89">
        <v>3711.9290000000001</v>
      </c>
      <c r="E89">
        <v>4279.4780000000001</v>
      </c>
      <c r="F89">
        <v>3973.1080000000002</v>
      </c>
      <c r="H89" s="2">
        <f t="shared" si="4"/>
        <v>4189.7359999999999</v>
      </c>
      <c r="I89" s="2">
        <f t="shared" si="5"/>
        <v>152.66289226953612</v>
      </c>
      <c r="K89">
        <v>98.75</v>
      </c>
      <c r="L89">
        <v>4826.4920000000002</v>
      </c>
      <c r="M89">
        <v>4510.1499999999996</v>
      </c>
      <c r="N89">
        <v>3894.3339999999998</v>
      </c>
      <c r="O89">
        <v>4781.152</v>
      </c>
      <c r="P89">
        <v>4082.212</v>
      </c>
      <c r="R89" s="3">
        <f t="shared" si="6"/>
        <v>4418.8679999999995</v>
      </c>
      <c r="S89" s="3">
        <f t="shared" si="7"/>
        <v>186.30789100947931</v>
      </c>
    </row>
    <row r="90" spans="1:19" x14ac:dyDescent="0.25">
      <c r="A90">
        <v>100</v>
      </c>
      <c r="B90">
        <v>4596.9989999999998</v>
      </c>
      <c r="C90">
        <v>4608.241</v>
      </c>
      <c r="D90">
        <v>3831.348</v>
      </c>
      <c r="E90">
        <v>4307.8959999999997</v>
      </c>
      <c r="F90">
        <v>4063.9</v>
      </c>
      <c r="H90" s="2">
        <f t="shared" si="4"/>
        <v>4281.6768000000002</v>
      </c>
      <c r="I90" s="2">
        <f t="shared" si="5"/>
        <v>151.15926629069085</v>
      </c>
      <c r="K90">
        <v>100</v>
      </c>
      <c r="L90">
        <v>4937.4759999999997</v>
      </c>
      <c r="M90">
        <v>4638.3100000000004</v>
      </c>
      <c r="N90">
        <v>3974.97</v>
      </c>
      <c r="O90">
        <v>4871.7929999999997</v>
      </c>
      <c r="P90">
        <v>4185.5259999999998</v>
      </c>
      <c r="R90" s="3">
        <f t="shared" si="6"/>
        <v>4521.6149999999998</v>
      </c>
      <c r="S90" s="3">
        <f t="shared" si="7"/>
        <v>189.86301614269163</v>
      </c>
    </row>
    <row r="91" spans="1:19" x14ac:dyDescent="0.25">
      <c r="A91">
        <v>101.25</v>
      </c>
      <c r="B91">
        <v>4405.6239999999998</v>
      </c>
      <c r="C91">
        <v>4434.5029999999997</v>
      </c>
      <c r="D91">
        <v>3650.2220000000002</v>
      </c>
      <c r="E91">
        <v>4129.5190000000002</v>
      </c>
      <c r="F91">
        <v>3909.3040000000001</v>
      </c>
      <c r="H91" s="2">
        <f t="shared" si="4"/>
        <v>4105.8344000000006</v>
      </c>
      <c r="I91" s="2">
        <f t="shared" si="5"/>
        <v>149.10812692962102</v>
      </c>
      <c r="K91">
        <v>101.25</v>
      </c>
      <c r="L91">
        <v>4761.1329999999998</v>
      </c>
      <c r="M91">
        <v>4470.7089999999998</v>
      </c>
      <c r="N91">
        <v>3797.1129999999998</v>
      </c>
      <c r="O91">
        <v>4652.9759999999997</v>
      </c>
      <c r="P91">
        <v>4002.2890000000002</v>
      </c>
      <c r="R91" s="3">
        <f t="shared" si="6"/>
        <v>4336.8440000000001</v>
      </c>
      <c r="S91" s="3">
        <f t="shared" si="7"/>
        <v>187.23207999111685</v>
      </c>
    </row>
    <row r="92" spans="1:19" x14ac:dyDescent="0.25">
      <c r="A92">
        <v>102.5</v>
      </c>
      <c r="B92">
        <v>3990.8209999999999</v>
      </c>
      <c r="C92">
        <v>4045.0129999999999</v>
      </c>
      <c r="D92">
        <v>3280.7130000000002</v>
      </c>
      <c r="E92">
        <v>3767.973</v>
      </c>
      <c r="F92">
        <v>3571.8710000000001</v>
      </c>
      <c r="H92" s="2">
        <f t="shared" si="4"/>
        <v>3731.2781999999997</v>
      </c>
      <c r="I92" s="2">
        <f t="shared" si="5"/>
        <v>140.63394913263292</v>
      </c>
      <c r="K92">
        <v>102.5</v>
      </c>
      <c r="L92">
        <v>4347.1099999999997</v>
      </c>
      <c r="M92">
        <v>4063.4569999999999</v>
      </c>
      <c r="N92">
        <v>3446.096</v>
      </c>
      <c r="O92">
        <v>4240.3869999999997</v>
      </c>
      <c r="P92">
        <v>3601.45</v>
      </c>
      <c r="R92" s="3">
        <f t="shared" si="6"/>
        <v>3939.7</v>
      </c>
      <c r="S92" s="3">
        <f t="shared" si="7"/>
        <v>177.44990087824783</v>
      </c>
    </row>
    <row r="93" spans="1:19" x14ac:dyDescent="0.25">
      <c r="A93">
        <v>103.75</v>
      </c>
      <c r="B93">
        <v>3439.6579999999999</v>
      </c>
      <c r="C93">
        <v>3591.694</v>
      </c>
      <c r="D93">
        <v>2843.8449999999998</v>
      </c>
      <c r="E93">
        <v>3326.5</v>
      </c>
      <c r="F93">
        <v>3134.8609999999999</v>
      </c>
      <c r="H93" s="2">
        <f t="shared" si="4"/>
        <v>3267.3116</v>
      </c>
      <c r="I93" s="2">
        <f t="shared" si="5"/>
        <v>129.47926715756466</v>
      </c>
      <c r="K93">
        <v>103.75</v>
      </c>
      <c r="L93">
        <v>3787.8820000000001</v>
      </c>
      <c r="M93">
        <v>3469.5430000000001</v>
      </c>
      <c r="N93">
        <v>3015.558</v>
      </c>
      <c r="O93">
        <v>3757.3009999999999</v>
      </c>
      <c r="P93">
        <v>3108.4</v>
      </c>
      <c r="R93" s="3">
        <f t="shared" si="6"/>
        <v>3427.7368000000001</v>
      </c>
      <c r="S93" s="3">
        <f t="shared" si="7"/>
        <v>159.98941220699575</v>
      </c>
    </row>
    <row r="94" spans="1:19" x14ac:dyDescent="0.25">
      <c r="A94">
        <v>105</v>
      </c>
      <c r="B94">
        <v>2966.5360000000001</v>
      </c>
      <c r="C94">
        <v>3210.9</v>
      </c>
      <c r="D94">
        <v>2464.2020000000002</v>
      </c>
      <c r="E94">
        <v>2968.4690000000001</v>
      </c>
      <c r="F94">
        <v>2752.5160000000001</v>
      </c>
      <c r="H94" s="2">
        <f t="shared" si="4"/>
        <v>2872.5245999999997</v>
      </c>
      <c r="I94" s="2">
        <f t="shared" si="5"/>
        <v>125.23393954739265</v>
      </c>
      <c r="K94">
        <v>105</v>
      </c>
      <c r="L94">
        <v>3299.62</v>
      </c>
      <c r="M94">
        <v>2964.3449999999998</v>
      </c>
      <c r="N94">
        <v>2634.64</v>
      </c>
      <c r="O94">
        <v>3343.402</v>
      </c>
      <c r="P94">
        <v>2688.77</v>
      </c>
      <c r="R94" s="3">
        <f t="shared" si="6"/>
        <v>2986.1554000000001</v>
      </c>
      <c r="S94" s="3">
        <f t="shared" si="7"/>
        <v>148.04763334535275</v>
      </c>
    </row>
    <row r="95" spans="1:19" x14ac:dyDescent="0.25">
      <c r="A95">
        <v>106.25</v>
      </c>
      <c r="B95">
        <v>2696.2869999999998</v>
      </c>
      <c r="C95">
        <v>2936.538</v>
      </c>
      <c r="D95">
        <v>2210.9270000000001</v>
      </c>
      <c r="E95">
        <v>2710.817</v>
      </c>
      <c r="F95">
        <v>2465.8560000000002</v>
      </c>
      <c r="H95" s="2">
        <f t="shared" si="4"/>
        <v>2604.085</v>
      </c>
      <c r="I95" s="2">
        <f t="shared" si="5"/>
        <v>123.30823071514726</v>
      </c>
      <c r="K95">
        <v>106.25</v>
      </c>
      <c r="L95">
        <v>3015.01</v>
      </c>
      <c r="M95">
        <v>2694.8270000000002</v>
      </c>
      <c r="N95">
        <v>2373.3690000000001</v>
      </c>
      <c r="O95">
        <v>3053.9839999999999</v>
      </c>
      <c r="P95">
        <v>2414.288</v>
      </c>
      <c r="R95" s="3">
        <f t="shared" si="6"/>
        <v>2710.2956000000004</v>
      </c>
      <c r="S95" s="3">
        <f t="shared" si="7"/>
        <v>143.58828164115548</v>
      </c>
    </row>
    <row r="96" spans="1:19" x14ac:dyDescent="0.25">
      <c r="A96">
        <v>107.5</v>
      </c>
      <c r="B96">
        <v>2476.8829999999998</v>
      </c>
      <c r="C96">
        <v>2714.4079999999999</v>
      </c>
      <c r="D96">
        <v>1994.9849999999999</v>
      </c>
      <c r="E96">
        <v>2488.7910000000002</v>
      </c>
      <c r="F96">
        <v>2240.5920000000001</v>
      </c>
      <c r="H96" s="2">
        <f t="shared" si="4"/>
        <v>2383.1318000000001</v>
      </c>
      <c r="I96" s="2">
        <f t="shared" si="5"/>
        <v>122.61170573538271</v>
      </c>
      <c r="K96">
        <v>107.5</v>
      </c>
      <c r="L96">
        <v>2792.873</v>
      </c>
      <c r="M96">
        <v>2480.3589999999999</v>
      </c>
      <c r="N96">
        <v>2169.4169999999999</v>
      </c>
      <c r="O96">
        <v>2803.3339999999998</v>
      </c>
      <c r="P96">
        <v>2188.1410000000001</v>
      </c>
      <c r="R96" s="3">
        <f t="shared" si="6"/>
        <v>2486.8247999999999</v>
      </c>
      <c r="S96" s="3">
        <f t="shared" si="7"/>
        <v>138.53611530225635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BRIGHT!OCT_RAW___\CO07\_dark_profiles_CO07_DARK</vt:lpstr>
      <vt:lpstr>BRIGHT!OCT_RAW___\CO07\_light_profiles_CO07_LIGHT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2019-11-17T03:36:28Z</dcterms:modified>
</cp:coreProperties>
</file>