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578\"/>
    </mc:Choice>
  </mc:AlternateContent>
  <xr:revisionPtr revIDLastSave="0" documentId="13_ncr:1_{36A8BB21-9A91-4136-ADF7-7539C089C7F4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16\_dark_profiles_CO16_DARK" localSheetId="0">BRIGHT!$A$2:$F$96</definedName>
    <definedName name="OCT_RAW___\CO16\_fovea_dark_profiles_CO16_DARK" localSheetId="0">BRIGHT!#REF!</definedName>
    <definedName name="OCT_RAW___\CO16\_fovea_light_profiles_CO16_LIGHT" localSheetId="0">BRIGHT!#REF!</definedName>
    <definedName name="OCT_RAW___\CO16\_light_profiles_CO16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F8DCE9-B055-4431-A604-9AE79D63F3BF}" name="[[[OCT RAW]]]\CO16\_dark_profiles_CO16_DARK" type="6" refreshedVersion="6" background="1" saveData="1">
    <textPr codePage="437" sourceFile="E:\[Documents]\[[[OCT RAW]]]\CO16\_dark_profiles_CO16_DARK.txt" space="1" consecutive="1">
      <textFields count="6">
        <textField/>
        <textField/>
        <textField/>
        <textField/>
        <textField/>
        <textField/>
      </textFields>
    </textPr>
  </connection>
  <connection id="2" xr16:uid="{DBA8CD7A-E059-4FBA-8CD7-E9F481F51CB0}" name="[[[OCT RAW]]]\CO16\_light_profiles_CO16_LIGHT" type="6" refreshedVersion="6" background="1" saveData="1">
    <textPr codePage="437" sourceFile="E:\[Documents]\[[[OCT RAW]]]\CO16\_light_profiles_CO16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<sst xmlns="http://schemas.openxmlformats.org/spreadsheetml/2006/main" count="12" uniqueCount="8">
  <si>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</si>
  <si>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</si>
  <si>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</si>
  <si>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</si>
  <si>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</si>
  <si>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</si>
  <si>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CO578_DARK</t>
  </si>
  <si>
    <t>CO578_LIGHT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</si>
</sst>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765.37980000000005</c:v>
                </c:pt>
                <c:pt idx="1">
                  <c:v>973.89420000000007</c:v>
                </c:pt>
                <c:pt idx="2">
                  <c:v>1432.1614</c:v>
                </c:pt>
                <c:pt idx="3">
                  <c:v>2013.6493999999998</c:v>
                </c:pt>
                <c:pt idx="4">
                  <c:v>2553.3136</c:v>
                </c:pt>
                <c:pt idx="5">
                  <c:v>3005.1184000000003</c:v>
                </c:pt>
                <c:pt idx="6">
                  <c:v>3243.1128000000003</c:v>
                </c:pt>
                <c:pt idx="7">
                  <c:v>3332.2118</c:v>
                </c:pt>
                <c:pt idx="8">
                  <c:v>3346.9332000000004</c:v>
                </c:pt>
                <c:pt idx="9">
                  <c:v>3264.8983999999996</c:v>
                </c:pt>
                <c:pt idx="10">
                  <c:v>3041.6925999999999</c:v>
                </c:pt>
                <c:pt idx="11">
                  <c:v>2662.1711999999998</c:v>
                </c:pt>
                <c:pt idx="12">
                  <c:v>2401.1708000000003</c:v>
                </c:pt>
                <c:pt idx="13">
                  <c:v>2268.5037999999995</c:v>
                </c:pt>
                <c:pt idx="14">
                  <c:v>2219.0382</c:v>
                </c:pt>
                <c:pt idx="15">
                  <c:v>2204.1736000000001</c:v>
                </c:pt>
                <c:pt idx="16">
                  <c:v>2202.7452000000003</c:v>
                </c:pt>
                <c:pt idx="17">
                  <c:v>2197.8478</c:v>
                </c:pt>
                <c:pt idx="18">
                  <c:v>2190.8322000000003</c:v>
                </c:pt>
                <c:pt idx="19">
                  <c:v>2190.6161999999999</c:v>
                </c:pt>
                <c:pt idx="20">
                  <c:v>2196.6396</c:v>
                </c:pt>
                <c:pt idx="21">
                  <c:v>2204.7328000000002</c:v>
                </c:pt>
                <c:pt idx="22">
                  <c:v>2227.3523999999998</c:v>
                </c:pt>
                <c:pt idx="23">
                  <c:v>2256.4479999999999</c:v>
                </c:pt>
                <c:pt idx="24">
                  <c:v>2277.3560000000002</c:v>
                </c:pt>
                <c:pt idx="25">
                  <c:v>2284.2882</c:v>
                </c:pt>
                <c:pt idx="26">
                  <c:v>2289.9442000000004</c:v>
                </c:pt>
                <c:pt idx="27">
                  <c:v>2308.8144000000002</c:v>
                </c:pt>
                <c:pt idx="28">
                  <c:v>2321.8174000000004</c:v>
                </c:pt>
                <c:pt idx="29">
                  <c:v>2319.5248000000001</c:v>
                </c:pt>
                <c:pt idx="30">
                  <c:v>2315.1498000000001</c:v>
                </c:pt>
                <c:pt idx="31">
                  <c:v>2278.5734000000002</c:v>
                </c:pt>
                <c:pt idx="32">
                  <c:v>2160.998</c:v>
                </c:pt>
                <c:pt idx="33">
                  <c:v>2007.6822</c:v>
                </c:pt>
                <c:pt idx="34">
                  <c:v>1853.5862000000002</c:v>
                </c:pt>
                <c:pt idx="35">
                  <c:v>1760.8670000000002</c:v>
                </c:pt>
                <c:pt idx="36">
                  <c:v>1721.9047999999998</c:v>
                </c:pt>
                <c:pt idx="37">
                  <c:v>1712.4864000000002</c:v>
                </c:pt>
                <c:pt idx="38">
                  <c:v>1720.4476</c:v>
                </c:pt>
                <c:pt idx="39">
                  <c:v>1751.6536000000001</c:v>
                </c:pt>
                <c:pt idx="40">
                  <c:v>1823.2813999999998</c:v>
                </c:pt>
                <c:pt idx="41">
                  <c:v>1923.3326000000002</c:v>
                </c:pt>
                <c:pt idx="42">
                  <c:v>2002.8656000000003</c:v>
                </c:pt>
                <c:pt idx="43">
                  <c:v>2041.6779999999999</c:v>
                </c:pt>
                <c:pt idx="44">
                  <c:v>2060.9265999999998</c:v>
                </c:pt>
                <c:pt idx="45">
                  <c:v>2077.2663999999995</c:v>
                </c:pt>
                <c:pt idx="46">
                  <c:v>2081.576</c:v>
                </c:pt>
                <c:pt idx="47">
                  <c:v>2061.7772</c:v>
                </c:pt>
                <c:pt idx="48">
                  <c:v>1992.9813999999999</c:v>
                </c:pt>
                <c:pt idx="49">
                  <c:v>1880.5013999999999</c:v>
                </c:pt>
                <c:pt idx="50">
                  <c:v>1754.0816</c:v>
                </c:pt>
                <c:pt idx="51">
                  <c:v>1653.0153999999998</c:v>
                </c:pt>
                <c:pt idx="52">
                  <c:v>1573.0382</c:v>
                </c:pt>
                <c:pt idx="53">
                  <c:v>1510.2593999999999</c:v>
                </c:pt>
                <c:pt idx="54">
                  <c:v>1462.1233999999999</c:v>
                </c:pt>
                <c:pt idx="55">
                  <c:v>1422.8098</c:v>
                </c:pt>
                <c:pt idx="56">
                  <c:v>1391.8984</c:v>
                </c:pt>
                <c:pt idx="57">
                  <c:v>1361.9094</c:v>
                </c:pt>
                <c:pt idx="58">
                  <c:v>1331.1494</c:v>
                </c:pt>
                <c:pt idx="59">
                  <c:v>1310.6774</c:v>
                </c:pt>
                <c:pt idx="60">
                  <c:v>1297.4426000000001</c:v>
                </c:pt>
                <c:pt idx="61">
                  <c:v>1286.4698000000001</c:v>
                </c:pt>
                <c:pt idx="62">
                  <c:v>1290.9182000000001</c:v>
                </c:pt>
                <c:pt idx="63">
                  <c:v>1378.4929999999999</c:v>
                </c:pt>
                <c:pt idx="64">
                  <c:v>1566.6815999999999</c:v>
                </c:pt>
                <c:pt idx="65">
                  <c:v>1660.2177999999999</c:v>
                </c:pt>
                <c:pt idx="66">
                  <c:v>1589.3190000000002</c:v>
                </c:pt>
                <c:pt idx="67">
                  <c:v>1483.3602000000003</c:v>
                </c:pt>
                <c:pt idx="68">
                  <c:v>1549.6990000000001</c:v>
                </c:pt>
                <c:pt idx="69">
                  <c:v>2045.7995999999998</c:v>
                </c:pt>
                <c:pt idx="70">
                  <c:v>2840.6145999999999</c:v>
                </c:pt>
                <c:pt idx="71">
                  <c:v>3503.4442000000004</c:v>
                </c:pt>
                <c:pt idx="72">
                  <c:v>3683.3642</c:v>
                </c:pt>
                <c:pt idx="73">
                  <c:v>3420.4682000000003</c:v>
                </c:pt>
                <c:pt idx="74">
                  <c:v>3084.0157999999997</c:v>
                </c:pt>
                <c:pt idx="75">
                  <c:v>3081.5857999999998</c:v>
                </c:pt>
                <c:pt idx="76">
                  <c:v>3270.6238000000003</c:v>
                </c:pt>
                <c:pt idx="77">
                  <c:v>3376.2117999999996</c:v>
                </c:pt>
                <c:pt idx="78">
                  <c:v>3242.9333999999999</c:v>
                </c:pt>
                <c:pt idx="79">
                  <c:v>3048.8368</c:v>
                </c:pt>
                <c:pt idx="80">
                  <c:v>3059.0476000000003</c:v>
                </c:pt>
                <c:pt idx="81">
                  <c:v>3298.9732000000004</c:v>
                </c:pt>
                <c:pt idx="82">
                  <c:v>3590.6944000000003</c:v>
                </c:pt>
                <c:pt idx="83">
                  <c:v>3721.1335999999997</c:v>
                </c:pt>
                <c:pt idx="84">
                  <c:v>3614.2177999999999</c:v>
                </c:pt>
                <c:pt idx="85">
                  <c:v>3358.3380000000006</c:v>
                </c:pt>
                <c:pt idx="86">
                  <c:v>2974.5803999999998</c:v>
                </c:pt>
                <c:pt idx="87">
                  <c:v>2612.136</c:v>
                </c:pt>
                <c:pt idx="88">
                  <c:v>2442.4962000000005</c:v>
                </c:pt>
                <c:pt idx="89">
                  <c:v>2393.8906000000002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822.4004000000001</c:v>
                </c:pt>
                <c:pt idx="1">
                  <c:v>1068.5884000000001</c:v>
                </c:pt>
                <c:pt idx="2">
                  <c:v>1557.2076</c:v>
                </c:pt>
                <c:pt idx="3">
                  <c:v>2193.8098</c:v>
                </c:pt>
                <c:pt idx="4">
                  <c:v>2815.1298000000002</c:v>
                </c:pt>
                <c:pt idx="5">
                  <c:v>3300.9204</c:v>
                </c:pt>
                <c:pt idx="6">
                  <c:v>3559.9294</c:v>
                </c:pt>
                <c:pt idx="7">
                  <c:v>3657.3792000000003</c:v>
                </c:pt>
                <c:pt idx="8">
                  <c:v>3671.8091999999997</c:v>
                </c:pt>
                <c:pt idx="9">
                  <c:v>3594.2896000000001</c:v>
                </c:pt>
                <c:pt idx="10">
                  <c:v>3368.1958</c:v>
                </c:pt>
                <c:pt idx="11">
                  <c:v>2955.2944000000002</c:v>
                </c:pt>
                <c:pt idx="12">
                  <c:v>2665.1169999999997</c:v>
                </c:pt>
                <c:pt idx="13">
                  <c:v>2527.6559999999999</c:v>
                </c:pt>
                <c:pt idx="14">
                  <c:v>2474.7097999999996</c:v>
                </c:pt>
                <c:pt idx="15">
                  <c:v>2457.2633999999998</c:v>
                </c:pt>
                <c:pt idx="16">
                  <c:v>2454.9912000000004</c:v>
                </c:pt>
                <c:pt idx="17">
                  <c:v>2447.7656000000002</c:v>
                </c:pt>
                <c:pt idx="18">
                  <c:v>2444.5542</c:v>
                </c:pt>
                <c:pt idx="19">
                  <c:v>2448.15</c:v>
                </c:pt>
                <c:pt idx="20">
                  <c:v>2453.4517999999998</c:v>
                </c:pt>
                <c:pt idx="21">
                  <c:v>2461.6841999999997</c:v>
                </c:pt>
                <c:pt idx="22">
                  <c:v>2480.5373999999997</c:v>
                </c:pt>
                <c:pt idx="23">
                  <c:v>2509.0488</c:v>
                </c:pt>
                <c:pt idx="24">
                  <c:v>2538.1719999999996</c:v>
                </c:pt>
                <c:pt idx="25">
                  <c:v>2550.3190000000004</c:v>
                </c:pt>
                <c:pt idx="26">
                  <c:v>2564.9827999999998</c:v>
                </c:pt>
                <c:pt idx="27">
                  <c:v>2593.1030000000001</c:v>
                </c:pt>
                <c:pt idx="28">
                  <c:v>2605.2039999999997</c:v>
                </c:pt>
                <c:pt idx="29">
                  <c:v>2602.1675999999998</c:v>
                </c:pt>
                <c:pt idx="30">
                  <c:v>2595.4041999999999</c:v>
                </c:pt>
                <c:pt idx="31">
                  <c:v>2561.21</c:v>
                </c:pt>
                <c:pt idx="32">
                  <c:v>2438.6464000000001</c:v>
                </c:pt>
                <c:pt idx="33">
                  <c:v>2257.1874000000003</c:v>
                </c:pt>
                <c:pt idx="34">
                  <c:v>2077.1980000000003</c:v>
                </c:pt>
                <c:pt idx="35">
                  <c:v>1975.5686000000001</c:v>
                </c:pt>
                <c:pt idx="36">
                  <c:v>1935.2666000000002</c:v>
                </c:pt>
                <c:pt idx="37">
                  <c:v>1925.1950000000002</c:v>
                </c:pt>
                <c:pt idx="38">
                  <c:v>1934.9202</c:v>
                </c:pt>
                <c:pt idx="39">
                  <c:v>1965.7139999999999</c:v>
                </c:pt>
                <c:pt idx="40">
                  <c:v>2035.8751999999999</c:v>
                </c:pt>
                <c:pt idx="41">
                  <c:v>2141.7791999999999</c:v>
                </c:pt>
                <c:pt idx="42">
                  <c:v>2229.6428000000001</c:v>
                </c:pt>
                <c:pt idx="43">
                  <c:v>2269.3167999999996</c:v>
                </c:pt>
                <c:pt idx="44">
                  <c:v>2292.4458000000004</c:v>
                </c:pt>
                <c:pt idx="45">
                  <c:v>2312.4954000000002</c:v>
                </c:pt>
                <c:pt idx="46">
                  <c:v>2320.9344000000001</c:v>
                </c:pt>
                <c:pt idx="47">
                  <c:v>2310.6956</c:v>
                </c:pt>
                <c:pt idx="48">
                  <c:v>2260.473</c:v>
                </c:pt>
                <c:pt idx="49">
                  <c:v>2156.0881999999997</c:v>
                </c:pt>
                <c:pt idx="50">
                  <c:v>2027.8584000000003</c:v>
                </c:pt>
                <c:pt idx="51">
                  <c:v>1910.0637999999999</c:v>
                </c:pt>
                <c:pt idx="52">
                  <c:v>1808.8154</c:v>
                </c:pt>
                <c:pt idx="53">
                  <c:v>1735.7004000000002</c:v>
                </c:pt>
                <c:pt idx="54">
                  <c:v>1672.3820000000001</c:v>
                </c:pt>
                <c:pt idx="55">
                  <c:v>1619.3557999999998</c:v>
                </c:pt>
                <c:pt idx="56">
                  <c:v>1578.8634</c:v>
                </c:pt>
                <c:pt idx="57">
                  <c:v>1534.2531999999999</c:v>
                </c:pt>
                <c:pt idx="58">
                  <c:v>1490.5720000000001</c:v>
                </c:pt>
                <c:pt idx="59">
                  <c:v>1464.8232</c:v>
                </c:pt>
                <c:pt idx="60">
                  <c:v>1449.9144000000001</c:v>
                </c:pt>
                <c:pt idx="61">
                  <c:v>1432.9461999999999</c:v>
                </c:pt>
                <c:pt idx="62">
                  <c:v>1441.0540000000001</c:v>
                </c:pt>
                <c:pt idx="63">
                  <c:v>1532.7026000000001</c:v>
                </c:pt>
                <c:pt idx="64">
                  <c:v>1721.5924</c:v>
                </c:pt>
                <c:pt idx="65">
                  <c:v>1808.855</c:v>
                </c:pt>
                <c:pt idx="66">
                  <c:v>1743.8406000000002</c:v>
                </c:pt>
                <c:pt idx="67">
                  <c:v>1650.7501999999999</c:v>
                </c:pt>
                <c:pt idx="68">
                  <c:v>1771.3072</c:v>
                </c:pt>
                <c:pt idx="69">
                  <c:v>2304.7775999999999</c:v>
                </c:pt>
                <c:pt idx="70">
                  <c:v>3137.4744000000001</c:v>
                </c:pt>
                <c:pt idx="71">
                  <c:v>3784.1958</c:v>
                </c:pt>
                <c:pt idx="72">
                  <c:v>3957.9748</c:v>
                </c:pt>
                <c:pt idx="73">
                  <c:v>3684.5454</c:v>
                </c:pt>
                <c:pt idx="74">
                  <c:v>3285.9827999999993</c:v>
                </c:pt>
                <c:pt idx="75">
                  <c:v>3204.7836000000002</c:v>
                </c:pt>
                <c:pt idx="76">
                  <c:v>3354.951</c:v>
                </c:pt>
                <c:pt idx="77">
                  <c:v>3405.5677999999998</c:v>
                </c:pt>
                <c:pt idx="78">
                  <c:v>3290.3985999999995</c:v>
                </c:pt>
                <c:pt idx="79">
                  <c:v>3204.8852000000002</c:v>
                </c:pt>
                <c:pt idx="80">
                  <c:v>3365.1788000000001</c:v>
                </c:pt>
                <c:pt idx="81">
                  <c:v>3692.8907999999997</c:v>
                </c:pt>
                <c:pt idx="82">
                  <c:v>4007.7167999999997</c:v>
                </c:pt>
                <c:pt idx="83">
                  <c:v>4141.8238000000001</c:v>
                </c:pt>
                <c:pt idx="84">
                  <c:v>4018.8914000000004</c:v>
                </c:pt>
                <c:pt idx="85">
                  <c:v>3726.2136</c:v>
                </c:pt>
                <c:pt idx="86">
                  <c:v>3276.6839999999997</c:v>
                </c:pt>
                <c:pt idx="87">
                  <c:v>2844.6186000000002</c:v>
                </c:pt>
                <c:pt idx="88">
                  <c:v>2652.2856000000002</c:v>
                </c:pt>
                <c:pt idx="89">
                  <c:v>2603.4508000000001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6\_dark_profiles_CO16_DARK" connectionId="1" xr16:uid="{99A9105F-DA4D-45C9-B597-49C62DFC8B6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6\_light_profiles_CO16_LIGHT" connectionId="2" xr16:uid="{1445CBF6-DFDC-4DAD-B4F1-4816BDD4BEB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3" sqref="D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ht="15.75" customHeight="1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-2.8000000000000001E-2</v>
      </c>
      <c r="C3">
        <v>0.98499999999999999</v>
      </c>
      <c r="D3">
        <v>0.56799999999999995</v>
      </c>
      <c r="E3">
        <v>5.5E-2</v>
      </c>
      <c r="F3">
        <v>1.099</v>
      </c>
      <c r="K3" t="s">
        <v>0</v>
      </c>
      <c r="L3">
        <v>-0.13300000000000001</v>
      </c>
      <c r="M3">
        <v>0.153</v>
      </c>
      <c r="N3">
        <v>-0.65600000000000003</v>
      </c>
      <c r="O3">
        <v>0.24299999999999999</v>
      </c>
      <c r="P3">
        <v>-1.28</v>
      </c>
    </row>
    <row r="4" spans="1:19" x14ac:dyDescent="0.25">
      <c r="A4" t="s">
        <v>1</v>
      </c>
      <c r="B4">
        <v>305.06099999999998</v>
      </c>
      <c r="C4">
        <v>303.40899999999999</v>
      </c>
      <c r="D4">
        <v>304.30500000000001</v>
      </c>
      <c r="E4">
        <v>306.33100000000002</v>
      </c>
      <c r="F4">
        <v>304.02</v>
      </c>
      <c r="H4" s="2">
        <f>AVERAGE(B4:F4)</f>
        <v>304.62520000000006</v>
      </c>
      <c r="I4" s="2">
        <f>STDEV(B4:F4)/SQRT(COUNT(B4:F4))</f>
        <v>0.50237499937795849</v>
      </c>
      <c r="K4" t="s">
        <v>1</v>
      </c>
      <c r="L4">
        <v>304.858</v>
      </c>
      <c r="M4">
        <v>303.95800000000003</v>
      </c>
      <c r="N4">
        <v>303.91399999999999</v>
      </c>
      <c r="O4">
        <v>304.14</v>
      </c>
      <c r="P4">
        <v>306.17099999999999</v>
      </c>
      <c r="R4" s="3">
        <f>AVERAGE(L4:P4)</f>
        <v>304.60820000000001</v>
      </c>
      <c r="S4" s="3">
        <f>STDEV(L4:P4)/SQRT(COUNT(L4:P4))</f>
        <v>0.4259476963196287</v>
      </c>
    </row>
    <row r="5" spans="1:19" x14ac:dyDescent="0.25">
      <c r="A5" t="s">
        <v>2</v>
      </c>
      <c r="B5">
        <v>69.56</v>
      </c>
      <c r="C5">
        <v>68.37</v>
      </c>
      <c r="D5">
        <v>68.774000000000001</v>
      </c>
      <c r="E5">
        <v>70.254000000000005</v>
      </c>
      <c r="F5">
        <v>69.218999999999994</v>
      </c>
      <c r="H5" s="2">
        <f t="shared" ref="H5:H68" si="0">AVERAGE(B5:F5)</f>
        <v>69.235399999999998</v>
      </c>
      <c r="I5" s="2">
        <f t="shared" ref="I5:I68" si="1">STDEV(B5:F5)/SQRT(COUNT(B5:F5))</f>
        <v>0.32442157758077705</v>
      </c>
      <c r="K5" t="s">
        <v>2</v>
      </c>
      <c r="L5">
        <v>69.41</v>
      </c>
      <c r="M5">
        <v>68.736000000000004</v>
      </c>
      <c r="N5">
        <v>68.778999999999996</v>
      </c>
      <c r="O5">
        <v>68.792000000000002</v>
      </c>
      <c r="P5">
        <v>69.486000000000004</v>
      </c>
      <c r="R5" s="3">
        <f t="shared" ref="R5:R68" si="2">AVERAGE(L5:P5)</f>
        <v>69.040599999999998</v>
      </c>
      <c r="S5" s="3">
        <f t="shared" ref="S5:S68" si="3">STDEV(L5:P5)/SQRT(COUNT(L5:P5))</f>
        <v>0.16701125710562142</v>
      </c>
    </row>
    <row r="6" spans="1:19" x14ac:dyDescent="0.25">
      <c r="A6" t="s">
        <v>3</v>
      </c>
      <c r="B6">
        <v>29.986000000000001</v>
      </c>
      <c r="C6">
        <v>29.645</v>
      </c>
      <c r="D6">
        <v>30.632999999999999</v>
      </c>
      <c r="E6">
        <v>32.777000000000001</v>
      </c>
      <c r="F6">
        <v>30.713000000000001</v>
      </c>
      <c r="H6" s="2">
        <f t="shared" si="0"/>
        <v>30.750799999999998</v>
      </c>
      <c r="I6" s="2">
        <f t="shared" si="1"/>
        <v>0.54444948342339372</v>
      </c>
      <c r="K6" t="s">
        <v>3</v>
      </c>
      <c r="L6">
        <v>30.404</v>
      </c>
      <c r="M6">
        <v>29.446000000000002</v>
      </c>
      <c r="N6">
        <v>30.824999999999999</v>
      </c>
      <c r="O6">
        <v>29.26</v>
      </c>
      <c r="P6">
        <v>29.675999999999998</v>
      </c>
      <c r="R6" s="3">
        <f t="shared" si="2"/>
        <v>29.922199999999997</v>
      </c>
      <c r="S6" s="3">
        <f t="shared" si="3"/>
        <v>0.29774727538635815</v>
      </c>
    </row>
    <row r="7" spans="1:19" x14ac:dyDescent="0.25">
      <c r="A7">
        <v>-3.75</v>
      </c>
      <c r="B7">
        <v>759.42499999999995</v>
      </c>
      <c r="C7">
        <v>824.798</v>
      </c>
      <c r="D7">
        <v>718.99199999999996</v>
      </c>
      <c r="E7">
        <v>797.07799999999997</v>
      </c>
      <c r="F7">
        <v>726.60599999999999</v>
      </c>
      <c r="H7" s="2">
        <f t="shared" si="0"/>
        <v>765.37980000000005</v>
      </c>
      <c r="I7" s="2">
        <f t="shared" si="1"/>
        <v>20.280524614516267</v>
      </c>
      <c r="K7">
        <v>-3.75</v>
      </c>
      <c r="L7">
        <v>695.18299999999999</v>
      </c>
      <c r="M7">
        <v>885.05700000000002</v>
      </c>
      <c r="N7">
        <v>907.97699999999998</v>
      </c>
      <c r="O7">
        <v>781.01599999999996</v>
      </c>
      <c r="P7">
        <v>842.76900000000001</v>
      </c>
      <c r="R7" s="3">
        <f t="shared" si="2"/>
        <v>822.4004000000001</v>
      </c>
      <c r="S7" s="3">
        <f t="shared" si="3"/>
        <v>38.445428390902343</v>
      </c>
    </row>
    <row r="8" spans="1:19" x14ac:dyDescent="0.25">
      <c r="A8">
        <v>-2.5</v>
      </c>
      <c r="B8">
        <v>1034.346</v>
      </c>
      <c r="C8">
        <v>1089.819</v>
      </c>
      <c r="D8">
        <v>912.17200000000003</v>
      </c>
      <c r="E8">
        <v>923.59</v>
      </c>
      <c r="F8">
        <v>909.54399999999998</v>
      </c>
      <c r="H8" s="2">
        <f t="shared" si="0"/>
        <v>973.89420000000007</v>
      </c>
      <c r="I8" s="2">
        <f t="shared" si="1"/>
        <v>37.130896924798343</v>
      </c>
      <c r="K8">
        <v>-2.5</v>
      </c>
      <c r="L8">
        <v>937.57399999999996</v>
      </c>
      <c r="M8">
        <v>1130.05</v>
      </c>
      <c r="N8">
        <v>1222.845</v>
      </c>
      <c r="O8">
        <v>969.50599999999997</v>
      </c>
      <c r="P8">
        <v>1082.9670000000001</v>
      </c>
      <c r="R8" s="3">
        <f t="shared" si="2"/>
        <v>1068.5884000000001</v>
      </c>
      <c r="S8" s="3">
        <f t="shared" si="3"/>
        <v>52.326602246467338</v>
      </c>
    </row>
    <row r="9" spans="1:19" x14ac:dyDescent="0.25">
      <c r="A9">
        <v>-1.25</v>
      </c>
      <c r="B9">
        <v>1509.7909999999999</v>
      </c>
      <c r="C9">
        <v>1580.4259999999999</v>
      </c>
      <c r="D9">
        <v>1316.7370000000001</v>
      </c>
      <c r="E9">
        <v>1372.6420000000001</v>
      </c>
      <c r="F9">
        <v>1381.211</v>
      </c>
      <c r="H9" s="2">
        <f t="shared" si="0"/>
        <v>1432.1614</v>
      </c>
      <c r="I9" s="2">
        <f t="shared" si="1"/>
        <v>48.718600534703334</v>
      </c>
      <c r="K9">
        <v>-1.25</v>
      </c>
      <c r="L9">
        <v>1372.1389999999999</v>
      </c>
      <c r="M9">
        <v>1653.94</v>
      </c>
      <c r="N9">
        <v>1779.7360000000001</v>
      </c>
      <c r="O9">
        <v>1387.6130000000001</v>
      </c>
      <c r="P9">
        <v>1592.61</v>
      </c>
      <c r="R9" s="3">
        <f t="shared" si="2"/>
        <v>1557.2076</v>
      </c>
      <c r="S9" s="3">
        <f t="shared" si="3"/>
        <v>78.467219587928014</v>
      </c>
    </row>
    <row r="10" spans="1:19" x14ac:dyDescent="0.25">
      <c r="A10">
        <v>0</v>
      </c>
      <c r="B10">
        <v>2065.3229999999999</v>
      </c>
      <c r="C10">
        <v>2206.739</v>
      </c>
      <c r="D10">
        <v>1828.289</v>
      </c>
      <c r="E10">
        <v>1997.183</v>
      </c>
      <c r="F10">
        <v>1970.713</v>
      </c>
      <c r="H10" s="2">
        <f t="shared" si="0"/>
        <v>2013.6493999999998</v>
      </c>
      <c r="I10" s="2">
        <f t="shared" si="1"/>
        <v>61.817032129988249</v>
      </c>
      <c r="K10">
        <v>0</v>
      </c>
      <c r="L10">
        <v>1946.883</v>
      </c>
      <c r="M10">
        <v>2286.384</v>
      </c>
      <c r="N10">
        <v>2527.19</v>
      </c>
      <c r="O10">
        <v>1954.9280000000001</v>
      </c>
      <c r="P10">
        <v>2253.6640000000002</v>
      </c>
      <c r="R10" s="3">
        <f t="shared" si="2"/>
        <v>2193.8098</v>
      </c>
      <c r="S10" s="3">
        <f t="shared" si="3"/>
        <v>109.84812798696206</v>
      </c>
    </row>
    <row r="11" spans="1:19" x14ac:dyDescent="0.25">
      <c r="A11">
        <v>1.25</v>
      </c>
      <c r="B11">
        <v>2570.2579999999998</v>
      </c>
      <c r="C11">
        <v>2797.0540000000001</v>
      </c>
      <c r="D11">
        <v>2353.009</v>
      </c>
      <c r="E11">
        <v>2525.5529999999999</v>
      </c>
      <c r="F11">
        <v>2520.694</v>
      </c>
      <c r="H11" s="2">
        <f t="shared" si="0"/>
        <v>2553.3136</v>
      </c>
      <c r="I11" s="2">
        <f t="shared" si="1"/>
        <v>71.292747625968246</v>
      </c>
      <c r="K11">
        <v>1.25</v>
      </c>
      <c r="L11">
        <v>2512.395</v>
      </c>
      <c r="M11">
        <v>2902.277</v>
      </c>
      <c r="N11">
        <v>3235.4940000000001</v>
      </c>
      <c r="O11">
        <v>2512.4549999999999</v>
      </c>
      <c r="P11">
        <v>2913.0279999999998</v>
      </c>
      <c r="R11" s="3">
        <f t="shared" si="2"/>
        <v>2815.1298000000002</v>
      </c>
      <c r="S11" s="3">
        <f t="shared" si="3"/>
        <v>137.3217292271693</v>
      </c>
    </row>
    <row r="12" spans="1:19" x14ac:dyDescent="0.25">
      <c r="A12">
        <v>2.5</v>
      </c>
      <c r="B12">
        <v>3045.63</v>
      </c>
      <c r="C12">
        <v>3304.2890000000002</v>
      </c>
      <c r="D12">
        <v>2731.5079999999998</v>
      </c>
      <c r="E12">
        <v>2946.518</v>
      </c>
      <c r="F12">
        <v>2997.6469999999999</v>
      </c>
      <c r="H12" s="2">
        <f t="shared" si="0"/>
        <v>3005.1184000000003</v>
      </c>
      <c r="I12" s="2">
        <f t="shared" si="1"/>
        <v>92.058871741185342</v>
      </c>
      <c r="K12">
        <v>2.5</v>
      </c>
      <c r="L12">
        <v>2970.0839999999998</v>
      </c>
      <c r="M12">
        <v>3419.9369999999999</v>
      </c>
      <c r="N12">
        <v>3825.4209999999998</v>
      </c>
      <c r="O12">
        <v>2901.0590000000002</v>
      </c>
      <c r="P12">
        <v>3388.1010000000001</v>
      </c>
      <c r="R12" s="3">
        <f t="shared" si="2"/>
        <v>3300.9204</v>
      </c>
      <c r="S12" s="3">
        <f t="shared" si="3"/>
        <v>168.25696869182062</v>
      </c>
    </row>
    <row r="13" spans="1:19" x14ac:dyDescent="0.25">
      <c r="A13">
        <v>3.75</v>
      </c>
      <c r="B13">
        <v>3307.4319999999998</v>
      </c>
      <c r="C13">
        <v>3569.3310000000001</v>
      </c>
      <c r="D13">
        <v>2951.1880000000001</v>
      </c>
      <c r="E13">
        <v>3167.3609999999999</v>
      </c>
      <c r="F13">
        <v>3220.252</v>
      </c>
      <c r="H13" s="2">
        <f t="shared" si="0"/>
        <v>3243.1128000000003</v>
      </c>
      <c r="I13" s="2">
        <f t="shared" si="1"/>
        <v>100.50778918442093</v>
      </c>
      <c r="K13">
        <v>3.75</v>
      </c>
      <c r="L13">
        <v>3222.4459999999999</v>
      </c>
      <c r="M13">
        <v>3667.9050000000002</v>
      </c>
      <c r="N13">
        <v>4143.6080000000002</v>
      </c>
      <c r="O13">
        <v>3107.2359999999999</v>
      </c>
      <c r="P13">
        <v>3658.4520000000002</v>
      </c>
      <c r="R13" s="3">
        <f t="shared" si="2"/>
        <v>3559.9294</v>
      </c>
      <c r="S13" s="3">
        <f t="shared" si="3"/>
        <v>184.50914620733619</v>
      </c>
    </row>
    <row r="14" spans="1:19" x14ac:dyDescent="0.25">
      <c r="A14">
        <v>5</v>
      </c>
      <c r="B14">
        <v>3374.8389999999999</v>
      </c>
      <c r="C14">
        <v>3710.596</v>
      </c>
      <c r="D14">
        <v>3051.7689999999998</v>
      </c>
      <c r="E14">
        <v>3212.6709999999998</v>
      </c>
      <c r="F14">
        <v>3311.1840000000002</v>
      </c>
      <c r="H14" s="2">
        <f t="shared" si="0"/>
        <v>3332.2118</v>
      </c>
      <c r="I14" s="2">
        <f t="shared" si="1"/>
        <v>109.17234455181406</v>
      </c>
      <c r="K14">
        <v>5</v>
      </c>
      <c r="L14">
        <v>3322.0520000000001</v>
      </c>
      <c r="M14">
        <v>3766.7510000000002</v>
      </c>
      <c r="N14">
        <v>4235.1610000000001</v>
      </c>
      <c r="O14">
        <v>3207.127</v>
      </c>
      <c r="P14">
        <v>3755.8049999999998</v>
      </c>
      <c r="R14" s="3">
        <f t="shared" si="2"/>
        <v>3657.3792000000003</v>
      </c>
      <c r="S14" s="3">
        <f t="shared" si="3"/>
        <v>183.11922507164559</v>
      </c>
    </row>
    <row r="15" spans="1:19" x14ac:dyDescent="0.25">
      <c r="A15">
        <v>6.25</v>
      </c>
      <c r="B15">
        <v>3391.067</v>
      </c>
      <c r="C15">
        <v>3748.3679999999999</v>
      </c>
      <c r="D15">
        <v>3062.7979999999998</v>
      </c>
      <c r="E15">
        <v>3190.5360000000001</v>
      </c>
      <c r="F15">
        <v>3341.8969999999999</v>
      </c>
      <c r="H15" s="2">
        <f t="shared" si="0"/>
        <v>3346.9332000000004</v>
      </c>
      <c r="I15" s="2">
        <f t="shared" si="1"/>
        <v>115.82658380328758</v>
      </c>
      <c r="K15">
        <v>6.25</v>
      </c>
      <c r="L15">
        <v>3357.3739999999998</v>
      </c>
      <c r="M15">
        <v>3778.9609999999998</v>
      </c>
      <c r="N15">
        <v>4246.4650000000001</v>
      </c>
      <c r="O15">
        <v>3209.2159999999999</v>
      </c>
      <c r="P15">
        <v>3767.03</v>
      </c>
      <c r="R15" s="3">
        <f t="shared" si="2"/>
        <v>3671.8091999999997</v>
      </c>
      <c r="S15" s="3">
        <f t="shared" si="3"/>
        <v>182.15923818939299</v>
      </c>
    </row>
    <row r="16" spans="1:19" x14ac:dyDescent="0.25">
      <c r="A16">
        <v>7.5</v>
      </c>
      <c r="B16">
        <v>3305.6289999999999</v>
      </c>
      <c r="C16">
        <v>3657.6149999999998</v>
      </c>
      <c r="D16">
        <v>2974.049</v>
      </c>
      <c r="E16">
        <v>3113.24</v>
      </c>
      <c r="F16">
        <v>3273.9589999999998</v>
      </c>
      <c r="H16" s="2">
        <f t="shared" si="0"/>
        <v>3264.8983999999996</v>
      </c>
      <c r="I16" s="2">
        <f t="shared" si="1"/>
        <v>114.79569851157311</v>
      </c>
      <c r="K16">
        <v>7.5</v>
      </c>
      <c r="L16">
        <v>3290.7809999999999</v>
      </c>
      <c r="M16">
        <v>3720.866</v>
      </c>
      <c r="N16">
        <v>4143.7870000000003</v>
      </c>
      <c r="O16">
        <v>3121.8629999999998</v>
      </c>
      <c r="P16">
        <v>3694.1509999999998</v>
      </c>
      <c r="R16" s="3">
        <f t="shared" si="2"/>
        <v>3594.2896000000001</v>
      </c>
      <c r="S16" s="3">
        <f t="shared" si="3"/>
        <v>179.33845648872975</v>
      </c>
    </row>
    <row r="17" spans="1:19" x14ac:dyDescent="0.25">
      <c r="A17">
        <v>8.75</v>
      </c>
      <c r="B17">
        <v>3079.8910000000001</v>
      </c>
      <c r="C17">
        <v>3396.4969999999998</v>
      </c>
      <c r="D17">
        <v>2761.3359999999998</v>
      </c>
      <c r="E17">
        <v>2901.35</v>
      </c>
      <c r="F17">
        <v>3069.3890000000001</v>
      </c>
      <c r="H17" s="2">
        <f t="shared" si="0"/>
        <v>3041.6925999999999</v>
      </c>
      <c r="I17" s="2">
        <f t="shared" si="1"/>
        <v>106.39742457719548</v>
      </c>
      <c r="K17">
        <v>8.75</v>
      </c>
      <c r="L17">
        <v>3108.5160000000001</v>
      </c>
      <c r="M17">
        <v>3476.7959999999998</v>
      </c>
      <c r="N17">
        <v>3881.556</v>
      </c>
      <c r="O17">
        <v>2938.069</v>
      </c>
      <c r="P17">
        <v>3436.0419999999999</v>
      </c>
      <c r="R17" s="3">
        <f t="shared" si="2"/>
        <v>3368.1958</v>
      </c>
      <c r="S17" s="3">
        <f t="shared" si="3"/>
        <v>163.15306737000074</v>
      </c>
    </row>
    <row r="18" spans="1:19" x14ac:dyDescent="0.25">
      <c r="A18">
        <v>10</v>
      </c>
      <c r="B18">
        <v>2701.8969999999999</v>
      </c>
      <c r="C18">
        <v>2962.0279999999998</v>
      </c>
      <c r="D18">
        <v>2427.9609999999998</v>
      </c>
      <c r="E18">
        <v>2529.3229999999999</v>
      </c>
      <c r="F18">
        <v>2689.6469999999999</v>
      </c>
      <c r="H18" s="2">
        <f t="shared" si="0"/>
        <v>2662.1711999999998</v>
      </c>
      <c r="I18" s="2">
        <f t="shared" si="1"/>
        <v>90.760735261675791</v>
      </c>
      <c r="K18">
        <v>10</v>
      </c>
      <c r="L18">
        <v>2700.7060000000001</v>
      </c>
      <c r="M18">
        <v>3037.6550000000002</v>
      </c>
      <c r="N18">
        <v>3420.0419999999999</v>
      </c>
      <c r="O18">
        <v>2600.9589999999998</v>
      </c>
      <c r="P18">
        <v>3017.11</v>
      </c>
      <c r="R18" s="3">
        <f t="shared" si="2"/>
        <v>2955.2944000000002</v>
      </c>
      <c r="S18" s="3">
        <f t="shared" si="3"/>
        <v>144.38898809279053</v>
      </c>
    </row>
    <row r="19" spans="1:19" x14ac:dyDescent="0.25">
      <c r="A19">
        <v>11.25</v>
      </c>
      <c r="B19">
        <v>2425.2280000000001</v>
      </c>
      <c r="C19">
        <v>2668.0520000000001</v>
      </c>
      <c r="D19">
        <v>2211.0929999999998</v>
      </c>
      <c r="E19">
        <v>2284.7379999999998</v>
      </c>
      <c r="F19">
        <v>2416.7429999999999</v>
      </c>
      <c r="H19" s="2">
        <f t="shared" si="0"/>
        <v>2401.1708000000003</v>
      </c>
      <c r="I19" s="2">
        <f t="shared" si="1"/>
        <v>78.01698025648011</v>
      </c>
      <c r="K19">
        <v>11.25</v>
      </c>
      <c r="L19">
        <v>2428.6390000000001</v>
      </c>
      <c r="M19">
        <v>2738.7660000000001</v>
      </c>
      <c r="N19">
        <v>3082.3629999999998</v>
      </c>
      <c r="O19">
        <v>2349.4070000000002</v>
      </c>
      <c r="P19">
        <v>2726.41</v>
      </c>
      <c r="R19" s="3">
        <f t="shared" si="2"/>
        <v>2665.1169999999997</v>
      </c>
      <c r="S19" s="3">
        <f t="shared" si="3"/>
        <v>130.16717715115428</v>
      </c>
    </row>
    <row r="20" spans="1:19" x14ac:dyDescent="0.25">
      <c r="A20">
        <v>12.5</v>
      </c>
      <c r="B20">
        <v>2294.9830000000002</v>
      </c>
      <c r="C20">
        <v>2518.41</v>
      </c>
      <c r="D20">
        <v>2087.105</v>
      </c>
      <c r="E20">
        <v>2159.9609999999998</v>
      </c>
      <c r="F20">
        <v>2282.06</v>
      </c>
      <c r="H20" s="2">
        <f t="shared" si="0"/>
        <v>2268.5037999999995</v>
      </c>
      <c r="I20" s="2">
        <f t="shared" si="1"/>
        <v>73.493228076741858</v>
      </c>
      <c r="K20">
        <v>12.5</v>
      </c>
      <c r="L20">
        <v>2309.451</v>
      </c>
      <c r="M20">
        <v>2597.8719999999998</v>
      </c>
      <c r="N20">
        <v>2929.4659999999999</v>
      </c>
      <c r="O20">
        <v>2221.0709999999999</v>
      </c>
      <c r="P20">
        <v>2580.42</v>
      </c>
      <c r="R20" s="3">
        <f t="shared" si="2"/>
        <v>2527.6559999999999</v>
      </c>
      <c r="S20" s="3">
        <f t="shared" si="3"/>
        <v>124.65419902714869</v>
      </c>
    </row>
    <row r="21" spans="1:19" x14ac:dyDescent="0.25">
      <c r="A21">
        <v>13.75</v>
      </c>
      <c r="B21">
        <v>2238.808</v>
      </c>
      <c r="C21">
        <v>2469.9110000000001</v>
      </c>
      <c r="D21">
        <v>2039.348</v>
      </c>
      <c r="E21">
        <v>2106.741</v>
      </c>
      <c r="F21">
        <v>2240.3829999999998</v>
      </c>
      <c r="H21" s="2">
        <f t="shared" si="0"/>
        <v>2219.0382</v>
      </c>
      <c r="I21" s="2">
        <f t="shared" si="1"/>
        <v>73.716631896336679</v>
      </c>
      <c r="K21">
        <v>13.75</v>
      </c>
      <c r="L21">
        <v>2263.415</v>
      </c>
      <c r="M21">
        <v>2552.1669999999999</v>
      </c>
      <c r="N21">
        <v>2866.6709999999998</v>
      </c>
      <c r="O21">
        <v>2166.453</v>
      </c>
      <c r="P21">
        <v>2524.8429999999998</v>
      </c>
      <c r="R21" s="3">
        <f t="shared" si="2"/>
        <v>2474.7097999999996</v>
      </c>
      <c r="S21" s="3">
        <f t="shared" si="3"/>
        <v>122.84426831008432</v>
      </c>
    </row>
    <row r="22" spans="1:19" x14ac:dyDescent="0.25">
      <c r="A22">
        <v>15</v>
      </c>
      <c r="B22">
        <v>2222.8879999999999</v>
      </c>
      <c r="C22">
        <v>2452.201</v>
      </c>
      <c r="D22">
        <v>2030.1890000000001</v>
      </c>
      <c r="E22">
        <v>2084.3850000000002</v>
      </c>
      <c r="F22">
        <v>2231.2049999999999</v>
      </c>
      <c r="H22" s="2">
        <f t="shared" si="0"/>
        <v>2204.1736000000001</v>
      </c>
      <c r="I22" s="2">
        <f t="shared" si="1"/>
        <v>73.218326336785353</v>
      </c>
      <c r="K22">
        <v>15</v>
      </c>
      <c r="L22">
        <v>2251.96</v>
      </c>
      <c r="M22">
        <v>2531.9380000000001</v>
      </c>
      <c r="N22">
        <v>2821.085</v>
      </c>
      <c r="O22">
        <v>2161.8719999999998</v>
      </c>
      <c r="P22">
        <v>2519.462</v>
      </c>
      <c r="R22" s="3">
        <f t="shared" si="2"/>
        <v>2457.2633999999998</v>
      </c>
      <c r="S22" s="3">
        <f t="shared" si="3"/>
        <v>116.45099475727979</v>
      </c>
    </row>
    <row r="23" spans="1:19" x14ac:dyDescent="0.25">
      <c r="A23">
        <v>16.25</v>
      </c>
      <c r="B23">
        <v>2229.7820000000002</v>
      </c>
      <c r="C23">
        <v>2441.71</v>
      </c>
      <c r="D23">
        <v>2033.9829999999999</v>
      </c>
      <c r="E23">
        <v>2085.192</v>
      </c>
      <c r="F23">
        <v>2223.0590000000002</v>
      </c>
      <c r="H23" s="2">
        <f t="shared" si="0"/>
        <v>2202.7452000000003</v>
      </c>
      <c r="I23" s="2">
        <f t="shared" si="1"/>
        <v>70.903896099861839</v>
      </c>
      <c r="K23">
        <v>16.25</v>
      </c>
      <c r="L23">
        <v>2250.6770000000001</v>
      </c>
      <c r="M23">
        <v>2527.567</v>
      </c>
      <c r="N23">
        <v>2814.5129999999999</v>
      </c>
      <c r="O23">
        <v>2160.9279999999999</v>
      </c>
      <c r="P23">
        <v>2521.2710000000002</v>
      </c>
      <c r="R23" s="3">
        <f t="shared" si="2"/>
        <v>2454.9912000000004</v>
      </c>
      <c r="S23" s="3">
        <f t="shared" si="3"/>
        <v>115.57111257247635</v>
      </c>
    </row>
    <row r="24" spans="1:19" x14ac:dyDescent="0.25">
      <c r="A24">
        <v>17.5</v>
      </c>
      <c r="B24">
        <v>2211.8449999999998</v>
      </c>
      <c r="C24">
        <v>2440.5430000000001</v>
      </c>
      <c r="D24">
        <v>2034.44</v>
      </c>
      <c r="E24">
        <v>2092.9409999999998</v>
      </c>
      <c r="F24">
        <v>2209.4699999999998</v>
      </c>
      <c r="H24" s="2">
        <f t="shared" si="0"/>
        <v>2197.8478</v>
      </c>
      <c r="I24" s="2">
        <f t="shared" si="1"/>
        <v>69.620220852421909</v>
      </c>
      <c r="K24">
        <v>17.5</v>
      </c>
      <c r="L24">
        <v>2227.067</v>
      </c>
      <c r="M24">
        <v>2510.6610000000001</v>
      </c>
      <c r="N24">
        <v>2818.3870000000002</v>
      </c>
      <c r="O24">
        <v>2166.9760000000001</v>
      </c>
      <c r="P24">
        <v>2515.7370000000001</v>
      </c>
      <c r="R24" s="3">
        <f t="shared" si="2"/>
        <v>2447.7656000000002</v>
      </c>
      <c r="S24" s="3">
        <f t="shared" si="3"/>
        <v>116.93734138571821</v>
      </c>
    </row>
    <row r="25" spans="1:19" x14ac:dyDescent="0.25">
      <c r="A25">
        <v>18.75</v>
      </c>
      <c r="B25">
        <v>2190.4749999999999</v>
      </c>
      <c r="C25">
        <v>2432.08</v>
      </c>
      <c r="D25">
        <v>2027.806</v>
      </c>
      <c r="E25">
        <v>2096.8690000000001</v>
      </c>
      <c r="F25">
        <v>2206.931</v>
      </c>
      <c r="H25" s="2">
        <f t="shared" si="0"/>
        <v>2190.8322000000003</v>
      </c>
      <c r="I25" s="2">
        <f t="shared" si="1"/>
        <v>68.507818823401436</v>
      </c>
      <c r="K25">
        <v>18.75</v>
      </c>
      <c r="L25">
        <v>2217.35</v>
      </c>
      <c r="M25">
        <v>2507.4720000000002</v>
      </c>
      <c r="N25">
        <v>2817.1030000000001</v>
      </c>
      <c r="O25">
        <v>2169.634</v>
      </c>
      <c r="P25">
        <v>2511.212</v>
      </c>
      <c r="R25" s="3">
        <f t="shared" si="2"/>
        <v>2444.5542</v>
      </c>
      <c r="S25" s="3">
        <f t="shared" si="3"/>
        <v>117.131845606735</v>
      </c>
    </row>
    <row r="26" spans="1:19" x14ac:dyDescent="0.25">
      <c r="A26">
        <v>20</v>
      </c>
      <c r="B26">
        <v>2187.6030000000001</v>
      </c>
      <c r="C26">
        <v>2422.855</v>
      </c>
      <c r="D26">
        <v>2036.5250000000001</v>
      </c>
      <c r="E26">
        <v>2101.732</v>
      </c>
      <c r="F26">
        <v>2204.366</v>
      </c>
      <c r="H26" s="2">
        <f t="shared" si="0"/>
        <v>2190.6161999999999</v>
      </c>
      <c r="I26" s="2">
        <f t="shared" si="1"/>
        <v>65.489501268065851</v>
      </c>
      <c r="K26">
        <v>20</v>
      </c>
      <c r="L26">
        <v>2225.2779999999998</v>
      </c>
      <c r="M26">
        <v>2526.7570000000001</v>
      </c>
      <c r="N26">
        <v>2804.752</v>
      </c>
      <c r="O26">
        <v>2162.7759999999998</v>
      </c>
      <c r="P26">
        <v>2521.1869999999999</v>
      </c>
      <c r="R26" s="3">
        <f t="shared" si="2"/>
        <v>2448.15</v>
      </c>
      <c r="S26" s="3">
        <f t="shared" si="3"/>
        <v>116.14402663977175</v>
      </c>
    </row>
    <row r="27" spans="1:19" x14ac:dyDescent="0.25">
      <c r="A27">
        <v>21.25</v>
      </c>
      <c r="B27">
        <v>2204.0100000000002</v>
      </c>
      <c r="C27">
        <v>2429.4079999999999</v>
      </c>
      <c r="D27">
        <v>2042.335</v>
      </c>
      <c r="E27">
        <v>2099.511</v>
      </c>
      <c r="F27">
        <v>2207.9340000000002</v>
      </c>
      <c r="H27" s="2">
        <f t="shared" si="0"/>
        <v>2196.6396</v>
      </c>
      <c r="I27" s="2">
        <f t="shared" si="1"/>
        <v>66.184170624553403</v>
      </c>
      <c r="K27">
        <v>21.25</v>
      </c>
      <c r="L27">
        <v>2237.4110000000001</v>
      </c>
      <c r="M27">
        <v>2542.201</v>
      </c>
      <c r="N27">
        <v>2809.9380000000001</v>
      </c>
      <c r="O27">
        <v>2153.489</v>
      </c>
      <c r="P27">
        <v>2524.2199999999998</v>
      </c>
      <c r="R27" s="3">
        <f t="shared" si="2"/>
        <v>2453.4517999999998</v>
      </c>
      <c r="S27" s="3">
        <f t="shared" si="3"/>
        <v>117.60490595013457</v>
      </c>
    </row>
    <row r="28" spans="1:19" x14ac:dyDescent="0.25">
      <c r="A28">
        <v>22.5</v>
      </c>
      <c r="B28">
        <v>2217.0079999999998</v>
      </c>
      <c r="C28">
        <v>2463.1509999999998</v>
      </c>
      <c r="D28">
        <v>2037.7550000000001</v>
      </c>
      <c r="E28">
        <v>2096.1610000000001</v>
      </c>
      <c r="F28">
        <v>2209.5889999999999</v>
      </c>
      <c r="H28" s="2">
        <f t="shared" si="0"/>
        <v>2204.7328000000002</v>
      </c>
      <c r="I28" s="2">
        <f t="shared" si="1"/>
        <v>73.014947357647216</v>
      </c>
      <c r="K28">
        <v>22.5</v>
      </c>
      <c r="L28">
        <v>2254.9749999999999</v>
      </c>
      <c r="M28">
        <v>2559.7869999999998</v>
      </c>
      <c r="N28">
        <v>2813.663</v>
      </c>
      <c r="O28">
        <v>2163.8629999999998</v>
      </c>
      <c r="P28">
        <v>2516.1329999999998</v>
      </c>
      <c r="R28" s="3">
        <f t="shared" si="2"/>
        <v>2461.6841999999997</v>
      </c>
      <c r="S28" s="3">
        <f t="shared" si="3"/>
        <v>115.73764888159775</v>
      </c>
    </row>
    <row r="29" spans="1:19" x14ac:dyDescent="0.25">
      <c r="A29">
        <v>23.75</v>
      </c>
      <c r="B29">
        <v>2248.1129999999998</v>
      </c>
      <c r="C29">
        <v>2492.6590000000001</v>
      </c>
      <c r="D29">
        <v>2045.9829999999999</v>
      </c>
      <c r="E29">
        <v>2117.9569999999999</v>
      </c>
      <c r="F29">
        <v>2232.0500000000002</v>
      </c>
      <c r="H29" s="2">
        <f t="shared" si="0"/>
        <v>2227.3523999999998</v>
      </c>
      <c r="I29" s="2">
        <f t="shared" si="1"/>
        <v>76.060132381951618</v>
      </c>
      <c r="K29">
        <v>23.75</v>
      </c>
      <c r="L29">
        <v>2274.9050000000002</v>
      </c>
      <c r="M29">
        <v>2581.808</v>
      </c>
      <c r="N29">
        <v>2822.491</v>
      </c>
      <c r="O29">
        <v>2192.9879999999998</v>
      </c>
      <c r="P29">
        <v>2530.4949999999999</v>
      </c>
      <c r="R29" s="3">
        <f t="shared" si="2"/>
        <v>2480.5373999999997</v>
      </c>
      <c r="S29" s="3">
        <f t="shared" si="3"/>
        <v>112.83906729169645</v>
      </c>
    </row>
    <row r="30" spans="1:19" x14ac:dyDescent="0.25">
      <c r="A30">
        <v>25</v>
      </c>
      <c r="B30">
        <v>2276.625</v>
      </c>
      <c r="C30">
        <v>2531.6039999999998</v>
      </c>
      <c r="D30">
        <v>2074.1410000000001</v>
      </c>
      <c r="E30">
        <v>2144.663</v>
      </c>
      <c r="F30">
        <v>2255.2069999999999</v>
      </c>
      <c r="H30" s="2">
        <f t="shared" si="0"/>
        <v>2256.4479999999999</v>
      </c>
      <c r="I30" s="2">
        <f t="shared" si="1"/>
        <v>78.054853859321227</v>
      </c>
      <c r="K30">
        <v>25</v>
      </c>
      <c r="L30">
        <v>2309.518</v>
      </c>
      <c r="M30">
        <v>2607.3560000000002</v>
      </c>
      <c r="N30">
        <v>2855.444</v>
      </c>
      <c r="O30">
        <v>2213.7800000000002</v>
      </c>
      <c r="P30">
        <v>2559.1460000000002</v>
      </c>
      <c r="R30" s="3">
        <f t="shared" si="2"/>
        <v>2509.0488</v>
      </c>
      <c r="S30" s="3">
        <f t="shared" si="3"/>
        <v>113.83318365151698</v>
      </c>
    </row>
    <row r="31" spans="1:19" x14ac:dyDescent="0.25">
      <c r="A31">
        <v>26.25</v>
      </c>
      <c r="B31">
        <v>2289.7139999999999</v>
      </c>
      <c r="C31">
        <v>2565.7260000000001</v>
      </c>
      <c r="D31">
        <v>2090.7910000000002</v>
      </c>
      <c r="E31">
        <v>2166.0410000000002</v>
      </c>
      <c r="F31">
        <v>2274.5079999999998</v>
      </c>
      <c r="H31" s="2">
        <f t="shared" si="0"/>
        <v>2277.3560000000002</v>
      </c>
      <c r="I31" s="2">
        <f t="shared" si="1"/>
        <v>80.782305184365697</v>
      </c>
      <c r="K31">
        <v>26.25</v>
      </c>
      <c r="L31">
        <v>2337.422</v>
      </c>
      <c r="M31">
        <v>2628.8879999999999</v>
      </c>
      <c r="N31">
        <v>2893.4180000000001</v>
      </c>
      <c r="O31">
        <v>2232.5859999999998</v>
      </c>
      <c r="P31">
        <v>2598.5459999999998</v>
      </c>
      <c r="R31" s="3">
        <f t="shared" si="2"/>
        <v>2538.1719999999996</v>
      </c>
      <c r="S31" s="3">
        <f t="shared" si="3"/>
        <v>116.56704056979403</v>
      </c>
    </row>
    <row r="32" spans="1:19" x14ac:dyDescent="0.25">
      <c r="A32">
        <v>27.5</v>
      </c>
      <c r="B32">
        <v>2293.232</v>
      </c>
      <c r="C32">
        <v>2573.5709999999999</v>
      </c>
      <c r="D32">
        <v>2096.8310000000001</v>
      </c>
      <c r="E32">
        <v>2175.1190000000001</v>
      </c>
      <c r="F32">
        <v>2282.6880000000001</v>
      </c>
      <c r="H32" s="2">
        <f t="shared" si="0"/>
        <v>2284.2882</v>
      </c>
      <c r="I32" s="2">
        <f t="shared" si="1"/>
        <v>80.878058407333157</v>
      </c>
      <c r="K32">
        <v>27.5</v>
      </c>
      <c r="L32">
        <v>2338.27</v>
      </c>
      <c r="M32">
        <v>2641.4050000000002</v>
      </c>
      <c r="N32">
        <v>2917.0050000000001</v>
      </c>
      <c r="O32">
        <v>2237.643</v>
      </c>
      <c r="P32">
        <v>2617.2719999999999</v>
      </c>
      <c r="R32" s="3">
        <f t="shared" si="2"/>
        <v>2550.3190000000004</v>
      </c>
      <c r="S32" s="3">
        <f t="shared" si="3"/>
        <v>120.40951905435051</v>
      </c>
    </row>
    <row r="33" spans="1:19" x14ac:dyDescent="0.25">
      <c r="A33">
        <v>28.75</v>
      </c>
      <c r="B33">
        <v>2297.7939999999999</v>
      </c>
      <c r="C33">
        <v>2575.3090000000002</v>
      </c>
      <c r="D33">
        <v>2097.873</v>
      </c>
      <c r="E33">
        <v>2198.5450000000001</v>
      </c>
      <c r="F33">
        <v>2280.1999999999998</v>
      </c>
      <c r="H33" s="2">
        <f t="shared" si="0"/>
        <v>2289.9442000000004</v>
      </c>
      <c r="I33" s="2">
        <f t="shared" si="1"/>
        <v>79.635041753866147</v>
      </c>
      <c r="K33">
        <v>28.75</v>
      </c>
      <c r="L33">
        <v>2354.4430000000002</v>
      </c>
      <c r="M33">
        <v>2655.2280000000001</v>
      </c>
      <c r="N33">
        <v>2931.57</v>
      </c>
      <c r="O33">
        <v>2251.5410000000002</v>
      </c>
      <c r="P33">
        <v>2632.1320000000001</v>
      </c>
      <c r="R33" s="3">
        <f t="shared" si="2"/>
        <v>2564.9827999999998</v>
      </c>
      <c r="S33" s="3">
        <f t="shared" si="3"/>
        <v>120.33539706977325</v>
      </c>
    </row>
    <row r="34" spans="1:19" x14ac:dyDescent="0.25">
      <c r="A34">
        <v>30</v>
      </c>
      <c r="B34">
        <v>2315.2739999999999</v>
      </c>
      <c r="C34">
        <v>2589.8809999999999</v>
      </c>
      <c r="D34">
        <v>2107.0340000000001</v>
      </c>
      <c r="E34">
        <v>2232.08</v>
      </c>
      <c r="F34">
        <v>2299.8029999999999</v>
      </c>
      <c r="H34" s="2">
        <f t="shared" si="0"/>
        <v>2308.8144000000002</v>
      </c>
      <c r="I34" s="2">
        <f t="shared" si="1"/>
        <v>79.285832077742569</v>
      </c>
      <c r="K34">
        <v>30</v>
      </c>
      <c r="L34">
        <v>2379.136</v>
      </c>
      <c r="M34">
        <v>2681.63</v>
      </c>
      <c r="N34">
        <v>2962.3249999999998</v>
      </c>
      <c r="O34">
        <v>2277.306</v>
      </c>
      <c r="P34">
        <v>2665.1179999999999</v>
      </c>
      <c r="R34" s="3">
        <f t="shared" si="2"/>
        <v>2593.1030000000001</v>
      </c>
      <c r="S34" s="3">
        <f t="shared" si="3"/>
        <v>121.42028198287134</v>
      </c>
    </row>
    <row r="35" spans="1:19" x14ac:dyDescent="0.25">
      <c r="A35">
        <v>31.25</v>
      </c>
      <c r="B35">
        <v>2338.924</v>
      </c>
      <c r="C35">
        <v>2593.7809999999999</v>
      </c>
      <c r="D35">
        <v>2126.2359999999999</v>
      </c>
      <c r="E35">
        <v>2235.17</v>
      </c>
      <c r="F35">
        <v>2314.9760000000001</v>
      </c>
      <c r="H35" s="2">
        <f t="shared" si="0"/>
        <v>2321.8174000000004</v>
      </c>
      <c r="I35" s="2">
        <f t="shared" si="1"/>
        <v>77.480157522813542</v>
      </c>
      <c r="K35">
        <v>31.25</v>
      </c>
      <c r="L35">
        <v>2396.2289999999998</v>
      </c>
      <c r="M35">
        <v>2697.97</v>
      </c>
      <c r="N35">
        <v>2977.2269999999999</v>
      </c>
      <c r="O35">
        <v>2277.105</v>
      </c>
      <c r="P35">
        <v>2677.489</v>
      </c>
      <c r="R35" s="3">
        <f t="shared" si="2"/>
        <v>2605.2039999999997</v>
      </c>
      <c r="S35" s="3">
        <f t="shared" si="3"/>
        <v>123.19725421777872</v>
      </c>
    </row>
    <row r="36" spans="1:19" x14ac:dyDescent="0.25">
      <c r="A36">
        <v>32.5</v>
      </c>
      <c r="B36">
        <v>2341.8690000000001</v>
      </c>
      <c r="C36">
        <v>2590.7069999999999</v>
      </c>
      <c r="D36">
        <v>2127.7020000000002</v>
      </c>
      <c r="E36">
        <v>2226.9589999999998</v>
      </c>
      <c r="F36">
        <v>2310.3870000000002</v>
      </c>
      <c r="H36" s="2">
        <f t="shared" si="0"/>
        <v>2319.5248000000001</v>
      </c>
      <c r="I36" s="2">
        <f t="shared" si="1"/>
        <v>77.293907324186904</v>
      </c>
      <c r="K36">
        <v>32.5</v>
      </c>
      <c r="L36">
        <v>2395.2869999999998</v>
      </c>
      <c r="M36">
        <v>2698.9780000000001</v>
      </c>
      <c r="N36">
        <v>2975.9920000000002</v>
      </c>
      <c r="O36">
        <v>2270.1149999999998</v>
      </c>
      <c r="P36">
        <v>2670.4659999999999</v>
      </c>
      <c r="R36" s="3">
        <f t="shared" si="2"/>
        <v>2602.1675999999998</v>
      </c>
      <c r="S36" s="3">
        <f t="shared" si="3"/>
        <v>123.86285134155446</v>
      </c>
    </row>
    <row r="37" spans="1:19" x14ac:dyDescent="0.25">
      <c r="A37">
        <v>33.75</v>
      </c>
      <c r="B37">
        <v>2345.2429999999999</v>
      </c>
      <c r="C37">
        <v>2586.0039999999999</v>
      </c>
      <c r="D37">
        <v>2122.6950000000002</v>
      </c>
      <c r="E37">
        <v>2219.2800000000002</v>
      </c>
      <c r="F37">
        <v>2302.527</v>
      </c>
      <c r="H37" s="2">
        <f t="shared" si="0"/>
        <v>2315.1498000000001</v>
      </c>
      <c r="I37" s="2">
        <f t="shared" si="1"/>
        <v>77.671359592452035</v>
      </c>
      <c r="K37">
        <v>33.75</v>
      </c>
      <c r="L37">
        <v>2384.59</v>
      </c>
      <c r="M37">
        <v>2690.1039999999998</v>
      </c>
      <c r="N37">
        <v>2968.6759999999999</v>
      </c>
      <c r="O37">
        <v>2268.4789999999998</v>
      </c>
      <c r="P37">
        <v>2665.172</v>
      </c>
      <c r="R37" s="3">
        <f t="shared" si="2"/>
        <v>2595.4041999999999</v>
      </c>
      <c r="S37" s="3">
        <f t="shared" si="3"/>
        <v>123.3876306662868</v>
      </c>
    </row>
    <row r="38" spans="1:19" x14ac:dyDescent="0.25">
      <c r="A38">
        <v>35</v>
      </c>
      <c r="B38">
        <v>2296.1680000000001</v>
      </c>
      <c r="C38">
        <v>2547.587</v>
      </c>
      <c r="D38">
        <v>2096.0230000000001</v>
      </c>
      <c r="E38">
        <v>2179.4650000000001</v>
      </c>
      <c r="F38">
        <v>2273.6239999999998</v>
      </c>
      <c r="H38" s="2">
        <f t="shared" si="0"/>
        <v>2278.5734000000002</v>
      </c>
      <c r="I38" s="2">
        <f t="shared" si="1"/>
        <v>76.108313272992689</v>
      </c>
      <c r="K38">
        <v>35</v>
      </c>
      <c r="L38">
        <v>2354.7550000000001</v>
      </c>
      <c r="M38">
        <v>2649.654</v>
      </c>
      <c r="N38">
        <v>2927.326</v>
      </c>
      <c r="O38">
        <v>2245.268</v>
      </c>
      <c r="P38">
        <v>2629.047</v>
      </c>
      <c r="R38" s="3">
        <f t="shared" si="2"/>
        <v>2561.21</v>
      </c>
      <c r="S38" s="3">
        <f t="shared" si="3"/>
        <v>120.18904682831958</v>
      </c>
    </row>
    <row r="39" spans="1:19" x14ac:dyDescent="0.25">
      <c r="A39">
        <v>36.25</v>
      </c>
      <c r="B39">
        <v>2173.1469999999999</v>
      </c>
      <c r="C39">
        <v>2420.5210000000002</v>
      </c>
      <c r="D39">
        <v>1991.665</v>
      </c>
      <c r="E39">
        <v>2068.377</v>
      </c>
      <c r="F39">
        <v>2151.2800000000002</v>
      </c>
      <c r="H39" s="2">
        <f t="shared" si="0"/>
        <v>2160.998</v>
      </c>
      <c r="I39" s="2">
        <f t="shared" si="1"/>
        <v>72.403915565389184</v>
      </c>
      <c r="K39">
        <v>36.25</v>
      </c>
      <c r="L39">
        <v>2247.2759999999998</v>
      </c>
      <c r="M39">
        <v>2524.335</v>
      </c>
      <c r="N39">
        <v>2787.509</v>
      </c>
      <c r="O39">
        <v>2136.5050000000001</v>
      </c>
      <c r="P39">
        <v>2497.607</v>
      </c>
      <c r="R39" s="3">
        <f t="shared" si="2"/>
        <v>2438.6464000000001</v>
      </c>
      <c r="S39" s="3">
        <f t="shared" si="3"/>
        <v>114.11311445035578</v>
      </c>
    </row>
    <row r="40" spans="1:19" x14ac:dyDescent="0.25">
      <c r="A40">
        <v>37.5</v>
      </c>
      <c r="B40">
        <v>2021.933</v>
      </c>
      <c r="C40">
        <v>2234.9569999999999</v>
      </c>
      <c r="D40">
        <v>1864.431</v>
      </c>
      <c r="E40">
        <v>1924.645</v>
      </c>
      <c r="F40">
        <v>1992.4449999999999</v>
      </c>
      <c r="H40" s="2">
        <f t="shared" si="0"/>
        <v>2007.6822</v>
      </c>
      <c r="I40" s="2">
        <f t="shared" si="1"/>
        <v>63.04965311752315</v>
      </c>
      <c r="K40">
        <v>37.5</v>
      </c>
      <c r="L40">
        <v>2078.9070000000002</v>
      </c>
      <c r="M40">
        <v>2335.143</v>
      </c>
      <c r="N40">
        <v>2573.4279999999999</v>
      </c>
      <c r="O40">
        <v>1984.0429999999999</v>
      </c>
      <c r="P40">
        <v>2314.4160000000002</v>
      </c>
      <c r="R40" s="3">
        <f t="shared" si="2"/>
        <v>2257.1874000000003</v>
      </c>
      <c r="S40" s="3">
        <f t="shared" si="3"/>
        <v>103.86338854312426</v>
      </c>
    </row>
    <row r="41" spans="1:19" x14ac:dyDescent="0.25">
      <c r="A41">
        <v>38.75</v>
      </c>
      <c r="B41">
        <v>1868.924</v>
      </c>
      <c r="C41">
        <v>2058.6129999999998</v>
      </c>
      <c r="D41">
        <v>1721.672</v>
      </c>
      <c r="E41">
        <v>1772.9590000000001</v>
      </c>
      <c r="F41">
        <v>1845.7629999999999</v>
      </c>
      <c r="H41" s="2">
        <f t="shared" si="0"/>
        <v>1853.5862000000002</v>
      </c>
      <c r="I41" s="2">
        <f t="shared" si="1"/>
        <v>57.547606738595093</v>
      </c>
      <c r="K41">
        <v>38.75</v>
      </c>
      <c r="L41">
        <v>1924.7439999999999</v>
      </c>
      <c r="M41">
        <v>2161.5390000000002</v>
      </c>
      <c r="N41">
        <v>2357.1759999999999</v>
      </c>
      <c r="O41">
        <v>1815.9839999999999</v>
      </c>
      <c r="P41">
        <v>2126.547</v>
      </c>
      <c r="R41" s="3">
        <f t="shared" si="2"/>
        <v>2077.1980000000003</v>
      </c>
      <c r="S41" s="3">
        <f t="shared" si="3"/>
        <v>94.713088978767885</v>
      </c>
    </row>
    <row r="42" spans="1:19" x14ac:dyDescent="0.25">
      <c r="A42">
        <v>40</v>
      </c>
      <c r="B42">
        <v>1766.355</v>
      </c>
      <c r="C42">
        <v>1969.7070000000001</v>
      </c>
      <c r="D42">
        <v>1629.0630000000001</v>
      </c>
      <c r="E42">
        <v>1684.9760000000001</v>
      </c>
      <c r="F42">
        <v>1754.2339999999999</v>
      </c>
      <c r="H42" s="2">
        <f t="shared" si="0"/>
        <v>1760.8670000000002</v>
      </c>
      <c r="I42" s="2">
        <f t="shared" si="1"/>
        <v>57.801383517178898</v>
      </c>
      <c r="K42">
        <v>40</v>
      </c>
      <c r="L42">
        <v>1829.7280000000001</v>
      </c>
      <c r="M42">
        <v>2052.0819999999999</v>
      </c>
      <c r="N42">
        <v>2240.893</v>
      </c>
      <c r="O42">
        <v>1728.913</v>
      </c>
      <c r="P42">
        <v>2026.2270000000001</v>
      </c>
      <c r="R42" s="3">
        <f t="shared" si="2"/>
        <v>1975.5686000000001</v>
      </c>
      <c r="S42" s="3">
        <f t="shared" si="3"/>
        <v>89.701191944477515</v>
      </c>
    </row>
    <row r="43" spans="1:19" x14ac:dyDescent="0.25">
      <c r="A43">
        <v>41.25</v>
      </c>
      <c r="B43">
        <v>1722.942</v>
      </c>
      <c r="C43">
        <v>1924.124</v>
      </c>
      <c r="D43">
        <v>1589.299</v>
      </c>
      <c r="E43">
        <v>1655.7739999999999</v>
      </c>
      <c r="F43">
        <v>1717.385</v>
      </c>
      <c r="H43" s="2">
        <f t="shared" si="0"/>
        <v>1721.9047999999998</v>
      </c>
      <c r="I43" s="2">
        <f t="shared" si="1"/>
        <v>56.06767791107459</v>
      </c>
      <c r="K43">
        <v>41.25</v>
      </c>
      <c r="L43">
        <v>1790.6210000000001</v>
      </c>
      <c r="M43">
        <v>1992.0820000000001</v>
      </c>
      <c r="N43">
        <v>2200.337</v>
      </c>
      <c r="O43">
        <v>1696.751</v>
      </c>
      <c r="P43">
        <v>1996.5419999999999</v>
      </c>
      <c r="R43" s="3">
        <f t="shared" si="2"/>
        <v>1935.2666000000002</v>
      </c>
      <c r="S43" s="3">
        <f t="shared" si="3"/>
        <v>88.050276070322454</v>
      </c>
    </row>
    <row r="44" spans="1:19" x14ac:dyDescent="0.25">
      <c r="A44">
        <v>42.5</v>
      </c>
      <c r="B44">
        <v>1713.3330000000001</v>
      </c>
      <c r="C44">
        <v>1915.4960000000001</v>
      </c>
      <c r="D44">
        <v>1575.942</v>
      </c>
      <c r="E44">
        <v>1654.5029999999999</v>
      </c>
      <c r="F44">
        <v>1703.1579999999999</v>
      </c>
      <c r="H44" s="2">
        <f t="shared" si="0"/>
        <v>1712.4864000000002</v>
      </c>
      <c r="I44" s="2">
        <f t="shared" si="1"/>
        <v>56.261479414071594</v>
      </c>
      <c r="K44">
        <v>42.5</v>
      </c>
      <c r="L44">
        <v>1788.1859999999999</v>
      </c>
      <c r="M44">
        <v>1980.4090000000001</v>
      </c>
      <c r="N44">
        <v>2191.6320000000001</v>
      </c>
      <c r="O44">
        <v>1678.7470000000001</v>
      </c>
      <c r="P44">
        <v>1987.001</v>
      </c>
      <c r="R44" s="3">
        <f t="shared" si="2"/>
        <v>1925.1950000000002</v>
      </c>
      <c r="S44" s="3">
        <f t="shared" si="3"/>
        <v>88.703248301851943</v>
      </c>
    </row>
    <row r="45" spans="1:19" x14ac:dyDescent="0.25">
      <c r="A45">
        <v>43.75</v>
      </c>
      <c r="B45">
        <v>1720.7329999999999</v>
      </c>
      <c r="C45">
        <v>1931.0039999999999</v>
      </c>
      <c r="D45">
        <v>1582.07</v>
      </c>
      <c r="E45">
        <v>1658.413</v>
      </c>
      <c r="F45">
        <v>1710.018</v>
      </c>
      <c r="H45" s="2">
        <f t="shared" si="0"/>
        <v>1720.4476</v>
      </c>
      <c r="I45" s="2">
        <f t="shared" si="1"/>
        <v>58.068712474619218</v>
      </c>
      <c r="K45">
        <v>43.75</v>
      </c>
      <c r="L45">
        <v>1793.173</v>
      </c>
      <c r="M45">
        <v>2007.404</v>
      </c>
      <c r="N45">
        <v>2207.2809999999999</v>
      </c>
      <c r="O45">
        <v>1679.9490000000001</v>
      </c>
      <c r="P45">
        <v>1986.7940000000001</v>
      </c>
      <c r="R45" s="3">
        <f t="shared" si="2"/>
        <v>1934.9202</v>
      </c>
      <c r="S45" s="3">
        <f t="shared" si="3"/>
        <v>91.440630822080379</v>
      </c>
    </row>
    <row r="46" spans="1:19" x14ac:dyDescent="0.25">
      <c r="A46">
        <v>45</v>
      </c>
      <c r="B46">
        <v>1746.7670000000001</v>
      </c>
      <c r="C46">
        <v>1958.7429999999999</v>
      </c>
      <c r="D46">
        <v>1615.365</v>
      </c>
      <c r="E46">
        <v>1685.7180000000001</v>
      </c>
      <c r="F46">
        <v>1751.675</v>
      </c>
      <c r="H46" s="2">
        <f t="shared" si="0"/>
        <v>1751.6536000000001</v>
      </c>
      <c r="I46" s="2">
        <f t="shared" si="1"/>
        <v>57.372460617965466</v>
      </c>
      <c r="K46">
        <v>45</v>
      </c>
      <c r="L46">
        <v>1807.5060000000001</v>
      </c>
      <c r="M46">
        <v>2039.836</v>
      </c>
      <c r="N46">
        <v>2249.375</v>
      </c>
      <c r="O46">
        <v>1712.424</v>
      </c>
      <c r="P46">
        <v>2019.4290000000001</v>
      </c>
      <c r="R46" s="3">
        <f t="shared" si="2"/>
        <v>1965.7139999999999</v>
      </c>
      <c r="S46" s="3">
        <f t="shared" si="3"/>
        <v>94.347371556922553</v>
      </c>
    </row>
    <row r="47" spans="1:19" x14ac:dyDescent="0.25">
      <c r="A47">
        <v>46.25</v>
      </c>
      <c r="B47">
        <v>1814.146</v>
      </c>
      <c r="C47">
        <v>2015.5419999999999</v>
      </c>
      <c r="D47">
        <v>1692.3440000000001</v>
      </c>
      <c r="E47">
        <v>1763.9179999999999</v>
      </c>
      <c r="F47">
        <v>1830.4570000000001</v>
      </c>
      <c r="H47" s="2">
        <f t="shared" si="0"/>
        <v>1823.2813999999998</v>
      </c>
      <c r="I47" s="2">
        <f t="shared" si="1"/>
        <v>53.74369686726061</v>
      </c>
      <c r="K47">
        <v>46.25</v>
      </c>
      <c r="L47">
        <v>1854.1279999999999</v>
      </c>
      <c r="M47">
        <v>2105.165</v>
      </c>
      <c r="N47">
        <v>2321.9160000000002</v>
      </c>
      <c r="O47">
        <v>1788.2739999999999</v>
      </c>
      <c r="P47">
        <v>2109.893</v>
      </c>
      <c r="R47" s="3">
        <f t="shared" si="2"/>
        <v>2035.8751999999999</v>
      </c>
      <c r="S47" s="3">
        <f t="shared" si="3"/>
        <v>96.549844462536598</v>
      </c>
    </row>
    <row r="48" spans="1:19" x14ac:dyDescent="0.25">
      <c r="A48">
        <v>47.5</v>
      </c>
      <c r="B48">
        <v>1904.4369999999999</v>
      </c>
      <c r="C48">
        <v>2114.3150000000001</v>
      </c>
      <c r="D48">
        <v>1787.393</v>
      </c>
      <c r="E48">
        <v>1873.473</v>
      </c>
      <c r="F48">
        <v>1937.0450000000001</v>
      </c>
      <c r="H48" s="2">
        <f t="shared" si="0"/>
        <v>1923.3326000000002</v>
      </c>
      <c r="I48" s="2">
        <f t="shared" si="1"/>
        <v>53.844640068998515</v>
      </c>
      <c r="K48">
        <v>47.5</v>
      </c>
      <c r="L48">
        <v>1936.885</v>
      </c>
      <c r="M48">
        <v>2210.9670000000001</v>
      </c>
      <c r="N48">
        <v>2420.75</v>
      </c>
      <c r="O48">
        <v>1896.175</v>
      </c>
      <c r="P48">
        <v>2244.1190000000001</v>
      </c>
      <c r="R48" s="3">
        <f t="shared" si="2"/>
        <v>2141.7791999999999</v>
      </c>
      <c r="S48" s="3">
        <f t="shared" si="3"/>
        <v>98.840313090560386</v>
      </c>
    </row>
    <row r="49" spans="1:19" x14ac:dyDescent="0.25">
      <c r="A49">
        <v>48.75</v>
      </c>
      <c r="B49">
        <v>1991.9670000000001</v>
      </c>
      <c r="C49">
        <v>2211.2429999999999</v>
      </c>
      <c r="D49">
        <v>1848.626</v>
      </c>
      <c r="E49">
        <v>1947.3910000000001</v>
      </c>
      <c r="F49">
        <v>2015.1010000000001</v>
      </c>
      <c r="H49" s="2">
        <f t="shared" si="0"/>
        <v>2002.8656000000003</v>
      </c>
      <c r="I49" s="2">
        <f t="shared" si="1"/>
        <v>59.395669361999779</v>
      </c>
      <c r="K49">
        <v>48.75</v>
      </c>
      <c r="L49">
        <v>2034.461</v>
      </c>
      <c r="M49">
        <v>2293.5520000000001</v>
      </c>
      <c r="N49">
        <v>2515.7649999999999</v>
      </c>
      <c r="O49">
        <v>1970.386</v>
      </c>
      <c r="P49">
        <v>2334.0500000000002</v>
      </c>
      <c r="R49" s="3">
        <f t="shared" si="2"/>
        <v>2229.6428000000001</v>
      </c>
      <c r="S49" s="3">
        <f t="shared" si="3"/>
        <v>100.53884472849286</v>
      </c>
    </row>
    <row r="50" spans="1:19" x14ac:dyDescent="0.25">
      <c r="A50">
        <v>50</v>
      </c>
      <c r="B50">
        <v>2047.0650000000001</v>
      </c>
      <c r="C50">
        <v>2268.877</v>
      </c>
      <c r="D50">
        <v>1875.25</v>
      </c>
      <c r="E50">
        <v>1974.6959999999999</v>
      </c>
      <c r="F50">
        <v>2042.502</v>
      </c>
      <c r="H50" s="2">
        <f t="shared" si="0"/>
        <v>2041.6779999999999</v>
      </c>
      <c r="I50" s="2">
        <f t="shared" si="1"/>
        <v>64.743320834662157</v>
      </c>
      <c r="K50">
        <v>50</v>
      </c>
      <c r="L50">
        <v>2091.1559999999999</v>
      </c>
      <c r="M50">
        <v>2336.1039999999998</v>
      </c>
      <c r="N50">
        <v>2576.2559999999999</v>
      </c>
      <c r="O50">
        <v>1988.0319999999999</v>
      </c>
      <c r="P50">
        <v>2355.0360000000001</v>
      </c>
      <c r="R50" s="3">
        <f t="shared" si="2"/>
        <v>2269.3167999999996</v>
      </c>
      <c r="S50" s="3">
        <f t="shared" si="3"/>
        <v>104.13510291846835</v>
      </c>
    </row>
    <row r="51" spans="1:19" x14ac:dyDescent="0.25">
      <c r="A51">
        <v>51.25</v>
      </c>
      <c r="B51">
        <v>2075.4690000000001</v>
      </c>
      <c r="C51">
        <v>2299.7440000000001</v>
      </c>
      <c r="D51">
        <v>1888.251</v>
      </c>
      <c r="E51">
        <v>1986.9469999999999</v>
      </c>
      <c r="F51">
        <v>2054.2220000000002</v>
      </c>
      <c r="H51" s="2">
        <f t="shared" si="0"/>
        <v>2060.9265999999998</v>
      </c>
      <c r="I51" s="2">
        <f t="shared" si="1"/>
        <v>68.036764933820919</v>
      </c>
      <c r="K51">
        <v>51.25</v>
      </c>
      <c r="L51">
        <v>2115.3470000000002</v>
      </c>
      <c r="M51">
        <v>2371.3989999999999</v>
      </c>
      <c r="N51">
        <v>2612.9360000000001</v>
      </c>
      <c r="O51">
        <v>1996.7950000000001</v>
      </c>
      <c r="P51">
        <v>2365.752</v>
      </c>
      <c r="R51" s="3">
        <f t="shared" si="2"/>
        <v>2292.4458000000004</v>
      </c>
      <c r="S51" s="3">
        <f t="shared" si="3"/>
        <v>107.95711082341911</v>
      </c>
    </row>
    <row r="52" spans="1:19" x14ac:dyDescent="0.25">
      <c r="A52">
        <v>52.5</v>
      </c>
      <c r="B52">
        <v>2088.5549999999998</v>
      </c>
      <c r="C52">
        <v>2325.721</v>
      </c>
      <c r="D52">
        <v>1904.4069999999999</v>
      </c>
      <c r="E52">
        <v>1999.134</v>
      </c>
      <c r="F52">
        <v>2068.5149999999999</v>
      </c>
      <c r="H52" s="2">
        <f t="shared" si="0"/>
        <v>2077.2663999999995</v>
      </c>
      <c r="I52" s="2">
        <f t="shared" si="1"/>
        <v>69.97097678723658</v>
      </c>
      <c r="K52">
        <v>52.5</v>
      </c>
      <c r="L52">
        <v>2147.2199999999998</v>
      </c>
      <c r="M52">
        <v>2394.5030000000002</v>
      </c>
      <c r="N52">
        <v>2639.8780000000002</v>
      </c>
      <c r="O52">
        <v>2007.155</v>
      </c>
      <c r="P52">
        <v>2373.721</v>
      </c>
      <c r="R52" s="3">
        <f t="shared" si="2"/>
        <v>2312.4954000000002</v>
      </c>
      <c r="S52" s="3">
        <f t="shared" si="3"/>
        <v>109.13338285171962</v>
      </c>
    </row>
    <row r="53" spans="1:19" x14ac:dyDescent="0.25">
      <c r="A53">
        <v>53.75</v>
      </c>
      <c r="B53">
        <v>2084.8510000000001</v>
      </c>
      <c r="C53">
        <v>2330.4690000000001</v>
      </c>
      <c r="D53">
        <v>1907.7260000000001</v>
      </c>
      <c r="E53">
        <v>2014.954</v>
      </c>
      <c r="F53">
        <v>2069.88</v>
      </c>
      <c r="H53" s="2">
        <f t="shared" si="0"/>
        <v>2081.576</v>
      </c>
      <c r="I53" s="2">
        <f t="shared" si="1"/>
        <v>69.554856363161292</v>
      </c>
      <c r="K53">
        <v>53.75</v>
      </c>
      <c r="L53">
        <v>2162.143</v>
      </c>
      <c r="M53">
        <v>2401.6930000000002</v>
      </c>
      <c r="N53">
        <v>2643.9670000000001</v>
      </c>
      <c r="O53">
        <v>2013.575</v>
      </c>
      <c r="P53">
        <v>2383.2939999999999</v>
      </c>
      <c r="R53" s="3">
        <f t="shared" si="2"/>
        <v>2320.9344000000001</v>
      </c>
      <c r="S53" s="3">
        <f t="shared" si="3"/>
        <v>108.26939579844343</v>
      </c>
    </row>
    <row r="54" spans="1:19" x14ac:dyDescent="0.25">
      <c r="A54">
        <v>55</v>
      </c>
      <c r="B54">
        <v>2066.0160000000001</v>
      </c>
      <c r="C54">
        <v>2305.8470000000002</v>
      </c>
      <c r="D54">
        <v>1880.596</v>
      </c>
      <c r="E54">
        <v>2011.4639999999999</v>
      </c>
      <c r="F54">
        <v>2044.963</v>
      </c>
      <c r="H54" s="2">
        <f t="shared" si="0"/>
        <v>2061.7772</v>
      </c>
      <c r="I54" s="2">
        <f t="shared" si="1"/>
        <v>69.003187370874429</v>
      </c>
      <c r="K54">
        <v>55</v>
      </c>
      <c r="L54">
        <v>2151.87</v>
      </c>
      <c r="M54">
        <v>2393.1390000000001</v>
      </c>
      <c r="N54">
        <v>2617.8319999999999</v>
      </c>
      <c r="O54">
        <v>2004.51</v>
      </c>
      <c r="P54">
        <v>2386.127</v>
      </c>
      <c r="R54" s="3">
        <f t="shared" si="2"/>
        <v>2310.6956</v>
      </c>
      <c r="S54" s="3">
        <f t="shared" si="3"/>
        <v>106.25318145288638</v>
      </c>
    </row>
    <row r="55" spans="1:19" x14ac:dyDescent="0.25">
      <c r="A55">
        <v>56.25</v>
      </c>
      <c r="B55">
        <v>2003.9349999999999</v>
      </c>
      <c r="C55">
        <v>2235.7289999999998</v>
      </c>
      <c r="D55">
        <v>1804.83</v>
      </c>
      <c r="E55">
        <v>1943.3230000000001</v>
      </c>
      <c r="F55">
        <v>1977.09</v>
      </c>
      <c r="H55" s="2">
        <f t="shared" si="0"/>
        <v>1992.9813999999999</v>
      </c>
      <c r="I55" s="2">
        <f t="shared" si="1"/>
        <v>69.701442332709277</v>
      </c>
      <c r="K55">
        <v>56.25</v>
      </c>
      <c r="L55">
        <v>2114.5439999999999</v>
      </c>
      <c r="M55">
        <v>2340.924</v>
      </c>
      <c r="N55">
        <v>2553.1149999999998</v>
      </c>
      <c r="O55">
        <v>1956.9580000000001</v>
      </c>
      <c r="P55">
        <v>2336.8240000000001</v>
      </c>
      <c r="R55" s="3">
        <f t="shared" si="2"/>
        <v>2260.473</v>
      </c>
      <c r="S55" s="3">
        <f t="shared" si="3"/>
        <v>102.80024490048646</v>
      </c>
    </row>
    <row r="56" spans="1:19" x14ac:dyDescent="0.25">
      <c r="A56">
        <v>57.5</v>
      </c>
      <c r="B56">
        <v>1893.9649999999999</v>
      </c>
      <c r="C56">
        <v>2114.6559999999999</v>
      </c>
      <c r="D56">
        <v>1695.6959999999999</v>
      </c>
      <c r="E56">
        <v>1834.2360000000001</v>
      </c>
      <c r="F56">
        <v>1863.954</v>
      </c>
      <c r="H56" s="2">
        <f t="shared" si="0"/>
        <v>1880.5013999999999</v>
      </c>
      <c r="I56" s="2">
        <f t="shared" si="1"/>
        <v>67.667194702898684</v>
      </c>
      <c r="K56">
        <v>57.5</v>
      </c>
      <c r="L56">
        <v>2030.1890000000001</v>
      </c>
      <c r="M56">
        <v>2233.163</v>
      </c>
      <c r="N56">
        <v>2444.8229999999999</v>
      </c>
      <c r="O56">
        <v>1861.702</v>
      </c>
      <c r="P56">
        <v>2210.5639999999999</v>
      </c>
      <c r="R56" s="3">
        <f t="shared" si="2"/>
        <v>2156.0881999999997</v>
      </c>
      <c r="S56" s="3">
        <f t="shared" si="3"/>
        <v>98.68884577874033</v>
      </c>
    </row>
    <row r="57" spans="1:19" x14ac:dyDescent="0.25">
      <c r="A57">
        <v>58.75</v>
      </c>
      <c r="B57">
        <v>1769.423</v>
      </c>
      <c r="C57">
        <v>1969.3050000000001</v>
      </c>
      <c r="D57">
        <v>1576.155</v>
      </c>
      <c r="E57">
        <v>1714.414</v>
      </c>
      <c r="F57">
        <v>1741.1110000000001</v>
      </c>
      <c r="H57" s="2">
        <f t="shared" si="0"/>
        <v>1754.0816</v>
      </c>
      <c r="I57" s="2">
        <f t="shared" si="1"/>
        <v>63.228197982862071</v>
      </c>
      <c r="K57">
        <v>58.75</v>
      </c>
      <c r="L57">
        <v>1896.694</v>
      </c>
      <c r="M57">
        <v>2103.855</v>
      </c>
      <c r="N57">
        <v>2290.9630000000002</v>
      </c>
      <c r="O57">
        <v>1770.277</v>
      </c>
      <c r="P57">
        <v>2077.5030000000002</v>
      </c>
      <c r="R57" s="3">
        <f t="shared" si="2"/>
        <v>2027.8584000000003</v>
      </c>
      <c r="S57" s="3">
        <f t="shared" si="3"/>
        <v>89.726355524784381</v>
      </c>
    </row>
    <row r="58" spans="1:19" x14ac:dyDescent="0.25">
      <c r="A58">
        <v>60</v>
      </c>
      <c r="B58">
        <v>1652.155</v>
      </c>
      <c r="C58">
        <v>1856.652</v>
      </c>
      <c r="D58">
        <v>1490.1420000000001</v>
      </c>
      <c r="E58">
        <v>1621.0450000000001</v>
      </c>
      <c r="F58">
        <v>1645.0830000000001</v>
      </c>
      <c r="H58" s="2">
        <f t="shared" si="0"/>
        <v>1653.0153999999998</v>
      </c>
      <c r="I58" s="2">
        <f t="shared" si="1"/>
        <v>58.771327627168674</v>
      </c>
      <c r="K58">
        <v>60</v>
      </c>
      <c r="L58">
        <v>1768.06</v>
      </c>
      <c r="M58">
        <v>1972.941</v>
      </c>
      <c r="N58">
        <v>2158.0430000000001</v>
      </c>
      <c r="O58">
        <v>1681.3030000000001</v>
      </c>
      <c r="P58">
        <v>1969.972</v>
      </c>
      <c r="R58" s="3">
        <f t="shared" si="2"/>
        <v>1910.0637999999999</v>
      </c>
      <c r="S58" s="3">
        <f t="shared" si="3"/>
        <v>84.122767777457256</v>
      </c>
    </row>
    <row r="59" spans="1:19" x14ac:dyDescent="0.25">
      <c r="A59">
        <v>61.25</v>
      </c>
      <c r="B59">
        <v>1563.0909999999999</v>
      </c>
      <c r="C59">
        <v>1764.394</v>
      </c>
      <c r="D59">
        <v>1419.971</v>
      </c>
      <c r="E59">
        <v>1553.8610000000001</v>
      </c>
      <c r="F59">
        <v>1563.874</v>
      </c>
      <c r="H59" s="2">
        <f t="shared" si="0"/>
        <v>1573.0382</v>
      </c>
      <c r="I59" s="2">
        <f t="shared" si="1"/>
        <v>55.044211438987837</v>
      </c>
      <c r="K59">
        <v>61.25</v>
      </c>
      <c r="L59">
        <v>1673.0250000000001</v>
      </c>
      <c r="M59">
        <v>1859.373</v>
      </c>
      <c r="N59">
        <v>2054.904</v>
      </c>
      <c r="O59">
        <v>1587.8879999999999</v>
      </c>
      <c r="P59">
        <v>1868.8869999999999</v>
      </c>
      <c r="R59" s="3">
        <f t="shared" si="2"/>
        <v>1808.8154</v>
      </c>
      <c r="S59" s="3">
        <f t="shared" si="3"/>
        <v>81.845041357800056</v>
      </c>
    </row>
    <row r="60" spans="1:19" x14ac:dyDescent="0.25">
      <c r="A60">
        <v>62.5</v>
      </c>
      <c r="B60">
        <v>1512.056</v>
      </c>
      <c r="C60">
        <v>1693.2529999999999</v>
      </c>
      <c r="D60">
        <v>1358.94</v>
      </c>
      <c r="E60">
        <v>1491.021</v>
      </c>
      <c r="F60">
        <v>1496.027</v>
      </c>
      <c r="H60" s="2">
        <f t="shared" si="0"/>
        <v>1510.2593999999999</v>
      </c>
      <c r="I60" s="2">
        <f t="shared" si="1"/>
        <v>53.366714098396557</v>
      </c>
      <c r="K60">
        <v>62.5</v>
      </c>
      <c r="L60">
        <v>1611.367</v>
      </c>
      <c r="M60">
        <v>1792.4559999999999</v>
      </c>
      <c r="N60">
        <v>1967.509</v>
      </c>
      <c r="O60">
        <v>1513.4359999999999</v>
      </c>
      <c r="P60">
        <v>1793.7339999999999</v>
      </c>
      <c r="R60" s="3">
        <f t="shared" si="2"/>
        <v>1735.7004000000002</v>
      </c>
      <c r="S60" s="3">
        <f t="shared" si="3"/>
        <v>79.115289848802306</v>
      </c>
    </row>
    <row r="61" spans="1:19" x14ac:dyDescent="0.25">
      <c r="A61">
        <v>63.75</v>
      </c>
      <c r="B61">
        <v>1467.413</v>
      </c>
      <c r="C61">
        <v>1638.5239999999999</v>
      </c>
      <c r="D61">
        <v>1317.828</v>
      </c>
      <c r="E61">
        <v>1436.6010000000001</v>
      </c>
      <c r="F61">
        <v>1450.251</v>
      </c>
      <c r="H61" s="2">
        <f t="shared" si="0"/>
        <v>1462.1233999999999</v>
      </c>
      <c r="I61" s="2">
        <f t="shared" si="1"/>
        <v>51.36081229556244</v>
      </c>
      <c r="K61">
        <v>63.75</v>
      </c>
      <c r="L61">
        <v>1558.203</v>
      </c>
      <c r="M61">
        <v>1727.758</v>
      </c>
      <c r="N61">
        <v>1887.8779999999999</v>
      </c>
      <c r="O61">
        <v>1457.0609999999999</v>
      </c>
      <c r="P61">
        <v>1731.01</v>
      </c>
      <c r="R61" s="3">
        <f t="shared" si="2"/>
        <v>1672.3820000000001</v>
      </c>
      <c r="S61" s="3">
        <f t="shared" si="3"/>
        <v>74.947397172283445</v>
      </c>
    </row>
    <row r="62" spans="1:19" x14ac:dyDescent="0.25">
      <c r="A62">
        <v>65</v>
      </c>
      <c r="B62">
        <v>1426.3779999999999</v>
      </c>
      <c r="C62">
        <v>1594.683</v>
      </c>
      <c r="D62">
        <v>1283.433</v>
      </c>
      <c r="E62">
        <v>1396.424</v>
      </c>
      <c r="F62">
        <v>1413.1310000000001</v>
      </c>
      <c r="H62" s="2">
        <f t="shared" si="0"/>
        <v>1422.8098</v>
      </c>
      <c r="I62" s="2">
        <f t="shared" si="1"/>
        <v>49.884321644580872</v>
      </c>
      <c r="K62">
        <v>65</v>
      </c>
      <c r="L62">
        <v>1503.3679999999999</v>
      </c>
      <c r="M62">
        <v>1670.14</v>
      </c>
      <c r="N62">
        <v>1834.367</v>
      </c>
      <c r="O62">
        <v>1416.6949999999999</v>
      </c>
      <c r="P62">
        <v>1672.2090000000001</v>
      </c>
      <c r="R62" s="3">
        <f t="shared" si="2"/>
        <v>1619.3557999999998</v>
      </c>
      <c r="S62" s="3">
        <f t="shared" si="3"/>
        <v>72.844657131048407</v>
      </c>
    </row>
    <row r="63" spans="1:19" x14ac:dyDescent="0.25">
      <c r="A63">
        <v>66.25</v>
      </c>
      <c r="B63">
        <v>1391.412</v>
      </c>
      <c r="C63">
        <v>1563.124</v>
      </c>
      <c r="D63">
        <v>1252.1980000000001</v>
      </c>
      <c r="E63">
        <v>1365.912</v>
      </c>
      <c r="F63">
        <v>1386.846</v>
      </c>
      <c r="H63" s="2">
        <f t="shared" si="0"/>
        <v>1391.8984</v>
      </c>
      <c r="I63" s="2">
        <f t="shared" si="1"/>
        <v>49.76719008101621</v>
      </c>
      <c r="K63">
        <v>66.25</v>
      </c>
      <c r="L63">
        <v>1472.1420000000001</v>
      </c>
      <c r="M63">
        <v>1634.059</v>
      </c>
      <c r="N63">
        <v>1786.229</v>
      </c>
      <c r="O63">
        <v>1380.884</v>
      </c>
      <c r="P63">
        <v>1621.0029999999999</v>
      </c>
      <c r="R63" s="3">
        <f t="shared" si="2"/>
        <v>1578.8634</v>
      </c>
      <c r="S63" s="3">
        <f t="shared" si="3"/>
        <v>70.145595817984187</v>
      </c>
    </row>
    <row r="64" spans="1:19" x14ac:dyDescent="0.25">
      <c r="A64">
        <v>67.5</v>
      </c>
      <c r="B64">
        <v>1356.136</v>
      </c>
      <c r="C64">
        <v>1521.373</v>
      </c>
      <c r="D64">
        <v>1236.309</v>
      </c>
      <c r="E64">
        <v>1336.547</v>
      </c>
      <c r="F64">
        <v>1359.182</v>
      </c>
      <c r="H64" s="2">
        <f t="shared" si="0"/>
        <v>1361.9094</v>
      </c>
      <c r="I64" s="2">
        <f t="shared" si="1"/>
        <v>45.764682014190818</v>
      </c>
      <c r="K64">
        <v>67.5</v>
      </c>
      <c r="L64">
        <v>1443.232</v>
      </c>
      <c r="M64">
        <v>1591.3710000000001</v>
      </c>
      <c r="N64">
        <v>1728.4290000000001</v>
      </c>
      <c r="O64">
        <v>1340.231</v>
      </c>
      <c r="P64">
        <v>1568.0029999999999</v>
      </c>
      <c r="R64" s="3">
        <f t="shared" si="2"/>
        <v>1534.2531999999999</v>
      </c>
      <c r="S64" s="3">
        <f t="shared" si="3"/>
        <v>66.34576336315682</v>
      </c>
    </row>
    <row r="65" spans="1:19" x14ac:dyDescent="0.25">
      <c r="A65">
        <v>68.75</v>
      </c>
      <c r="B65">
        <v>1322.4770000000001</v>
      </c>
      <c r="C65">
        <v>1485.117</v>
      </c>
      <c r="D65">
        <v>1225.671</v>
      </c>
      <c r="E65">
        <v>1298.8620000000001</v>
      </c>
      <c r="F65">
        <v>1323.62</v>
      </c>
      <c r="H65" s="2">
        <f t="shared" si="0"/>
        <v>1331.1494</v>
      </c>
      <c r="I65" s="2">
        <f t="shared" si="1"/>
        <v>42.429997231439913</v>
      </c>
      <c r="K65">
        <v>68.75</v>
      </c>
      <c r="L65">
        <v>1407.0840000000001</v>
      </c>
      <c r="M65">
        <v>1539.4860000000001</v>
      </c>
      <c r="N65">
        <v>1686.0730000000001</v>
      </c>
      <c r="O65">
        <v>1296.4690000000001</v>
      </c>
      <c r="P65">
        <v>1523.748</v>
      </c>
      <c r="R65" s="3">
        <f t="shared" si="2"/>
        <v>1490.5720000000001</v>
      </c>
      <c r="S65" s="3">
        <f t="shared" si="3"/>
        <v>65.7115241513998</v>
      </c>
    </row>
    <row r="66" spans="1:19" x14ac:dyDescent="0.25">
      <c r="A66">
        <v>70</v>
      </c>
      <c r="B66">
        <v>1299.8499999999999</v>
      </c>
      <c r="C66">
        <v>1468.191</v>
      </c>
      <c r="D66">
        <v>1214.653</v>
      </c>
      <c r="E66">
        <v>1275.769</v>
      </c>
      <c r="F66">
        <v>1294.924</v>
      </c>
      <c r="H66" s="2">
        <f t="shared" si="0"/>
        <v>1310.6774</v>
      </c>
      <c r="I66" s="2">
        <f t="shared" si="1"/>
        <v>42.199062888410211</v>
      </c>
      <c r="K66">
        <v>70</v>
      </c>
      <c r="L66">
        <v>1378.3989999999999</v>
      </c>
      <c r="M66">
        <v>1514.191</v>
      </c>
      <c r="N66">
        <v>1655.7180000000001</v>
      </c>
      <c r="O66">
        <v>1269.4349999999999</v>
      </c>
      <c r="P66">
        <v>1506.373</v>
      </c>
      <c r="R66" s="3">
        <f t="shared" si="2"/>
        <v>1464.8232</v>
      </c>
      <c r="S66" s="3">
        <f t="shared" si="3"/>
        <v>65.669658621314639</v>
      </c>
    </row>
    <row r="67" spans="1:19" x14ac:dyDescent="0.25">
      <c r="A67">
        <v>71.25</v>
      </c>
      <c r="B67">
        <v>1290.0830000000001</v>
      </c>
      <c r="C67">
        <v>1450.7750000000001</v>
      </c>
      <c r="D67">
        <v>1200.127</v>
      </c>
      <c r="E67">
        <v>1264.268</v>
      </c>
      <c r="F67">
        <v>1281.96</v>
      </c>
      <c r="H67" s="2">
        <f t="shared" si="0"/>
        <v>1297.4426000000001</v>
      </c>
      <c r="I67" s="2">
        <f t="shared" si="1"/>
        <v>41.458159385819357</v>
      </c>
      <c r="K67">
        <v>71.25</v>
      </c>
      <c r="L67">
        <v>1356.675</v>
      </c>
      <c r="M67">
        <v>1501.3040000000001</v>
      </c>
      <c r="N67">
        <v>1644.615</v>
      </c>
      <c r="O67">
        <v>1256.771</v>
      </c>
      <c r="P67">
        <v>1490.2070000000001</v>
      </c>
      <c r="R67" s="3">
        <f t="shared" si="2"/>
        <v>1449.9144000000001</v>
      </c>
      <c r="S67" s="3">
        <f t="shared" si="3"/>
        <v>66.39678716594652</v>
      </c>
    </row>
    <row r="68" spans="1:19" x14ac:dyDescent="0.25">
      <c r="A68">
        <v>72.5</v>
      </c>
      <c r="B68">
        <v>1283.2</v>
      </c>
      <c r="C68">
        <v>1438.3689999999999</v>
      </c>
      <c r="D68">
        <v>1180.011</v>
      </c>
      <c r="E68">
        <v>1255.713</v>
      </c>
      <c r="F68">
        <v>1275.056</v>
      </c>
      <c r="H68" s="2">
        <f t="shared" si="0"/>
        <v>1286.4698000000001</v>
      </c>
      <c r="I68" s="2">
        <f t="shared" si="1"/>
        <v>42.127063882259804</v>
      </c>
      <c r="K68">
        <v>72.5</v>
      </c>
      <c r="L68">
        <v>1339.4860000000001</v>
      </c>
      <c r="M68">
        <v>1479.6289999999999</v>
      </c>
      <c r="N68">
        <v>1630.847</v>
      </c>
      <c r="O68">
        <v>1243.2850000000001</v>
      </c>
      <c r="P68">
        <v>1471.4839999999999</v>
      </c>
      <c r="R68" s="3">
        <f t="shared" si="2"/>
        <v>1432.9461999999999</v>
      </c>
      <c r="S68" s="3">
        <f t="shared" si="3"/>
        <v>66.15714332360487</v>
      </c>
    </row>
    <row r="69" spans="1:19" x14ac:dyDescent="0.25">
      <c r="A69">
        <v>73.75</v>
      </c>
      <c r="B69">
        <v>1280.96</v>
      </c>
      <c r="C69">
        <v>1441.9169999999999</v>
      </c>
      <c r="D69">
        <v>1188.838</v>
      </c>
      <c r="E69">
        <v>1266.441</v>
      </c>
      <c r="F69">
        <v>1276.4349999999999</v>
      </c>
      <c r="H69" s="2">
        <f t="shared" ref="H69:H96" si="4">AVERAGE(B69:F69)</f>
        <v>1290.9182000000001</v>
      </c>
      <c r="I69" s="2">
        <f t="shared" ref="I69:I96" si="5">STDEV(B69:F69)/SQRT(COUNT(B69:F69))</f>
        <v>41.3092404812773</v>
      </c>
      <c r="K69">
        <v>73.75</v>
      </c>
      <c r="L69">
        <v>1346.7539999999999</v>
      </c>
      <c r="M69">
        <v>1484.7349999999999</v>
      </c>
      <c r="N69">
        <v>1637.94</v>
      </c>
      <c r="O69">
        <v>1252.492</v>
      </c>
      <c r="P69">
        <v>1483.3489999999999</v>
      </c>
      <c r="R69" s="3">
        <f t="shared" ref="R69:R96" si="6">AVERAGE(L69:P69)</f>
        <v>1441.0540000000001</v>
      </c>
      <c r="S69" s="3">
        <f t="shared" ref="S69:S96" si="7">STDEV(L69:P69)/SQRT(COUNT(L69:P69))</f>
        <v>65.920069639678033</v>
      </c>
    </row>
    <row r="70" spans="1:19" x14ac:dyDescent="0.25">
      <c r="A70">
        <v>75</v>
      </c>
      <c r="B70">
        <v>1356.0609999999999</v>
      </c>
      <c r="C70">
        <v>1530.64</v>
      </c>
      <c r="D70">
        <v>1268.6610000000001</v>
      </c>
      <c r="E70">
        <v>1389.2349999999999</v>
      </c>
      <c r="F70">
        <v>1347.8679999999999</v>
      </c>
      <c r="H70" s="2">
        <f t="shared" si="4"/>
        <v>1378.4929999999999</v>
      </c>
      <c r="I70" s="2">
        <f t="shared" si="5"/>
        <v>42.876714919639092</v>
      </c>
      <c r="K70">
        <v>75</v>
      </c>
      <c r="L70">
        <v>1426.954</v>
      </c>
      <c r="M70">
        <v>1588.028</v>
      </c>
      <c r="N70">
        <v>1744.153</v>
      </c>
      <c r="O70">
        <v>1324.33</v>
      </c>
      <c r="P70">
        <v>1580.048</v>
      </c>
      <c r="R70" s="3">
        <f t="shared" si="6"/>
        <v>1532.7026000000001</v>
      </c>
      <c r="S70" s="3">
        <f t="shared" si="7"/>
        <v>72.324154083957339</v>
      </c>
    </row>
    <row r="71" spans="1:19" x14ac:dyDescent="0.25">
      <c r="A71">
        <v>76.25</v>
      </c>
      <c r="B71">
        <v>1527.854</v>
      </c>
      <c r="C71">
        <v>1703.3150000000001</v>
      </c>
      <c r="D71">
        <v>1425.7840000000001</v>
      </c>
      <c r="E71">
        <v>1649.269</v>
      </c>
      <c r="F71">
        <v>1527.1859999999999</v>
      </c>
      <c r="H71" s="2">
        <f t="shared" si="4"/>
        <v>1566.6815999999999</v>
      </c>
      <c r="I71" s="2">
        <f t="shared" si="5"/>
        <v>49.198060561977428</v>
      </c>
      <c r="K71">
        <v>76.25</v>
      </c>
      <c r="L71">
        <v>1604.1990000000001</v>
      </c>
      <c r="M71">
        <v>1786.146</v>
      </c>
      <c r="N71">
        <v>1958.39</v>
      </c>
      <c r="O71">
        <v>1487.8389999999999</v>
      </c>
      <c r="P71">
        <v>1771.3879999999999</v>
      </c>
      <c r="R71" s="3">
        <f t="shared" si="6"/>
        <v>1721.5924</v>
      </c>
      <c r="S71" s="3">
        <f t="shared" si="7"/>
        <v>80.975840468994221</v>
      </c>
    </row>
    <row r="72" spans="1:19" x14ac:dyDescent="0.25">
      <c r="A72">
        <v>77.5</v>
      </c>
      <c r="B72">
        <v>1622.51</v>
      </c>
      <c r="C72">
        <v>1803.4159999999999</v>
      </c>
      <c r="D72">
        <v>1492.115</v>
      </c>
      <c r="E72">
        <v>1775.73</v>
      </c>
      <c r="F72">
        <v>1607.318</v>
      </c>
      <c r="H72" s="2">
        <f t="shared" si="4"/>
        <v>1660.2177999999999</v>
      </c>
      <c r="I72" s="2">
        <f t="shared" si="5"/>
        <v>57.58802445856255</v>
      </c>
      <c r="K72">
        <v>77.5</v>
      </c>
      <c r="L72">
        <v>1700.491</v>
      </c>
      <c r="M72">
        <v>1869.8520000000001</v>
      </c>
      <c r="N72">
        <v>2045.431</v>
      </c>
      <c r="O72">
        <v>1562.6959999999999</v>
      </c>
      <c r="P72">
        <v>1865.8050000000001</v>
      </c>
      <c r="R72" s="3">
        <f t="shared" si="6"/>
        <v>1808.855</v>
      </c>
      <c r="S72" s="3">
        <f t="shared" si="7"/>
        <v>82.240242601174288</v>
      </c>
    </row>
    <row r="73" spans="1:19" x14ac:dyDescent="0.25">
      <c r="A73">
        <v>78.75</v>
      </c>
      <c r="B73">
        <v>1575.588</v>
      </c>
      <c r="C73">
        <v>1744.4090000000001</v>
      </c>
      <c r="D73">
        <v>1440.2070000000001</v>
      </c>
      <c r="E73">
        <v>1636.817</v>
      </c>
      <c r="F73">
        <v>1549.5740000000001</v>
      </c>
      <c r="H73" s="2">
        <f t="shared" si="4"/>
        <v>1589.3190000000002</v>
      </c>
      <c r="I73" s="2">
        <f t="shared" si="5"/>
        <v>50.155539092905776</v>
      </c>
      <c r="K73">
        <v>78.75</v>
      </c>
      <c r="L73">
        <v>1624.8040000000001</v>
      </c>
      <c r="M73">
        <v>1809.297</v>
      </c>
      <c r="N73">
        <v>1981.0170000000001</v>
      </c>
      <c r="O73">
        <v>1500.9970000000001</v>
      </c>
      <c r="P73">
        <v>1803.088</v>
      </c>
      <c r="R73" s="3">
        <f t="shared" si="6"/>
        <v>1743.8406000000002</v>
      </c>
      <c r="S73" s="3">
        <f t="shared" si="7"/>
        <v>82.822148494590479</v>
      </c>
    </row>
    <row r="74" spans="1:19" x14ac:dyDescent="0.25">
      <c r="A74">
        <v>80</v>
      </c>
      <c r="B74">
        <v>1475.848</v>
      </c>
      <c r="C74">
        <v>1649.921</v>
      </c>
      <c r="D74">
        <v>1356.2370000000001</v>
      </c>
      <c r="E74">
        <v>1470.578</v>
      </c>
      <c r="F74">
        <v>1464.2170000000001</v>
      </c>
      <c r="H74" s="2">
        <f t="shared" si="4"/>
        <v>1483.3602000000003</v>
      </c>
      <c r="I74" s="2">
        <f t="shared" si="5"/>
        <v>47.16412193966935</v>
      </c>
      <c r="K74">
        <v>80</v>
      </c>
      <c r="L74">
        <v>1543.2260000000001</v>
      </c>
      <c r="M74">
        <v>1718.4970000000001</v>
      </c>
      <c r="N74">
        <v>1872.623</v>
      </c>
      <c r="O74">
        <v>1425.921</v>
      </c>
      <c r="P74">
        <v>1693.4839999999999</v>
      </c>
      <c r="R74" s="3">
        <f t="shared" si="6"/>
        <v>1650.7501999999999</v>
      </c>
      <c r="S74" s="3">
        <f t="shared" si="7"/>
        <v>76.731013518263907</v>
      </c>
    </row>
    <row r="75" spans="1:19" x14ac:dyDescent="0.25">
      <c r="A75">
        <v>81.25</v>
      </c>
      <c r="B75">
        <v>1511.5360000000001</v>
      </c>
      <c r="C75">
        <v>1724.3309999999999</v>
      </c>
      <c r="D75">
        <v>1464.4649999999999</v>
      </c>
      <c r="E75">
        <v>1509.73</v>
      </c>
      <c r="F75">
        <v>1538.433</v>
      </c>
      <c r="H75" s="2">
        <f t="shared" si="4"/>
        <v>1549.6990000000001</v>
      </c>
      <c r="I75" s="2">
        <f t="shared" si="5"/>
        <v>45.244904942987766</v>
      </c>
      <c r="K75">
        <v>81.25</v>
      </c>
      <c r="L75">
        <v>1678.0060000000001</v>
      </c>
      <c r="M75">
        <v>1847.1479999999999</v>
      </c>
      <c r="N75">
        <v>2039.4949999999999</v>
      </c>
      <c r="O75">
        <v>1498.039</v>
      </c>
      <c r="P75">
        <v>1793.848</v>
      </c>
      <c r="R75" s="3">
        <f t="shared" si="6"/>
        <v>1771.3072</v>
      </c>
      <c r="S75" s="3">
        <f t="shared" si="7"/>
        <v>89.879150455151915</v>
      </c>
    </row>
    <row r="76" spans="1:19" x14ac:dyDescent="0.25">
      <c r="A76">
        <v>82.5</v>
      </c>
      <c r="B76">
        <v>1908.5229999999999</v>
      </c>
      <c r="C76">
        <v>2273.8510000000001</v>
      </c>
      <c r="D76">
        <v>2002.652</v>
      </c>
      <c r="E76">
        <v>1995.903</v>
      </c>
      <c r="F76">
        <v>2048.069</v>
      </c>
      <c r="H76" s="2">
        <f t="shared" si="4"/>
        <v>2045.7995999999998</v>
      </c>
      <c r="I76" s="2">
        <f t="shared" si="5"/>
        <v>61.322443771917662</v>
      </c>
      <c r="K76">
        <v>82.5</v>
      </c>
      <c r="L76">
        <v>2206.5619999999999</v>
      </c>
      <c r="M76">
        <v>2343.6790000000001</v>
      </c>
      <c r="N76">
        <v>2654.1370000000002</v>
      </c>
      <c r="O76">
        <v>1916.193</v>
      </c>
      <c r="P76">
        <v>2403.317</v>
      </c>
      <c r="R76" s="3">
        <f t="shared" si="6"/>
        <v>2304.7775999999999</v>
      </c>
      <c r="S76" s="3">
        <f t="shared" si="7"/>
        <v>121.22698092487602</v>
      </c>
    </row>
    <row r="77" spans="1:19" x14ac:dyDescent="0.25">
      <c r="A77">
        <v>83.75</v>
      </c>
      <c r="B77">
        <v>2674.9589999999998</v>
      </c>
      <c r="C77">
        <v>3150.962</v>
      </c>
      <c r="D77">
        <v>2733.5369999999998</v>
      </c>
      <c r="E77">
        <v>2806.723</v>
      </c>
      <c r="F77">
        <v>2836.8919999999998</v>
      </c>
      <c r="H77" s="2">
        <f t="shared" si="4"/>
        <v>2840.6145999999999</v>
      </c>
      <c r="I77" s="2">
        <f t="shared" si="5"/>
        <v>82.578870548464181</v>
      </c>
      <c r="K77">
        <v>83.75</v>
      </c>
      <c r="L77">
        <v>2970.415</v>
      </c>
      <c r="M77">
        <v>3196.299</v>
      </c>
      <c r="N77">
        <v>3577.1770000000001</v>
      </c>
      <c r="O77">
        <v>2629.4929999999999</v>
      </c>
      <c r="P77">
        <v>3313.9879999999998</v>
      </c>
      <c r="R77" s="3">
        <f t="shared" si="6"/>
        <v>3137.4744000000001</v>
      </c>
      <c r="S77" s="3">
        <f t="shared" si="7"/>
        <v>160.29811397380999</v>
      </c>
    </row>
    <row r="78" spans="1:19" x14ac:dyDescent="0.25">
      <c r="A78">
        <v>85</v>
      </c>
      <c r="B78">
        <v>3381.0650000000001</v>
      </c>
      <c r="C78">
        <v>3863.6880000000001</v>
      </c>
      <c r="D78">
        <v>3293.7890000000002</v>
      </c>
      <c r="E78">
        <v>3508.261</v>
      </c>
      <c r="F78">
        <v>3470.4180000000001</v>
      </c>
      <c r="H78" s="2">
        <f t="shared" si="4"/>
        <v>3503.4442000000004</v>
      </c>
      <c r="I78" s="2">
        <f t="shared" si="5"/>
        <v>97.422147986687278</v>
      </c>
      <c r="K78">
        <v>85</v>
      </c>
      <c r="L78">
        <v>3519.6</v>
      </c>
      <c r="M78">
        <v>3925.2860000000001</v>
      </c>
      <c r="N78">
        <v>4286.8119999999999</v>
      </c>
      <c r="O78">
        <v>3185.4560000000001</v>
      </c>
      <c r="P78">
        <v>4003.8249999999998</v>
      </c>
      <c r="R78" s="3">
        <f t="shared" si="6"/>
        <v>3784.1958</v>
      </c>
      <c r="S78" s="3">
        <f t="shared" si="7"/>
        <v>193.55448328736864</v>
      </c>
    </row>
    <row r="79" spans="1:19" x14ac:dyDescent="0.25">
      <c r="A79">
        <v>86.25</v>
      </c>
      <c r="B79">
        <v>3650.7979999999998</v>
      </c>
      <c r="C79">
        <v>4084.4450000000002</v>
      </c>
      <c r="D79">
        <v>3385.413</v>
      </c>
      <c r="E79">
        <v>3692.538</v>
      </c>
      <c r="F79">
        <v>3603.627</v>
      </c>
      <c r="H79" s="2">
        <f t="shared" si="4"/>
        <v>3683.3642</v>
      </c>
      <c r="I79" s="2">
        <f t="shared" si="5"/>
        <v>113.38947542933607</v>
      </c>
      <c r="K79">
        <v>86.25</v>
      </c>
      <c r="L79">
        <v>3754.7370000000001</v>
      </c>
      <c r="M79">
        <v>4059.136</v>
      </c>
      <c r="N79">
        <v>4496.3980000000001</v>
      </c>
      <c r="O79">
        <v>3327.9650000000001</v>
      </c>
      <c r="P79">
        <v>4151.6379999999999</v>
      </c>
      <c r="R79" s="3">
        <f t="shared" si="6"/>
        <v>3957.9748</v>
      </c>
      <c r="S79" s="3">
        <f t="shared" si="7"/>
        <v>196.9589446004928</v>
      </c>
    </row>
    <row r="80" spans="1:19" x14ac:dyDescent="0.25">
      <c r="A80">
        <v>87.5</v>
      </c>
      <c r="B80">
        <v>3411.232</v>
      </c>
      <c r="C80">
        <v>3785.5419999999999</v>
      </c>
      <c r="D80">
        <v>3145.0439999999999</v>
      </c>
      <c r="E80">
        <v>3442.2420000000002</v>
      </c>
      <c r="F80">
        <v>3318.2809999999999</v>
      </c>
      <c r="H80" s="2">
        <f t="shared" si="4"/>
        <v>3420.4682000000003</v>
      </c>
      <c r="I80" s="2">
        <f t="shared" si="5"/>
        <v>104.91401217015772</v>
      </c>
      <c r="K80">
        <v>87.5</v>
      </c>
      <c r="L80">
        <v>3529.43</v>
      </c>
      <c r="M80">
        <v>3695.4769999999999</v>
      </c>
      <c r="N80">
        <v>4253.55</v>
      </c>
      <c r="O80">
        <v>3106.3620000000001</v>
      </c>
      <c r="P80">
        <v>3837.9079999999999</v>
      </c>
      <c r="R80" s="3">
        <f t="shared" si="6"/>
        <v>3684.5454</v>
      </c>
      <c r="S80" s="3">
        <f t="shared" si="7"/>
        <v>187.85135787786933</v>
      </c>
    </row>
    <row r="81" spans="1:19" x14ac:dyDescent="0.25">
      <c r="A81">
        <v>88.75</v>
      </c>
      <c r="B81">
        <v>3049.1489999999999</v>
      </c>
      <c r="C81">
        <v>3407.694</v>
      </c>
      <c r="D81">
        <v>2892.0459999999998</v>
      </c>
      <c r="E81">
        <v>3094.0680000000002</v>
      </c>
      <c r="F81">
        <v>2977.1219999999998</v>
      </c>
      <c r="H81" s="2">
        <f t="shared" si="4"/>
        <v>3084.0157999999997</v>
      </c>
      <c r="I81" s="2">
        <f t="shared" si="5"/>
        <v>87.85300399326141</v>
      </c>
      <c r="K81">
        <v>88.75</v>
      </c>
      <c r="L81">
        <v>3141.748</v>
      </c>
      <c r="M81">
        <v>3278.7759999999998</v>
      </c>
      <c r="N81">
        <v>3831.587</v>
      </c>
      <c r="O81">
        <v>2774.9630000000002</v>
      </c>
      <c r="P81">
        <v>3402.84</v>
      </c>
      <c r="R81" s="3">
        <f t="shared" si="6"/>
        <v>3285.9827999999993</v>
      </c>
      <c r="S81" s="3">
        <f t="shared" si="7"/>
        <v>172.24058751334218</v>
      </c>
    </row>
    <row r="82" spans="1:19" x14ac:dyDescent="0.25">
      <c r="A82">
        <v>90</v>
      </c>
      <c r="B82">
        <v>3047.3389999999999</v>
      </c>
      <c r="C82">
        <v>3346.61</v>
      </c>
      <c r="D82">
        <v>2911.7640000000001</v>
      </c>
      <c r="E82">
        <v>3127.6370000000002</v>
      </c>
      <c r="F82">
        <v>2974.5790000000002</v>
      </c>
      <c r="H82" s="2">
        <f t="shared" si="4"/>
        <v>3081.5857999999998</v>
      </c>
      <c r="I82" s="2">
        <f t="shared" si="5"/>
        <v>75.439141670223151</v>
      </c>
      <c r="K82">
        <v>90</v>
      </c>
      <c r="L82">
        <v>3095.7840000000001</v>
      </c>
      <c r="M82">
        <v>3224.71</v>
      </c>
      <c r="N82">
        <v>3723.2170000000001</v>
      </c>
      <c r="O82">
        <v>2637.538</v>
      </c>
      <c r="P82">
        <v>3342.6689999999999</v>
      </c>
      <c r="R82" s="3">
        <f t="shared" si="6"/>
        <v>3204.7836000000002</v>
      </c>
      <c r="S82" s="3">
        <f t="shared" si="7"/>
        <v>176.32797831104267</v>
      </c>
    </row>
    <row r="83" spans="1:19" x14ac:dyDescent="0.25">
      <c r="A83">
        <v>91.25</v>
      </c>
      <c r="B83">
        <v>3233.1419999999998</v>
      </c>
      <c r="C83">
        <v>3490.33</v>
      </c>
      <c r="D83">
        <v>3061.49</v>
      </c>
      <c r="E83">
        <v>3402.1550000000002</v>
      </c>
      <c r="F83">
        <v>3166.002</v>
      </c>
      <c r="H83" s="2">
        <f t="shared" si="4"/>
        <v>3270.6238000000003</v>
      </c>
      <c r="I83" s="2">
        <f t="shared" si="5"/>
        <v>77.993212384412061</v>
      </c>
      <c r="K83">
        <v>91.25</v>
      </c>
      <c r="L83">
        <v>3269.9259999999999</v>
      </c>
      <c r="M83">
        <v>3359.72</v>
      </c>
      <c r="N83">
        <v>3881.3020000000001</v>
      </c>
      <c r="O83">
        <v>2730.1</v>
      </c>
      <c r="P83">
        <v>3533.7069999999999</v>
      </c>
      <c r="R83" s="3">
        <f t="shared" si="6"/>
        <v>3354.951</v>
      </c>
      <c r="S83" s="3">
        <f t="shared" si="7"/>
        <v>187.97471225193942</v>
      </c>
    </row>
    <row r="84" spans="1:19" x14ac:dyDescent="0.25">
      <c r="A84">
        <v>92.5</v>
      </c>
      <c r="B84">
        <v>3316.4</v>
      </c>
      <c r="C84">
        <v>3600.0349999999999</v>
      </c>
      <c r="D84">
        <v>3162.1329999999998</v>
      </c>
      <c r="E84">
        <v>3560.4430000000002</v>
      </c>
      <c r="F84">
        <v>3242.0479999999998</v>
      </c>
      <c r="H84" s="2">
        <f t="shared" si="4"/>
        <v>3376.2117999999996</v>
      </c>
      <c r="I84" s="2">
        <f t="shared" si="5"/>
        <v>87.018696028727106</v>
      </c>
      <c r="K84">
        <v>92.5</v>
      </c>
      <c r="L84">
        <v>3375.2640000000001</v>
      </c>
      <c r="M84">
        <v>3391.1779999999999</v>
      </c>
      <c r="N84">
        <v>3930.306</v>
      </c>
      <c r="O84">
        <v>2744.3530000000001</v>
      </c>
      <c r="P84">
        <v>3586.7379999999998</v>
      </c>
      <c r="R84" s="3">
        <f t="shared" si="6"/>
        <v>3405.5677999999998</v>
      </c>
      <c r="S84" s="3">
        <f t="shared" si="7"/>
        <v>193.19720731480479</v>
      </c>
    </row>
    <row r="85" spans="1:19" x14ac:dyDescent="0.25">
      <c r="A85">
        <v>93.75</v>
      </c>
      <c r="B85">
        <v>3192.86</v>
      </c>
      <c r="C85">
        <v>3476.5360000000001</v>
      </c>
      <c r="D85">
        <v>3017.2139999999999</v>
      </c>
      <c r="E85">
        <v>3425.46</v>
      </c>
      <c r="F85">
        <v>3102.5970000000002</v>
      </c>
      <c r="H85" s="2">
        <f t="shared" si="4"/>
        <v>3242.9333999999999</v>
      </c>
      <c r="I85" s="2">
        <f t="shared" si="5"/>
        <v>89.732110340501848</v>
      </c>
      <c r="K85">
        <v>93.75</v>
      </c>
      <c r="L85">
        <v>3266.5160000000001</v>
      </c>
      <c r="M85">
        <v>3250.6509999999998</v>
      </c>
      <c r="N85">
        <v>3859.6660000000002</v>
      </c>
      <c r="O85">
        <v>2635.7069999999999</v>
      </c>
      <c r="P85">
        <v>3439.453</v>
      </c>
      <c r="R85" s="3">
        <f t="shared" si="6"/>
        <v>3290.3985999999995</v>
      </c>
      <c r="S85" s="3">
        <f t="shared" si="7"/>
        <v>197.11087340139471</v>
      </c>
    </row>
    <row r="86" spans="1:19" x14ac:dyDescent="0.25">
      <c r="A86">
        <v>95</v>
      </c>
      <c r="B86">
        <v>3050.1190000000001</v>
      </c>
      <c r="C86">
        <v>3284.049</v>
      </c>
      <c r="D86">
        <v>2824.8150000000001</v>
      </c>
      <c r="E86">
        <v>3134.9360000000001</v>
      </c>
      <c r="F86">
        <v>2950.2649999999999</v>
      </c>
      <c r="H86" s="2">
        <f t="shared" si="4"/>
        <v>3048.8368</v>
      </c>
      <c r="I86" s="2">
        <f t="shared" si="5"/>
        <v>78.307618383143279</v>
      </c>
      <c r="K86">
        <v>95</v>
      </c>
      <c r="L86">
        <v>3100.6590000000001</v>
      </c>
      <c r="M86">
        <v>3211.03</v>
      </c>
      <c r="N86">
        <v>3763.8710000000001</v>
      </c>
      <c r="O86">
        <v>2629.9189999999999</v>
      </c>
      <c r="P86">
        <v>3318.9470000000001</v>
      </c>
      <c r="R86" s="3">
        <f t="shared" si="6"/>
        <v>3204.8852000000002</v>
      </c>
      <c r="S86" s="3">
        <f t="shared" si="7"/>
        <v>182.61465019225494</v>
      </c>
    </row>
    <row r="87" spans="1:19" x14ac:dyDescent="0.25">
      <c r="A87">
        <v>96.25</v>
      </c>
      <c r="B87">
        <v>3074.6370000000002</v>
      </c>
      <c r="C87">
        <v>3314.9479999999999</v>
      </c>
      <c r="D87">
        <v>2860.3339999999998</v>
      </c>
      <c r="E87">
        <v>3036.4769999999999</v>
      </c>
      <c r="F87">
        <v>3008.8420000000001</v>
      </c>
      <c r="H87" s="2">
        <f t="shared" si="4"/>
        <v>3059.0476000000003</v>
      </c>
      <c r="I87" s="2">
        <f t="shared" si="5"/>
        <v>73.568054613806396</v>
      </c>
      <c r="K87">
        <v>96.25</v>
      </c>
      <c r="L87">
        <v>3159.3969999999999</v>
      </c>
      <c r="M87">
        <v>3437.6970000000001</v>
      </c>
      <c r="N87">
        <v>3888.7860000000001</v>
      </c>
      <c r="O87">
        <v>2852.0479999999998</v>
      </c>
      <c r="P87">
        <v>3487.9659999999999</v>
      </c>
      <c r="R87" s="3">
        <f t="shared" si="6"/>
        <v>3365.1788000000001</v>
      </c>
      <c r="S87" s="3">
        <f t="shared" si="7"/>
        <v>173.22665107119025</v>
      </c>
    </row>
    <row r="88" spans="1:19" x14ac:dyDescent="0.25">
      <c r="A88">
        <v>97.5</v>
      </c>
      <c r="B88">
        <v>3290.944</v>
      </c>
      <c r="C88">
        <v>3631.1729999999998</v>
      </c>
      <c r="D88">
        <v>3103.4639999999999</v>
      </c>
      <c r="E88">
        <v>3217.5360000000001</v>
      </c>
      <c r="F88">
        <v>3251.7489999999998</v>
      </c>
      <c r="H88" s="2">
        <f t="shared" si="4"/>
        <v>3298.9732000000004</v>
      </c>
      <c r="I88" s="2">
        <f t="shared" si="5"/>
        <v>88.743215252434894</v>
      </c>
      <c r="K88">
        <v>97.5</v>
      </c>
      <c r="L88">
        <v>3446.03</v>
      </c>
      <c r="M88">
        <v>3867.527</v>
      </c>
      <c r="N88">
        <v>4212.7060000000001</v>
      </c>
      <c r="O88">
        <v>3152.915</v>
      </c>
      <c r="P88">
        <v>3785.2759999999998</v>
      </c>
      <c r="R88" s="3">
        <f t="shared" si="6"/>
        <v>3692.8907999999997</v>
      </c>
      <c r="S88" s="3">
        <f t="shared" si="7"/>
        <v>181.9003558054244</v>
      </c>
    </row>
    <row r="89" spans="1:19" x14ac:dyDescent="0.25">
      <c r="A89">
        <v>98.75</v>
      </c>
      <c r="B89">
        <v>3558.7330000000002</v>
      </c>
      <c r="C89">
        <v>3979.8049999999998</v>
      </c>
      <c r="D89">
        <v>3348.826</v>
      </c>
      <c r="E89">
        <v>3511.7950000000001</v>
      </c>
      <c r="F89">
        <v>3554.3130000000001</v>
      </c>
      <c r="H89" s="2">
        <f t="shared" si="4"/>
        <v>3590.6944000000003</v>
      </c>
      <c r="I89" s="2">
        <f t="shared" si="5"/>
        <v>104.51737526057566</v>
      </c>
      <c r="K89">
        <v>98.75</v>
      </c>
      <c r="L89">
        <v>3793.989</v>
      </c>
      <c r="M89">
        <v>4205.5360000000001</v>
      </c>
      <c r="N89">
        <v>4515.6890000000003</v>
      </c>
      <c r="O89">
        <v>3442.5650000000001</v>
      </c>
      <c r="P89">
        <v>4080.8049999999998</v>
      </c>
      <c r="R89" s="3">
        <f t="shared" si="6"/>
        <v>4007.7167999999997</v>
      </c>
      <c r="S89" s="3">
        <f t="shared" si="7"/>
        <v>182.70005560710703</v>
      </c>
    </row>
    <row r="90" spans="1:19" x14ac:dyDescent="0.25">
      <c r="A90">
        <v>100</v>
      </c>
      <c r="B90">
        <v>3710.5189999999998</v>
      </c>
      <c r="C90">
        <v>4143.7259999999997</v>
      </c>
      <c r="D90">
        <v>3432.337</v>
      </c>
      <c r="E90">
        <v>3636.5</v>
      </c>
      <c r="F90">
        <v>3682.5859999999998</v>
      </c>
      <c r="H90" s="2">
        <f t="shared" si="4"/>
        <v>3721.1335999999997</v>
      </c>
      <c r="I90" s="2">
        <f t="shared" si="5"/>
        <v>116.35060080575427</v>
      </c>
      <c r="K90">
        <v>100</v>
      </c>
      <c r="L90">
        <v>3906.1179999999999</v>
      </c>
      <c r="M90">
        <v>4346.18</v>
      </c>
      <c r="N90">
        <v>4680.2510000000002</v>
      </c>
      <c r="O90">
        <v>3578.5279999999998</v>
      </c>
      <c r="P90">
        <v>4198.0420000000004</v>
      </c>
      <c r="R90" s="3">
        <f t="shared" si="6"/>
        <v>4141.8238000000001</v>
      </c>
      <c r="S90" s="3">
        <f t="shared" si="7"/>
        <v>188.10704062325797</v>
      </c>
    </row>
    <row r="91" spans="1:19" x14ac:dyDescent="0.25">
      <c r="A91">
        <v>101.25</v>
      </c>
      <c r="B91">
        <v>3605.9079999999999</v>
      </c>
      <c r="C91">
        <v>4050.4850000000001</v>
      </c>
      <c r="D91">
        <v>3296.6640000000002</v>
      </c>
      <c r="E91">
        <v>3541.393</v>
      </c>
      <c r="F91">
        <v>3576.6390000000001</v>
      </c>
      <c r="H91" s="2">
        <f t="shared" si="4"/>
        <v>3614.2177999999999</v>
      </c>
      <c r="I91" s="2">
        <f t="shared" si="5"/>
        <v>122.05616661414528</v>
      </c>
      <c r="K91">
        <v>101.25</v>
      </c>
      <c r="L91">
        <v>3762.239</v>
      </c>
      <c r="M91">
        <v>4209.7889999999998</v>
      </c>
      <c r="N91">
        <v>4572.0339999999997</v>
      </c>
      <c r="O91">
        <v>3458.3510000000001</v>
      </c>
      <c r="P91">
        <v>4092.0439999999999</v>
      </c>
      <c r="R91" s="3">
        <f t="shared" si="6"/>
        <v>4018.8914000000004</v>
      </c>
      <c r="S91" s="3">
        <f t="shared" si="7"/>
        <v>190.76633966258294</v>
      </c>
    </row>
    <row r="92" spans="1:19" x14ac:dyDescent="0.25">
      <c r="A92">
        <v>102.5</v>
      </c>
      <c r="B92">
        <v>3345.2179999999998</v>
      </c>
      <c r="C92">
        <v>3789.0970000000002</v>
      </c>
      <c r="D92">
        <v>3041.8420000000001</v>
      </c>
      <c r="E92">
        <v>3313.5309999999999</v>
      </c>
      <c r="F92">
        <v>3302.002</v>
      </c>
      <c r="H92" s="2">
        <f t="shared" si="4"/>
        <v>3358.3380000000006</v>
      </c>
      <c r="I92" s="2">
        <f t="shared" si="5"/>
        <v>120.63925162276168</v>
      </c>
      <c r="K92">
        <v>102.5</v>
      </c>
      <c r="L92">
        <v>3478.116</v>
      </c>
      <c r="M92">
        <v>3923.489</v>
      </c>
      <c r="N92">
        <v>4230.6450000000004</v>
      </c>
      <c r="O92">
        <v>3214.3939999999998</v>
      </c>
      <c r="P92">
        <v>3784.424</v>
      </c>
      <c r="R92" s="3">
        <f t="shared" si="6"/>
        <v>3726.2136</v>
      </c>
      <c r="S92" s="3">
        <f t="shared" si="7"/>
        <v>176.10633059166278</v>
      </c>
    </row>
    <row r="93" spans="1:19" x14ac:dyDescent="0.25">
      <c r="A93">
        <v>103.75</v>
      </c>
      <c r="B93">
        <v>2944.4929999999999</v>
      </c>
      <c r="C93">
        <v>3364.098</v>
      </c>
      <c r="D93">
        <v>2690.712</v>
      </c>
      <c r="E93">
        <v>2967.8589999999999</v>
      </c>
      <c r="F93">
        <v>2905.74</v>
      </c>
      <c r="H93" s="2">
        <f t="shared" si="4"/>
        <v>2974.5803999999998</v>
      </c>
      <c r="I93" s="2">
        <f t="shared" si="5"/>
        <v>109.08589706217758</v>
      </c>
      <c r="K93">
        <v>103.75</v>
      </c>
      <c r="L93">
        <v>3044.2539999999999</v>
      </c>
      <c r="M93">
        <v>3462.154</v>
      </c>
      <c r="N93">
        <v>3726.5329999999999</v>
      </c>
      <c r="O93">
        <v>2857.51</v>
      </c>
      <c r="P93">
        <v>3292.9690000000001</v>
      </c>
      <c r="R93" s="3">
        <f t="shared" si="6"/>
        <v>3276.6839999999997</v>
      </c>
      <c r="S93" s="3">
        <f t="shared" si="7"/>
        <v>152.76763271419762</v>
      </c>
    </row>
    <row r="94" spans="1:19" x14ac:dyDescent="0.25">
      <c r="A94">
        <v>105</v>
      </c>
      <c r="B94">
        <v>2546.3980000000001</v>
      </c>
      <c r="C94">
        <v>2919.4490000000001</v>
      </c>
      <c r="D94">
        <v>2386.9389999999999</v>
      </c>
      <c r="E94">
        <v>2628.973</v>
      </c>
      <c r="F94">
        <v>2578.9209999999998</v>
      </c>
      <c r="H94" s="2">
        <f t="shared" si="4"/>
        <v>2612.136</v>
      </c>
      <c r="I94" s="2">
        <f t="shared" si="5"/>
        <v>86.851359867304353</v>
      </c>
      <c r="K94">
        <v>105</v>
      </c>
      <c r="L94">
        <v>2632.8629999999998</v>
      </c>
      <c r="M94">
        <v>3014.4079999999999</v>
      </c>
      <c r="N94">
        <v>3226.7489999999998</v>
      </c>
      <c r="O94">
        <v>2505.9569999999999</v>
      </c>
      <c r="P94">
        <v>2843.116</v>
      </c>
      <c r="R94" s="3">
        <f t="shared" si="6"/>
        <v>2844.6186000000002</v>
      </c>
      <c r="S94" s="3">
        <f t="shared" si="7"/>
        <v>129.30322003128924</v>
      </c>
    </row>
    <row r="95" spans="1:19" x14ac:dyDescent="0.25">
      <c r="A95">
        <v>106.25</v>
      </c>
      <c r="B95">
        <v>2356.1179999999999</v>
      </c>
      <c r="C95">
        <v>2686.1770000000001</v>
      </c>
      <c r="D95">
        <v>2262.1010000000001</v>
      </c>
      <c r="E95">
        <v>2467.7260000000001</v>
      </c>
      <c r="F95">
        <v>2440.3589999999999</v>
      </c>
      <c r="H95" s="2">
        <f t="shared" si="4"/>
        <v>2442.4962000000005</v>
      </c>
      <c r="I95" s="2">
        <f t="shared" si="5"/>
        <v>70.719539145415837</v>
      </c>
      <c r="K95">
        <v>106.25</v>
      </c>
      <c r="L95">
        <v>2455.0610000000001</v>
      </c>
      <c r="M95">
        <v>2819.4850000000001</v>
      </c>
      <c r="N95">
        <v>2982.3879999999999</v>
      </c>
      <c r="O95">
        <v>2349.511</v>
      </c>
      <c r="P95">
        <v>2654.9830000000002</v>
      </c>
      <c r="R95" s="3">
        <f t="shared" si="6"/>
        <v>2652.2856000000002</v>
      </c>
      <c r="S95" s="3">
        <f t="shared" si="7"/>
        <v>115.65044553809551</v>
      </c>
    </row>
    <row r="96" spans="1:19" x14ac:dyDescent="0.25">
      <c r="A96">
        <v>107.5</v>
      </c>
      <c r="B96">
        <v>2307.3609999999999</v>
      </c>
      <c r="C96">
        <v>2608.9589999999998</v>
      </c>
      <c r="D96">
        <v>2226.5340000000001</v>
      </c>
      <c r="E96">
        <v>2427.915</v>
      </c>
      <c r="F96">
        <v>2398.6840000000002</v>
      </c>
      <c r="H96" s="2">
        <f t="shared" si="4"/>
        <v>2393.8906000000002</v>
      </c>
      <c r="I96" s="2">
        <f t="shared" si="5"/>
        <v>64.393577473689064</v>
      </c>
      <c r="K96">
        <v>107.5</v>
      </c>
      <c r="L96">
        <v>2403.9850000000001</v>
      </c>
      <c r="M96">
        <v>2780.9279999999999</v>
      </c>
      <c r="N96">
        <v>2920.1030000000001</v>
      </c>
      <c r="O96">
        <v>2300.12</v>
      </c>
      <c r="P96">
        <v>2612.1179999999999</v>
      </c>
      <c r="R96" s="3">
        <f t="shared" si="6"/>
        <v>2603.4508000000001</v>
      </c>
      <c r="S96" s="3">
        <f t="shared" si="7"/>
        <v>114.81247150000735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BRIGHT!OCT_RAW___\CO16\_dark_profiles_CO16_DARK</vt:lpstr>
      <vt:lpstr>BRIGHT!OCT_RAW___\CO16\_light_profiles_CO16_LIGHT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2019-11-17T03:30:46Z</dcterms:modified>
</cp:coreProperties>
</file>