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[2019-11NOV-16]\AQ795\"/>
    </mc:Choice>
  </mc:AlternateContent>
  <xr:revisionPtr revIDLastSave="0" documentId="13_ncr:1_{44BB9E8E-89BF-4691-A79C-E5D704A5E4BE}" xr6:coauthVersionLast="45" xr6:coauthVersionMax="45" xr10:uidLastSave="{00000000-0000-0000-0000-000000000000}"/>
  <bookViews>
    <workbookView xWindow="660" yWindow="675" windowWidth="26115" windowHeight="13320" xr2:uid="{00000000-000D-0000-FFFF-FFFF00000000}"/>
  </bookViews>
  <sheets>
    <sheet name="BRIGHT" sheetId="1" r:id="rId1"/>
  </sheets>
  <definedNames>
    <definedName name="OCT_RAW___\AQ01\_dark_profiles_AQ01_DARK" localSheetId="0">BRIGHT!$A$2:$F$96</definedName>
    <definedName name="OCT_RAW___\AQ01\_fovea_dark_profiles_AQ01_DARK" localSheetId="0">BRIGHT!#REF!</definedName>
    <definedName name="OCT_RAW___\AQ01\_fovea_light_profiles_AQ01_LIGHT" localSheetId="0">BRIGHT!#REF!</definedName>
    <definedName name="OCT_RAW___\AQ01\_light_profiles_AQ01_LIGHT_1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7" i="1" l="1"/>
  <c r="I27" i="1"/>
  <c r="R27" i="1"/>
  <c r="S27" i="1"/>
  <c r="H28" i="1"/>
  <c r="I28" i="1"/>
  <c r="R28" i="1"/>
  <c r="S28" i="1"/>
  <c r="H29" i="1"/>
  <c r="I29" i="1"/>
  <c r="R29" i="1"/>
  <c r="S29" i="1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AE7FA7-821D-4416-83C2-FF9745A24335}" name="[[[OCT RAW]]]\AQ01\_dark_profiles_AQ01_DARK" type="6" refreshedVersion="6" background="1" saveData="1">
    <textPr codePage="437" sourceFile="E:\[Documents]\[[[OCT RAW]]]\AQ01\_dark_profiles_AQ01_DARK.txt" space="1" consecutive="1">
      <textFields count="6">
        <textField/>
        <textField/>
        <textField/>
        <textField/>
        <textField/>
        <textField/>
      </textFields>
    </textPr>
  </connection>
  <connection id="2" xr16:uid="{5A4C3A9A-013C-4DA8-A8EF-E01B7620B56F}" name="[[[OCT RAW]]]\AQ01\_light_profiles_AQ01_LIGHT" type="6" refreshedVersion="6" background="1" saveData="1">
    <textPr codePage="437" sourceFile="E:\[Documents]\[[[OCT RAW]]]\AQ01\_light_profiles_AQ01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<sst xmlns="http://schemas.openxmlformats.org/spreadsheetml/2006/main" count="138" uniqueCount="9">
  <si>
    <t>angle</t>
  </si>
  <si>
    <t>whole</t>
  </si>
  <si>
    <t>RPEtoOLM</t>
  </si>
  <si>
    <t>RNFL</t>
  </si>
  <si>
    <t>DARK 500 microns to 2750 microns</t>
  </si>
  <si>
    <t>LIGHT 500 microns to 2750 microns</t>
  </si>
  <si>
    <t>NA</t>
  </si>
  <si>
    <t>AQ795_DARK</t>
  </si>
  <si>
    <t>AQ795_LIGHT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</si>
</sst>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Q01\_light_profiles_AQ01_LIGHT_1" connectionId="2" xr16:uid="{2A4793AB-BC08-4410-A4E5-36B294EF6CA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Q01\_dark_profiles_AQ01_DARK" connectionId="1" xr16:uid="{35A653E9-6BEA-473B-9F7D-8E3311F6D24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topLeftCell="A7" workbookViewId="0">
      <selection activeCell="U18" sqref="U18"/>
    </sheetView>
  </sheetViews>
  <sheetFormatPr defaultRowHeight="15" x14ac:dyDescent="0.25"/>
  <cols>
    <col min="1" max="1" width="11.5703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710937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6" t="s">
        <v>4</v>
      </c>
      <c r="B1" s="6"/>
      <c r="C1" s="6"/>
      <c r="D1" s="6"/>
      <c r="E1" s="6"/>
      <c r="F1" s="6"/>
      <c r="K1" s="7" t="s">
        <v>5</v>
      </c>
      <c r="L1" s="7"/>
      <c r="M1" s="7"/>
      <c r="N1" s="7"/>
      <c r="O1" s="7"/>
      <c r="P1" s="7"/>
    </row>
    <row r="2" spans="1:19" x14ac:dyDescent="0.25">
      <c r="A2" t="s">
        <v>7</v>
      </c>
      <c r="B2">
        <v>1</v>
      </c>
      <c r="C2">
        <v>2</v>
      </c>
      <c r="D2">
        <v>3</v>
      </c>
      <c r="E2">
        <v>4</v>
      </c>
      <c r="F2">
        <v>5</v>
      </c>
      <c r="K2" t="s">
        <v>8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0.34699999999999998</v>
      </c>
      <c r="C3">
        <v>2.4609999999999999</v>
      </c>
      <c r="D3">
        <v>-0.46</v>
      </c>
      <c r="E3">
        <v>0.66700000000000004</v>
      </c>
      <c r="F3">
        <v>1.7589999999999999</v>
      </c>
      <c r="K3" t="s">
        <v>0</v>
      </c>
      <c r="L3">
        <v>1.9490000000000001</v>
      </c>
      <c r="M3">
        <v>0.70899999999999996</v>
      </c>
      <c r="N3">
        <v>1.524</v>
      </c>
      <c r="O3">
        <v>2.653</v>
      </c>
      <c r="P3">
        <v>1.5529999999999999</v>
      </c>
    </row>
    <row r="4" spans="1:19" x14ac:dyDescent="0.25">
      <c r="A4" t="s">
        <v>1</v>
      </c>
      <c r="B4">
        <v>268.44900000000001</v>
      </c>
      <c r="C4">
        <v>268.93599999999998</v>
      </c>
      <c r="D4">
        <v>266.44299999999998</v>
      </c>
      <c r="E4">
        <v>266.78199999999998</v>
      </c>
      <c r="F4">
        <v>268.89499999999998</v>
      </c>
      <c r="H4" s="2">
        <f>AVERAGE(B4:F4)</f>
        <v>267.90099999999995</v>
      </c>
      <c r="I4" s="2">
        <f>STDEV(B4:F4)/SQRT(COUNT(B4:F4))</f>
        <v>0.53560666538048329</v>
      </c>
      <c r="K4" t="s">
        <v>1</v>
      </c>
      <c r="L4">
        <v>268.47399999999999</v>
      </c>
      <c r="M4">
        <v>270.63200000000001</v>
      </c>
      <c r="N4">
        <v>267.85899999999998</v>
      </c>
      <c r="O4">
        <v>269.51299999999998</v>
      </c>
      <c r="P4">
        <v>270.649</v>
      </c>
      <c r="R4" s="3">
        <f>AVERAGE(L4:P4)</f>
        <v>269.42539999999997</v>
      </c>
      <c r="S4" s="3">
        <f>STDEV(L4:P4)/SQRT(COUNT(L4:P4))</f>
        <v>0.56211765672322056</v>
      </c>
    </row>
    <row r="5" spans="1:19" x14ac:dyDescent="0.25">
      <c r="A5" t="s">
        <v>2</v>
      </c>
      <c r="B5">
        <v>67.495000000000005</v>
      </c>
      <c r="C5">
        <v>67.989999999999995</v>
      </c>
      <c r="D5">
        <v>67.451999999999998</v>
      </c>
      <c r="E5">
        <v>67.494</v>
      </c>
      <c r="F5">
        <v>66.94</v>
      </c>
      <c r="H5" s="2">
        <f t="shared" ref="H5:H68" si="0">AVERAGE(B5:F5)</f>
        <v>67.47420000000001</v>
      </c>
      <c r="I5" s="2">
        <f t="shared" ref="I5:I68" si="1">STDEV(B5:F5)/SQRT(COUNT(B5:F5))</f>
        <v>0.16624331565509595</v>
      </c>
      <c r="K5" t="s">
        <v>2</v>
      </c>
      <c r="L5">
        <v>68.564999999999998</v>
      </c>
      <c r="M5">
        <v>68.225999999999999</v>
      </c>
      <c r="N5">
        <v>67.972999999999999</v>
      </c>
      <c r="O5">
        <v>67.816999999999993</v>
      </c>
      <c r="P5">
        <v>68.703000000000003</v>
      </c>
      <c r="R5" s="3">
        <f t="shared" ref="R5:R68" si="2">AVERAGE(L5:P5)</f>
        <v>68.256799999999998</v>
      </c>
      <c r="S5" s="3">
        <f t="shared" ref="S5:S68" si="3">STDEV(L5:P5)/SQRT(COUNT(L5:P5))</f>
        <v>0.16867080363833095</v>
      </c>
    </row>
    <row r="6" spans="1:19" x14ac:dyDescent="0.25">
      <c r="A6" t="s">
        <v>3</v>
      </c>
      <c r="B6">
        <v>21.513999999999999</v>
      </c>
      <c r="C6">
        <v>18.896999999999998</v>
      </c>
      <c r="D6">
        <v>20.317</v>
      </c>
      <c r="E6">
        <v>19.695</v>
      </c>
      <c r="F6">
        <v>22.382000000000001</v>
      </c>
      <c r="H6" s="2">
        <f t="shared" si="0"/>
        <v>20.561</v>
      </c>
      <c r="I6" s="2">
        <f t="shared" si="1"/>
        <v>0.62460539542978688</v>
      </c>
      <c r="K6" t="s">
        <v>3</v>
      </c>
      <c r="L6">
        <v>22.077999999999999</v>
      </c>
      <c r="M6">
        <v>14.66</v>
      </c>
      <c r="N6">
        <v>21.536000000000001</v>
      </c>
      <c r="O6">
        <v>13.903</v>
      </c>
      <c r="P6">
        <v>15.448</v>
      </c>
      <c r="R6" s="3">
        <f t="shared" si="2"/>
        <v>17.524999999999999</v>
      </c>
      <c r="S6" s="3">
        <f t="shared" si="3"/>
        <v>1.7671865775859681</v>
      </c>
    </row>
    <row r="7" spans="1:19" x14ac:dyDescent="0.25">
      <c r="A7">
        <v>-3.75</v>
      </c>
      <c r="B7">
        <v>955.15599999999995</v>
      </c>
      <c r="C7">
        <v>872.69399999999996</v>
      </c>
      <c r="D7">
        <v>1076.23</v>
      </c>
      <c r="E7">
        <v>963.09100000000001</v>
      </c>
      <c r="F7">
        <v>931.35400000000004</v>
      </c>
      <c r="H7" s="2">
        <f t="shared" si="0"/>
        <v>959.70499999999993</v>
      </c>
      <c r="I7" s="2">
        <f t="shared" si="1"/>
        <v>33.154884514954965</v>
      </c>
      <c r="K7">
        <v>-3.75</v>
      </c>
      <c r="L7">
        <v>1161.644</v>
      </c>
      <c r="M7">
        <v>967.36900000000003</v>
      </c>
      <c r="N7">
        <v>963.779</v>
      </c>
      <c r="O7">
        <v>868.79499999999996</v>
      </c>
      <c r="P7">
        <v>935.17600000000004</v>
      </c>
      <c r="R7" s="3">
        <f t="shared" si="2"/>
        <v>979.35259999999994</v>
      </c>
      <c r="S7" s="3">
        <f t="shared" si="3"/>
        <v>48.882948512339155</v>
      </c>
    </row>
    <row r="8" spans="1:19" x14ac:dyDescent="0.25">
      <c r="A8">
        <v>-2.5</v>
      </c>
      <c r="B8">
        <v>950.01400000000001</v>
      </c>
      <c r="C8">
        <v>938.68600000000004</v>
      </c>
      <c r="D8">
        <v>1173.4739999999999</v>
      </c>
      <c r="E8">
        <v>1028.5340000000001</v>
      </c>
      <c r="F8">
        <v>984.96199999999999</v>
      </c>
      <c r="H8" s="2">
        <f t="shared" si="0"/>
        <v>1015.134</v>
      </c>
      <c r="I8" s="2">
        <f t="shared" si="1"/>
        <v>42.571337944678206</v>
      </c>
      <c r="K8">
        <v>-2.5</v>
      </c>
      <c r="L8">
        <v>1212.778</v>
      </c>
      <c r="M8">
        <v>1094.1600000000001</v>
      </c>
      <c r="N8">
        <v>1098.902</v>
      </c>
      <c r="O8">
        <v>958.37599999999998</v>
      </c>
      <c r="P8">
        <v>1038.896</v>
      </c>
      <c r="R8" s="3">
        <f t="shared" si="2"/>
        <v>1080.6224</v>
      </c>
      <c r="S8" s="3">
        <f t="shared" si="3"/>
        <v>41.633993185376788</v>
      </c>
    </row>
    <row r="9" spans="1:19" x14ac:dyDescent="0.25">
      <c r="A9">
        <v>-1.25</v>
      </c>
      <c r="B9">
        <v>1294.1020000000001</v>
      </c>
      <c r="C9">
        <v>1177.307</v>
      </c>
      <c r="D9">
        <v>1479.739</v>
      </c>
      <c r="E9">
        <v>1307.7190000000001</v>
      </c>
      <c r="F9">
        <v>1253.9749999999999</v>
      </c>
      <c r="H9" s="2">
        <f t="shared" si="0"/>
        <v>1302.5684000000001</v>
      </c>
      <c r="I9" s="2">
        <f t="shared" si="1"/>
        <v>49.769150569002086</v>
      </c>
      <c r="K9">
        <v>-1.25</v>
      </c>
      <c r="L9">
        <v>1501.4010000000001</v>
      </c>
      <c r="M9">
        <v>1547.049</v>
      </c>
      <c r="N9">
        <v>1354.627</v>
      </c>
      <c r="O9">
        <v>1237.3599999999999</v>
      </c>
      <c r="P9">
        <v>1610.6</v>
      </c>
      <c r="R9" s="3">
        <f t="shared" si="2"/>
        <v>1450.2073999999998</v>
      </c>
      <c r="S9" s="3">
        <f t="shared" si="3"/>
        <v>67.883906361228213</v>
      </c>
    </row>
    <row r="10" spans="1:19" x14ac:dyDescent="0.25">
      <c r="A10">
        <v>0</v>
      </c>
      <c r="B10">
        <v>1788.9690000000001</v>
      </c>
      <c r="C10">
        <v>1580.325</v>
      </c>
      <c r="D10">
        <v>1913.6089999999999</v>
      </c>
      <c r="E10">
        <v>1738.203</v>
      </c>
      <c r="F10">
        <v>1684.9190000000001</v>
      </c>
      <c r="H10" s="2">
        <f t="shared" si="0"/>
        <v>1741.2049999999999</v>
      </c>
      <c r="I10" s="2">
        <f t="shared" si="1"/>
        <v>55.255786625474776</v>
      </c>
      <c r="K10">
        <v>0</v>
      </c>
      <c r="L10">
        <v>1951.732</v>
      </c>
      <c r="M10">
        <v>2379.5369999999998</v>
      </c>
      <c r="N10">
        <v>1759.9939999999999</v>
      </c>
      <c r="O10">
        <v>1815.2619999999999</v>
      </c>
      <c r="P10">
        <v>2448.9180000000001</v>
      </c>
      <c r="R10" s="3">
        <f t="shared" si="2"/>
        <v>2071.0886</v>
      </c>
      <c r="S10" s="3">
        <f t="shared" si="3"/>
        <v>143.93897462939015</v>
      </c>
    </row>
    <row r="11" spans="1:19" x14ac:dyDescent="0.25">
      <c r="A11">
        <v>1.25</v>
      </c>
      <c r="B11">
        <v>2044.509</v>
      </c>
      <c r="C11">
        <v>1777.665</v>
      </c>
      <c r="D11">
        <v>2174.6689999999999</v>
      </c>
      <c r="E11">
        <v>1926.675</v>
      </c>
      <c r="F11">
        <v>1913.0509999999999</v>
      </c>
      <c r="H11" s="2">
        <f t="shared" si="0"/>
        <v>1967.3137999999999</v>
      </c>
      <c r="I11" s="2">
        <f t="shared" si="1"/>
        <v>66.90213327719826</v>
      </c>
      <c r="K11">
        <v>1.25</v>
      </c>
      <c r="L11">
        <v>2214.5059999999999</v>
      </c>
      <c r="M11">
        <v>2700.68</v>
      </c>
      <c r="N11">
        <v>2022.0309999999999</v>
      </c>
      <c r="O11">
        <v>2033.2260000000001</v>
      </c>
      <c r="P11">
        <v>2790.1179999999999</v>
      </c>
      <c r="R11" s="3">
        <f t="shared" si="2"/>
        <v>2352.1122</v>
      </c>
      <c r="S11" s="3">
        <f t="shared" si="3"/>
        <v>164.7613524848596</v>
      </c>
    </row>
    <row r="12" spans="1:19" x14ac:dyDescent="0.25">
      <c r="A12">
        <v>2.5</v>
      </c>
      <c r="B12">
        <v>2282.6480000000001</v>
      </c>
      <c r="C12">
        <v>1962.87</v>
      </c>
      <c r="D12">
        <v>2387.12</v>
      </c>
      <c r="E12">
        <v>2138.4</v>
      </c>
      <c r="F12">
        <v>2068.5149999999999</v>
      </c>
      <c r="H12" s="2">
        <f t="shared" si="0"/>
        <v>2167.9106000000002</v>
      </c>
      <c r="I12" s="2">
        <f t="shared" si="1"/>
        <v>75.501470339060305</v>
      </c>
      <c r="K12">
        <v>2.5</v>
      </c>
      <c r="L12">
        <v>2392.5010000000002</v>
      </c>
      <c r="M12">
        <v>3107.21</v>
      </c>
      <c r="N12">
        <v>2247.152</v>
      </c>
      <c r="O12">
        <v>2298.4279999999999</v>
      </c>
      <c r="P12">
        <v>3251.357</v>
      </c>
      <c r="R12" s="3">
        <f t="shared" si="2"/>
        <v>2659.3296</v>
      </c>
      <c r="S12" s="3">
        <f t="shared" si="3"/>
        <v>214.75929964232034</v>
      </c>
    </row>
    <row r="13" spans="1:19" x14ac:dyDescent="0.25">
      <c r="A13">
        <v>3.75</v>
      </c>
      <c r="B13">
        <v>2426.2220000000002</v>
      </c>
      <c r="C13">
        <v>2072.17</v>
      </c>
      <c r="D13">
        <v>2528.326</v>
      </c>
      <c r="E13">
        <v>2259.2159999999999</v>
      </c>
      <c r="F13">
        <v>2191.855</v>
      </c>
      <c r="H13" s="2">
        <f t="shared" si="0"/>
        <v>2295.5577999999996</v>
      </c>
      <c r="I13" s="2">
        <f t="shared" si="1"/>
        <v>81.618403083128271</v>
      </c>
      <c r="K13">
        <v>3.75</v>
      </c>
      <c r="L13">
        <v>2497.0700000000002</v>
      </c>
      <c r="M13">
        <v>3296.0729999999999</v>
      </c>
      <c r="N13">
        <v>2370.1770000000001</v>
      </c>
      <c r="O13">
        <v>2451.7689999999998</v>
      </c>
      <c r="P13">
        <v>3472.18</v>
      </c>
      <c r="R13" s="3">
        <f t="shared" si="2"/>
        <v>2817.4538000000002</v>
      </c>
      <c r="S13" s="3">
        <f t="shared" si="3"/>
        <v>233.89852753350118</v>
      </c>
    </row>
    <row r="14" spans="1:19" x14ac:dyDescent="0.25">
      <c r="A14">
        <v>5</v>
      </c>
      <c r="B14">
        <v>2542.1709999999998</v>
      </c>
      <c r="C14">
        <v>2133.6970000000001</v>
      </c>
      <c r="D14">
        <v>2625.2919999999999</v>
      </c>
      <c r="E14">
        <v>2358.4929999999999</v>
      </c>
      <c r="F14">
        <v>2266.4830000000002</v>
      </c>
      <c r="H14" s="2">
        <f t="shared" si="0"/>
        <v>2385.2272000000003</v>
      </c>
      <c r="I14" s="2">
        <f t="shared" si="1"/>
        <v>89.539044151922838</v>
      </c>
      <c r="K14">
        <v>5</v>
      </c>
      <c r="L14">
        <v>2541.855</v>
      </c>
      <c r="M14">
        <v>3453.6019999999999</v>
      </c>
      <c r="N14">
        <v>2440.1210000000001</v>
      </c>
      <c r="O14">
        <v>2569.3989999999999</v>
      </c>
      <c r="P14">
        <v>3613.8040000000001</v>
      </c>
      <c r="R14" s="3">
        <f t="shared" si="2"/>
        <v>2923.7562000000003</v>
      </c>
      <c r="S14" s="3">
        <f t="shared" si="3"/>
        <v>251.21933608848602</v>
      </c>
    </row>
    <row r="15" spans="1:19" x14ac:dyDescent="0.25">
      <c r="A15">
        <v>6.25</v>
      </c>
      <c r="B15">
        <v>2593.1170000000002</v>
      </c>
      <c r="C15">
        <v>2160.1999999999998</v>
      </c>
      <c r="D15">
        <v>2690.328</v>
      </c>
      <c r="E15">
        <v>2418.73</v>
      </c>
      <c r="F15">
        <v>2319.335</v>
      </c>
      <c r="H15" s="2">
        <f t="shared" si="0"/>
        <v>2436.3419999999996</v>
      </c>
      <c r="I15" s="2">
        <f t="shared" si="1"/>
        <v>94.694908410642682</v>
      </c>
      <c r="K15">
        <v>6.25</v>
      </c>
      <c r="L15">
        <v>2588.2620000000002</v>
      </c>
      <c r="M15">
        <v>3439.0859999999998</v>
      </c>
      <c r="N15">
        <v>2490.018</v>
      </c>
      <c r="O15">
        <v>2589.0749999999998</v>
      </c>
      <c r="P15">
        <v>3572.32</v>
      </c>
      <c r="R15" s="3">
        <f t="shared" si="2"/>
        <v>2935.7521999999999</v>
      </c>
      <c r="S15" s="3">
        <f t="shared" si="3"/>
        <v>234.32637232765802</v>
      </c>
    </row>
    <row r="16" spans="1:19" x14ac:dyDescent="0.25">
      <c r="A16">
        <v>7.5</v>
      </c>
      <c r="B16">
        <v>2635.0909999999999</v>
      </c>
      <c r="C16">
        <v>2165.7240000000002</v>
      </c>
      <c r="D16">
        <v>2740.1770000000001</v>
      </c>
      <c r="E16">
        <v>2456.038</v>
      </c>
      <c r="F16">
        <v>2352.0039999999999</v>
      </c>
      <c r="H16" s="2">
        <f t="shared" si="0"/>
        <v>2469.8067999999998</v>
      </c>
      <c r="I16" s="2">
        <f t="shared" si="1"/>
        <v>101.723237417711</v>
      </c>
      <c r="K16">
        <v>7.5</v>
      </c>
      <c r="L16">
        <v>2646.6669999999999</v>
      </c>
      <c r="M16">
        <v>3280.6109999999999</v>
      </c>
      <c r="N16">
        <v>2528.098</v>
      </c>
      <c r="O16">
        <v>2509.529</v>
      </c>
      <c r="P16">
        <v>3406.3719999999998</v>
      </c>
      <c r="R16" s="3">
        <f t="shared" si="2"/>
        <v>2874.2554</v>
      </c>
      <c r="S16" s="3">
        <f t="shared" si="3"/>
        <v>194.02573565035112</v>
      </c>
    </row>
    <row r="17" spans="1:19" x14ac:dyDescent="0.25">
      <c r="A17">
        <v>8.75</v>
      </c>
      <c r="B17">
        <v>2660.9229999999998</v>
      </c>
      <c r="C17">
        <v>2164.2359999999999</v>
      </c>
      <c r="D17">
        <v>2780.1370000000002</v>
      </c>
      <c r="E17">
        <v>2496.8159999999998</v>
      </c>
      <c r="F17">
        <v>2389.6469999999999</v>
      </c>
      <c r="H17" s="2">
        <f t="shared" si="0"/>
        <v>2498.3518000000004</v>
      </c>
      <c r="I17" s="2">
        <f t="shared" si="1"/>
        <v>107.07118053958314</v>
      </c>
      <c r="K17">
        <v>8.75</v>
      </c>
      <c r="L17">
        <v>2657.0949999999998</v>
      </c>
      <c r="M17">
        <v>3132.5120000000002</v>
      </c>
      <c r="N17">
        <v>2560.2620000000002</v>
      </c>
      <c r="O17">
        <v>2441.0619999999999</v>
      </c>
      <c r="P17">
        <v>3133.384</v>
      </c>
      <c r="R17" s="3">
        <f t="shared" si="2"/>
        <v>2784.8630000000003</v>
      </c>
      <c r="S17" s="3">
        <f t="shared" si="3"/>
        <v>146.16704711869829</v>
      </c>
    </row>
    <row r="18" spans="1:19" s="4" customFormat="1" x14ac:dyDescent="0.25">
      <c r="A18" s="4">
        <v>10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H18" s="4" t="s">
        <v>6</v>
      </c>
      <c r="I18" s="4" t="s">
        <v>6</v>
      </c>
      <c r="K18" s="4">
        <v>10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R18" s="4" t="s">
        <v>6</v>
      </c>
      <c r="S18" s="4" t="s">
        <v>6</v>
      </c>
    </row>
    <row r="19" spans="1:19" s="4" customFormat="1" x14ac:dyDescent="0.25">
      <c r="A19" s="4">
        <v>11.25</v>
      </c>
      <c r="B19" s="4" t="s">
        <v>6</v>
      </c>
      <c r="C19" s="4" t="s">
        <v>6</v>
      </c>
      <c r="D19" s="4" t="s">
        <v>6</v>
      </c>
      <c r="E19" s="4" t="s">
        <v>6</v>
      </c>
      <c r="F19" s="4" t="s">
        <v>6</v>
      </c>
      <c r="H19" s="4" t="s">
        <v>6</v>
      </c>
      <c r="I19" s="4" t="s">
        <v>6</v>
      </c>
      <c r="K19" s="4">
        <v>11.25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R19" s="4" t="s">
        <v>6</v>
      </c>
      <c r="S19" s="4" t="s">
        <v>6</v>
      </c>
    </row>
    <row r="20" spans="1:19" s="4" customFormat="1" x14ac:dyDescent="0.25">
      <c r="A20" s="4">
        <v>12.5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H20" s="4" t="s">
        <v>6</v>
      </c>
      <c r="I20" s="4" t="s">
        <v>6</v>
      </c>
      <c r="K20" s="4">
        <v>12.5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R20" s="4" t="s">
        <v>6</v>
      </c>
      <c r="S20" s="4" t="s">
        <v>6</v>
      </c>
    </row>
    <row r="21" spans="1:19" s="4" customFormat="1" x14ac:dyDescent="0.25">
      <c r="A21" s="4">
        <v>13.75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  <c r="H21" s="4" t="s">
        <v>6</v>
      </c>
      <c r="I21" s="4" t="s">
        <v>6</v>
      </c>
      <c r="K21" s="4">
        <v>13.75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R21" s="4" t="s">
        <v>6</v>
      </c>
      <c r="S21" s="4" t="s">
        <v>6</v>
      </c>
    </row>
    <row r="22" spans="1:19" s="5" customFormat="1" x14ac:dyDescent="0.25">
      <c r="A22" s="5">
        <v>15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  <c r="H22" s="4" t="s">
        <v>6</v>
      </c>
      <c r="I22" s="4" t="s">
        <v>6</v>
      </c>
      <c r="K22" s="5">
        <v>15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R22" s="4" t="s">
        <v>6</v>
      </c>
      <c r="S22" s="4" t="s">
        <v>6</v>
      </c>
    </row>
    <row r="23" spans="1:19" s="5" customFormat="1" x14ac:dyDescent="0.25">
      <c r="A23" s="5">
        <v>16.25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H23" s="4" t="s">
        <v>6</v>
      </c>
      <c r="I23" s="4" t="s">
        <v>6</v>
      </c>
      <c r="K23" s="5">
        <v>16.25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R23" s="4" t="s">
        <v>6</v>
      </c>
      <c r="S23" s="4" t="s">
        <v>6</v>
      </c>
    </row>
    <row r="24" spans="1:19" s="5" customFormat="1" x14ac:dyDescent="0.25">
      <c r="A24" s="5">
        <v>17.5</v>
      </c>
      <c r="B24" s="4" t="s">
        <v>6</v>
      </c>
      <c r="C24" s="4" t="s">
        <v>6</v>
      </c>
      <c r="D24" s="4" t="s">
        <v>6</v>
      </c>
      <c r="E24" s="4" t="s">
        <v>6</v>
      </c>
      <c r="F24" s="4" t="s">
        <v>6</v>
      </c>
      <c r="H24" s="4" t="s">
        <v>6</v>
      </c>
      <c r="I24" s="4" t="s">
        <v>6</v>
      </c>
      <c r="K24" s="5">
        <v>17.5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R24" s="4" t="s">
        <v>6</v>
      </c>
      <c r="S24" s="4" t="s">
        <v>6</v>
      </c>
    </row>
    <row r="25" spans="1:19" s="5" customFormat="1" x14ac:dyDescent="0.25">
      <c r="A25" s="5">
        <v>18.75</v>
      </c>
      <c r="B25" s="4" t="s">
        <v>6</v>
      </c>
      <c r="C25" s="4" t="s">
        <v>6</v>
      </c>
      <c r="D25" s="4" t="s">
        <v>6</v>
      </c>
      <c r="E25" s="4" t="s">
        <v>6</v>
      </c>
      <c r="F25" s="4" t="s">
        <v>6</v>
      </c>
      <c r="H25" s="4" t="s">
        <v>6</v>
      </c>
      <c r="I25" s="4" t="s">
        <v>6</v>
      </c>
      <c r="K25" s="5">
        <v>18.75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R25" s="4" t="s">
        <v>6</v>
      </c>
      <c r="S25" s="4" t="s">
        <v>6</v>
      </c>
    </row>
    <row r="26" spans="1:19" s="5" customFormat="1" x14ac:dyDescent="0.25">
      <c r="A26" s="5">
        <v>20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  <c r="H26" s="4" t="s">
        <v>6</v>
      </c>
      <c r="I26" s="4" t="s">
        <v>6</v>
      </c>
      <c r="K26" s="5">
        <v>20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R26" s="4" t="s">
        <v>6</v>
      </c>
      <c r="S26" s="4" t="s">
        <v>6</v>
      </c>
    </row>
    <row r="27" spans="1:19" x14ac:dyDescent="0.25">
      <c r="A27">
        <v>21.25</v>
      </c>
      <c r="B27">
        <v>2676.1039999999998</v>
      </c>
      <c r="C27">
        <v>2183.3429999999998</v>
      </c>
      <c r="D27">
        <v>2798.739</v>
      </c>
      <c r="E27">
        <v>2538.4769999999999</v>
      </c>
      <c r="F27">
        <v>2415.0549999999998</v>
      </c>
      <c r="H27" s="2">
        <f t="shared" si="0"/>
        <v>2522.3436000000002</v>
      </c>
      <c r="I27" s="2">
        <f t="shared" si="1"/>
        <v>106.47281691474122</v>
      </c>
      <c r="K27">
        <v>21.25</v>
      </c>
      <c r="L27">
        <v>2700.625</v>
      </c>
      <c r="M27">
        <v>2462.23</v>
      </c>
      <c r="N27">
        <v>2594.2199999999998</v>
      </c>
      <c r="O27">
        <v>2107.2330000000002</v>
      </c>
      <c r="P27">
        <v>2414.1770000000001</v>
      </c>
      <c r="R27" s="3">
        <f t="shared" si="2"/>
        <v>2455.6969999999997</v>
      </c>
      <c r="S27" s="3">
        <f t="shared" si="3"/>
        <v>100.59127608744204</v>
      </c>
    </row>
    <row r="28" spans="1:19" x14ac:dyDescent="0.25">
      <c r="A28">
        <v>22.5</v>
      </c>
      <c r="B28">
        <v>2673.8429999999998</v>
      </c>
      <c r="C28">
        <v>2190.5970000000002</v>
      </c>
      <c r="D28">
        <v>2796.24</v>
      </c>
      <c r="E28">
        <v>2540.8820000000001</v>
      </c>
      <c r="F28">
        <v>2417.6120000000001</v>
      </c>
      <c r="H28" s="2">
        <f t="shared" si="0"/>
        <v>2523.8347999999996</v>
      </c>
      <c r="I28" s="2">
        <f t="shared" si="1"/>
        <v>104.72067003958666</v>
      </c>
      <c r="K28">
        <v>22.5</v>
      </c>
      <c r="L28">
        <v>2696.8490000000002</v>
      </c>
      <c r="M28">
        <v>2474.489</v>
      </c>
      <c r="N28">
        <v>2586.6869999999999</v>
      </c>
      <c r="O28">
        <v>2120.2910000000002</v>
      </c>
      <c r="P28">
        <v>2434.2220000000002</v>
      </c>
      <c r="R28" s="3">
        <f t="shared" si="2"/>
        <v>2462.5075999999999</v>
      </c>
      <c r="S28" s="3">
        <f t="shared" si="3"/>
        <v>97.054687049930749</v>
      </c>
    </row>
    <row r="29" spans="1:19" x14ac:dyDescent="0.25">
      <c r="A29">
        <v>23.75</v>
      </c>
      <c r="B29">
        <v>2666.8789999999999</v>
      </c>
      <c r="C29">
        <v>2189.2640000000001</v>
      </c>
      <c r="D29">
        <v>2785.1480000000001</v>
      </c>
      <c r="E29">
        <v>2534.8690000000001</v>
      </c>
      <c r="F29">
        <v>2424.1880000000001</v>
      </c>
      <c r="H29" s="2">
        <f t="shared" si="0"/>
        <v>2520.0695999999998</v>
      </c>
      <c r="I29" s="2">
        <f t="shared" si="1"/>
        <v>102.63142952458567</v>
      </c>
      <c r="K29">
        <v>23.75</v>
      </c>
      <c r="L29">
        <v>2686.1439999999998</v>
      </c>
      <c r="M29">
        <v>2482.9780000000001</v>
      </c>
      <c r="N29">
        <v>2585.7600000000002</v>
      </c>
      <c r="O29">
        <v>2134.0810000000001</v>
      </c>
      <c r="P29">
        <v>2452.0259999999998</v>
      </c>
      <c r="R29" s="3">
        <f t="shared" si="2"/>
        <v>2468.1977999999999</v>
      </c>
      <c r="S29" s="3">
        <f t="shared" si="3"/>
        <v>93.122348132121274</v>
      </c>
    </row>
    <row r="30" spans="1:19" x14ac:dyDescent="0.25">
      <c r="A30">
        <v>25</v>
      </c>
      <c r="B30">
        <v>2663.047</v>
      </c>
      <c r="C30">
        <v>2187.4389999999999</v>
      </c>
      <c r="D30">
        <v>2779.7860000000001</v>
      </c>
      <c r="E30">
        <v>2538.2199999999998</v>
      </c>
      <c r="F30">
        <v>2428.3629999999998</v>
      </c>
      <c r="H30" s="2">
        <f t="shared" si="0"/>
        <v>2519.3710000000001</v>
      </c>
      <c r="I30" s="2">
        <f t="shared" si="1"/>
        <v>101.80259296550362</v>
      </c>
      <c r="K30">
        <v>25</v>
      </c>
      <c r="L30">
        <v>2687.29</v>
      </c>
      <c r="M30">
        <v>2485.7379999999998</v>
      </c>
      <c r="N30">
        <v>2579.3560000000002</v>
      </c>
      <c r="O30">
        <v>2146.2779999999998</v>
      </c>
      <c r="P30">
        <v>2463.3919999999998</v>
      </c>
      <c r="R30" s="3">
        <f t="shared" si="2"/>
        <v>2472.4108000000001</v>
      </c>
      <c r="S30" s="3">
        <f t="shared" si="3"/>
        <v>90.617852171854125</v>
      </c>
    </row>
    <row r="31" spans="1:19" x14ac:dyDescent="0.25">
      <c r="A31">
        <v>26.25</v>
      </c>
      <c r="B31">
        <v>2656.9490000000001</v>
      </c>
      <c r="C31">
        <v>2185.6770000000001</v>
      </c>
      <c r="D31">
        <v>2775.5210000000002</v>
      </c>
      <c r="E31">
        <v>2541.5390000000002</v>
      </c>
      <c r="F31">
        <v>2435.3119999999999</v>
      </c>
      <c r="H31" s="2">
        <f t="shared" si="0"/>
        <v>2518.9996000000001</v>
      </c>
      <c r="I31" s="2">
        <f t="shared" si="1"/>
        <v>100.85852969263433</v>
      </c>
      <c r="K31">
        <v>26.25</v>
      </c>
      <c r="L31">
        <v>2683.7730000000001</v>
      </c>
      <c r="M31">
        <v>2483.7220000000002</v>
      </c>
      <c r="N31">
        <v>2586.527</v>
      </c>
      <c r="O31">
        <v>2149.511</v>
      </c>
      <c r="P31">
        <v>2460.89</v>
      </c>
      <c r="R31" s="3">
        <f t="shared" si="2"/>
        <v>2472.8846000000003</v>
      </c>
      <c r="S31" s="3">
        <f t="shared" si="3"/>
        <v>90.061178422558996</v>
      </c>
    </row>
    <row r="32" spans="1:19" x14ac:dyDescent="0.25">
      <c r="A32">
        <v>27.5</v>
      </c>
      <c r="B32">
        <v>2660.6260000000002</v>
      </c>
      <c r="C32">
        <v>2187.375</v>
      </c>
      <c r="D32">
        <v>2778.1190000000001</v>
      </c>
      <c r="E32">
        <v>2545.4969999999998</v>
      </c>
      <c r="F32">
        <v>2438.3000000000002</v>
      </c>
      <c r="H32" s="2">
        <f t="shared" si="0"/>
        <v>2521.9834000000001</v>
      </c>
      <c r="I32" s="2">
        <f t="shared" si="1"/>
        <v>101.08061097292598</v>
      </c>
      <c r="K32">
        <v>27.5</v>
      </c>
      <c r="L32">
        <v>2682.91</v>
      </c>
      <c r="M32">
        <v>2486.1439999999998</v>
      </c>
      <c r="N32">
        <v>2593.826</v>
      </c>
      <c r="O32">
        <v>2147.0219999999999</v>
      </c>
      <c r="P32">
        <v>2457.8470000000002</v>
      </c>
      <c r="R32" s="3">
        <f t="shared" si="2"/>
        <v>2473.5497999999998</v>
      </c>
      <c r="S32" s="3">
        <f t="shared" si="3"/>
        <v>90.918549703787065</v>
      </c>
    </row>
    <row r="33" spans="1:19" x14ac:dyDescent="0.25">
      <c r="A33">
        <v>28.75</v>
      </c>
      <c r="B33">
        <v>2664.855</v>
      </c>
      <c r="C33">
        <v>2188.9580000000001</v>
      </c>
      <c r="D33">
        <v>2783.462</v>
      </c>
      <c r="E33">
        <v>2556.6819999999998</v>
      </c>
      <c r="F33">
        <v>2439.4650000000001</v>
      </c>
      <c r="H33" s="2">
        <f t="shared" si="0"/>
        <v>2526.6843999999996</v>
      </c>
      <c r="I33" s="2">
        <f t="shared" si="1"/>
        <v>101.88033460025538</v>
      </c>
      <c r="K33">
        <v>28.75</v>
      </c>
      <c r="L33">
        <v>2687.2280000000001</v>
      </c>
      <c r="M33">
        <v>2488.4740000000002</v>
      </c>
      <c r="N33">
        <v>2598.5540000000001</v>
      </c>
      <c r="O33">
        <v>2155.011</v>
      </c>
      <c r="P33">
        <v>2452.4490000000001</v>
      </c>
      <c r="R33" s="3">
        <f t="shared" si="2"/>
        <v>2476.3432000000003</v>
      </c>
      <c r="S33" s="3">
        <f t="shared" si="3"/>
        <v>90.382617346146844</v>
      </c>
    </row>
    <row r="34" spans="1:19" x14ac:dyDescent="0.25">
      <c r="A34">
        <v>30</v>
      </c>
      <c r="B34">
        <v>2662.9169999999999</v>
      </c>
      <c r="C34">
        <v>2190.9409999999998</v>
      </c>
      <c r="D34">
        <v>2782.1149999999998</v>
      </c>
      <c r="E34">
        <v>2561.5459999999998</v>
      </c>
      <c r="F34">
        <v>2427.9110000000001</v>
      </c>
      <c r="H34" s="2">
        <f t="shared" si="0"/>
        <v>2525.0860000000002</v>
      </c>
      <c r="I34" s="2">
        <f t="shared" si="1"/>
        <v>101.85442667159832</v>
      </c>
      <c r="K34">
        <v>30</v>
      </c>
      <c r="L34">
        <v>2678.7049999999999</v>
      </c>
      <c r="M34">
        <v>2497.5300000000002</v>
      </c>
      <c r="N34">
        <v>2601.0239999999999</v>
      </c>
      <c r="O34">
        <v>2160.7730000000001</v>
      </c>
      <c r="P34">
        <v>2453.5140000000001</v>
      </c>
      <c r="R34" s="3">
        <f t="shared" si="2"/>
        <v>2478.3091999999997</v>
      </c>
      <c r="S34" s="3">
        <f t="shared" si="3"/>
        <v>88.608938093964284</v>
      </c>
    </row>
    <row r="35" spans="1:19" x14ac:dyDescent="0.25">
      <c r="A35">
        <v>31.25</v>
      </c>
      <c r="B35">
        <v>2650.9569999999999</v>
      </c>
      <c r="C35">
        <v>2188.7040000000002</v>
      </c>
      <c r="D35">
        <v>2776.3580000000002</v>
      </c>
      <c r="E35">
        <v>2553.2820000000002</v>
      </c>
      <c r="F35">
        <v>2413.1089999999999</v>
      </c>
      <c r="H35" s="2">
        <f t="shared" si="0"/>
        <v>2516.482</v>
      </c>
      <c r="I35" s="2">
        <f t="shared" si="1"/>
        <v>101.26640494606292</v>
      </c>
      <c r="K35">
        <v>31.25</v>
      </c>
      <c r="L35">
        <v>2656.444</v>
      </c>
      <c r="M35">
        <v>2502.2339999999999</v>
      </c>
      <c r="N35">
        <v>2584.029</v>
      </c>
      <c r="O35">
        <v>2171.6860000000001</v>
      </c>
      <c r="P35">
        <v>2454.4340000000002</v>
      </c>
      <c r="R35" s="3">
        <f t="shared" si="2"/>
        <v>2473.7654000000002</v>
      </c>
      <c r="S35" s="3">
        <f t="shared" si="3"/>
        <v>83.055903010923871</v>
      </c>
    </row>
    <row r="36" spans="1:19" x14ac:dyDescent="0.25">
      <c r="A36">
        <v>32.5</v>
      </c>
      <c r="B36">
        <v>2618.846</v>
      </c>
      <c r="C36">
        <v>2159.9</v>
      </c>
      <c r="D36">
        <v>2741.7620000000002</v>
      </c>
      <c r="E36">
        <v>2543.3980000000001</v>
      </c>
      <c r="F36">
        <v>2366.37</v>
      </c>
      <c r="H36" s="2">
        <f t="shared" si="0"/>
        <v>2486.0551999999998</v>
      </c>
      <c r="I36" s="2">
        <f t="shared" si="1"/>
        <v>101.73724058298417</v>
      </c>
      <c r="K36">
        <v>32.5</v>
      </c>
      <c r="L36">
        <v>2604.3130000000001</v>
      </c>
      <c r="M36">
        <v>2485.1329999999998</v>
      </c>
      <c r="N36">
        <v>2542.3670000000002</v>
      </c>
      <c r="O36">
        <v>2162.134</v>
      </c>
      <c r="P36">
        <v>2437.8200000000002</v>
      </c>
      <c r="R36" s="3">
        <f t="shared" si="2"/>
        <v>2446.3534</v>
      </c>
      <c r="S36" s="3">
        <f t="shared" si="3"/>
        <v>76.330593553699046</v>
      </c>
    </row>
    <row r="37" spans="1:19" x14ac:dyDescent="0.25">
      <c r="A37">
        <v>33.75</v>
      </c>
      <c r="B37">
        <v>2571.3609999999999</v>
      </c>
      <c r="C37">
        <v>2123.2249999999999</v>
      </c>
      <c r="D37">
        <v>2693.2869999999998</v>
      </c>
      <c r="E37">
        <v>2460.8690000000001</v>
      </c>
      <c r="F37">
        <v>2331.2620000000002</v>
      </c>
      <c r="H37" s="2">
        <f t="shared" si="0"/>
        <v>2436.0008000000003</v>
      </c>
      <c r="I37" s="2">
        <f t="shared" si="1"/>
        <v>98.472310097001355</v>
      </c>
      <c r="K37">
        <v>33.75</v>
      </c>
      <c r="L37">
        <v>2546.3420000000001</v>
      </c>
      <c r="M37">
        <v>2440.6999999999998</v>
      </c>
      <c r="N37">
        <v>2498.527</v>
      </c>
      <c r="O37">
        <v>2118.6370000000002</v>
      </c>
      <c r="P37">
        <v>2397.1990000000001</v>
      </c>
      <c r="R37" s="3">
        <f t="shared" si="2"/>
        <v>2400.2809999999999</v>
      </c>
      <c r="S37" s="3">
        <f t="shared" si="3"/>
        <v>74.817320607597253</v>
      </c>
    </row>
    <row r="38" spans="1:19" x14ac:dyDescent="0.25">
      <c r="A38">
        <v>35</v>
      </c>
      <c r="B38">
        <v>2488.8359999999998</v>
      </c>
      <c r="C38">
        <v>2046.5840000000001</v>
      </c>
      <c r="D38">
        <v>2612.8180000000002</v>
      </c>
      <c r="E38">
        <v>2411.5030000000002</v>
      </c>
      <c r="F38">
        <v>2234.6799999999998</v>
      </c>
      <c r="H38" s="2">
        <f t="shared" si="0"/>
        <v>2358.8842</v>
      </c>
      <c r="I38" s="2">
        <f t="shared" si="1"/>
        <v>99.271516921219671</v>
      </c>
      <c r="K38">
        <v>35</v>
      </c>
      <c r="L38">
        <v>2440.7739999999999</v>
      </c>
      <c r="M38">
        <v>2359.6779999999999</v>
      </c>
      <c r="N38">
        <v>2398.366</v>
      </c>
      <c r="O38">
        <v>2060.3760000000002</v>
      </c>
      <c r="P38">
        <v>2317.4119999999998</v>
      </c>
      <c r="R38" s="3">
        <f t="shared" si="2"/>
        <v>2315.3211999999999</v>
      </c>
      <c r="S38" s="3">
        <f t="shared" si="3"/>
        <v>66.93421994346383</v>
      </c>
    </row>
    <row r="39" spans="1:19" x14ac:dyDescent="0.25">
      <c r="A39">
        <v>36.25</v>
      </c>
      <c r="B39">
        <v>2414.7620000000002</v>
      </c>
      <c r="C39">
        <v>1970.992</v>
      </c>
      <c r="D39">
        <v>2514.7600000000002</v>
      </c>
      <c r="E39">
        <v>2287.54</v>
      </c>
      <c r="F39">
        <v>2182.0569999999998</v>
      </c>
      <c r="H39" s="2">
        <f t="shared" si="0"/>
        <v>2274.0222000000003</v>
      </c>
      <c r="I39" s="2">
        <f t="shared" si="1"/>
        <v>94.400744354268781</v>
      </c>
      <c r="K39">
        <v>36.25</v>
      </c>
      <c r="L39">
        <v>2365.761</v>
      </c>
      <c r="M39">
        <v>2251.4459999999999</v>
      </c>
      <c r="N39">
        <v>2318.8049999999998</v>
      </c>
      <c r="O39">
        <v>1961.625</v>
      </c>
      <c r="P39">
        <v>2214.7260000000001</v>
      </c>
      <c r="R39" s="3">
        <f t="shared" si="2"/>
        <v>2222.4726000000001</v>
      </c>
      <c r="S39" s="3">
        <f t="shared" si="3"/>
        <v>70.268212944830154</v>
      </c>
    </row>
    <row r="40" spans="1:19" x14ac:dyDescent="0.25">
      <c r="A40">
        <v>37.5</v>
      </c>
      <c r="B40">
        <v>2298.3240000000001</v>
      </c>
      <c r="C40">
        <v>1879.74</v>
      </c>
      <c r="D40">
        <v>2410.9090000000001</v>
      </c>
      <c r="E40">
        <v>2203.4989999999998</v>
      </c>
      <c r="F40">
        <v>2056.355</v>
      </c>
      <c r="H40" s="2">
        <f t="shared" si="0"/>
        <v>2169.7653999999998</v>
      </c>
      <c r="I40" s="2">
        <f t="shared" si="1"/>
        <v>92.949490772462013</v>
      </c>
      <c r="K40">
        <v>37.5</v>
      </c>
      <c r="L40">
        <v>2268.88</v>
      </c>
      <c r="M40">
        <v>2144.7179999999998</v>
      </c>
      <c r="N40">
        <v>2208.8580000000002</v>
      </c>
      <c r="O40">
        <v>1857.48</v>
      </c>
      <c r="P40">
        <v>2131.712</v>
      </c>
      <c r="R40" s="3">
        <f t="shared" si="2"/>
        <v>2122.3296</v>
      </c>
      <c r="S40" s="3">
        <f t="shared" si="3"/>
        <v>70.604094871048389</v>
      </c>
    </row>
    <row r="41" spans="1:19" x14ac:dyDescent="0.25">
      <c r="A41">
        <v>38.75</v>
      </c>
      <c r="B41">
        <v>2112.3809999999999</v>
      </c>
      <c r="C41">
        <v>1707.067</v>
      </c>
      <c r="D41">
        <v>2193.1610000000001</v>
      </c>
      <c r="E41">
        <v>1990.29</v>
      </c>
      <c r="F41">
        <v>1884.2380000000001</v>
      </c>
      <c r="H41" s="2">
        <f t="shared" si="0"/>
        <v>1977.4274</v>
      </c>
      <c r="I41" s="2">
        <f t="shared" si="1"/>
        <v>85.644006492340125</v>
      </c>
      <c r="K41">
        <v>38.75</v>
      </c>
      <c r="L41">
        <v>2080.6260000000002</v>
      </c>
      <c r="M41">
        <v>1934.8510000000001</v>
      </c>
      <c r="N41">
        <v>2015.5360000000001</v>
      </c>
      <c r="O41">
        <v>1687.779</v>
      </c>
      <c r="P41">
        <v>1929.694</v>
      </c>
      <c r="R41" s="3">
        <f t="shared" si="2"/>
        <v>1929.6972000000001</v>
      </c>
      <c r="S41" s="3">
        <f t="shared" si="3"/>
        <v>66.595337453458427</v>
      </c>
    </row>
    <row r="42" spans="1:19" x14ac:dyDescent="0.25">
      <c r="A42">
        <v>40</v>
      </c>
      <c r="B42">
        <v>2020</v>
      </c>
      <c r="C42">
        <v>1621.48</v>
      </c>
      <c r="D42">
        <v>2076.7060000000001</v>
      </c>
      <c r="E42">
        <v>1890.4590000000001</v>
      </c>
      <c r="F42">
        <v>1794.9739999999999</v>
      </c>
      <c r="H42" s="2">
        <f t="shared" si="0"/>
        <v>1880.7237999999998</v>
      </c>
      <c r="I42" s="2">
        <f t="shared" si="1"/>
        <v>81.382440600168792</v>
      </c>
      <c r="K42">
        <v>40</v>
      </c>
      <c r="L42">
        <v>1994.759</v>
      </c>
      <c r="M42">
        <v>1845.0650000000001</v>
      </c>
      <c r="N42">
        <v>1928.462</v>
      </c>
      <c r="O42">
        <v>1601.1869999999999</v>
      </c>
      <c r="P42">
        <v>1831.7840000000001</v>
      </c>
      <c r="R42" s="3">
        <f t="shared" si="2"/>
        <v>1840.2513999999999</v>
      </c>
      <c r="S42" s="3">
        <f t="shared" si="3"/>
        <v>66.670969456428352</v>
      </c>
    </row>
    <row r="43" spans="1:19" x14ac:dyDescent="0.25">
      <c r="A43">
        <v>41.25</v>
      </c>
      <c r="B43">
        <v>1998.6320000000001</v>
      </c>
      <c r="C43">
        <v>1602.797</v>
      </c>
      <c r="D43">
        <v>2046.39</v>
      </c>
      <c r="E43">
        <v>1881.636</v>
      </c>
      <c r="F43">
        <v>1777.75</v>
      </c>
      <c r="H43" s="2">
        <f t="shared" si="0"/>
        <v>1861.441</v>
      </c>
      <c r="I43" s="2">
        <f t="shared" si="1"/>
        <v>79.792306434893845</v>
      </c>
      <c r="K43">
        <v>41.25</v>
      </c>
      <c r="L43">
        <v>1982.732</v>
      </c>
      <c r="M43">
        <v>1839.537</v>
      </c>
      <c r="N43">
        <v>1913.7819999999999</v>
      </c>
      <c r="O43">
        <v>1593.2860000000001</v>
      </c>
      <c r="P43">
        <v>1830.0070000000001</v>
      </c>
      <c r="R43" s="3">
        <f t="shared" si="2"/>
        <v>1831.8688000000002</v>
      </c>
      <c r="S43" s="3">
        <f t="shared" si="3"/>
        <v>65.747052213312173</v>
      </c>
    </row>
    <row r="44" spans="1:19" x14ac:dyDescent="0.25">
      <c r="A44">
        <v>42.5</v>
      </c>
      <c r="B44">
        <v>2000.777</v>
      </c>
      <c r="C44">
        <v>1617.7629999999999</v>
      </c>
      <c r="D44">
        <v>2057.5219999999999</v>
      </c>
      <c r="E44">
        <v>1896.5550000000001</v>
      </c>
      <c r="F44">
        <v>1788.38</v>
      </c>
      <c r="H44" s="2">
        <f t="shared" si="0"/>
        <v>1872.1994</v>
      </c>
      <c r="I44" s="2">
        <f t="shared" si="1"/>
        <v>78.496316475742987</v>
      </c>
      <c r="K44">
        <v>42.5</v>
      </c>
      <c r="L44">
        <v>2003.027</v>
      </c>
      <c r="M44">
        <v>1850.222</v>
      </c>
      <c r="N44">
        <v>1929.7819999999999</v>
      </c>
      <c r="O44">
        <v>1613.7380000000001</v>
      </c>
      <c r="P44">
        <v>1846.5719999999999</v>
      </c>
      <c r="R44" s="3">
        <f t="shared" si="2"/>
        <v>1848.6682000000001</v>
      </c>
      <c r="S44" s="3">
        <f t="shared" si="3"/>
        <v>65.423655855049859</v>
      </c>
    </row>
    <row r="45" spans="1:19" x14ac:dyDescent="0.25">
      <c r="A45">
        <v>43.75</v>
      </c>
      <c r="B45">
        <v>2000.9770000000001</v>
      </c>
      <c r="C45">
        <v>1630.1780000000001</v>
      </c>
      <c r="D45">
        <v>2074.8919999999998</v>
      </c>
      <c r="E45">
        <v>1914.4269999999999</v>
      </c>
      <c r="F45">
        <v>1793.1120000000001</v>
      </c>
      <c r="H45" s="2">
        <f t="shared" si="0"/>
        <v>1882.7171999999998</v>
      </c>
      <c r="I45" s="2">
        <f t="shared" si="1"/>
        <v>78.65341215446405</v>
      </c>
      <c r="K45">
        <v>43.75</v>
      </c>
      <c r="L45">
        <v>2003.4680000000001</v>
      </c>
      <c r="M45">
        <v>1850.77</v>
      </c>
      <c r="N45">
        <v>1930.578</v>
      </c>
      <c r="O45">
        <v>1619.6969999999999</v>
      </c>
      <c r="P45">
        <v>1852.57</v>
      </c>
      <c r="R45" s="3">
        <f t="shared" si="2"/>
        <v>1851.4166</v>
      </c>
      <c r="S45" s="3">
        <f t="shared" si="3"/>
        <v>64.45226021607003</v>
      </c>
    </row>
    <row r="46" spans="1:19" x14ac:dyDescent="0.25">
      <c r="A46">
        <v>45</v>
      </c>
      <c r="B46">
        <v>2012.712</v>
      </c>
      <c r="C46">
        <v>1625.0319999999999</v>
      </c>
      <c r="D46">
        <v>2082.721</v>
      </c>
      <c r="E46">
        <v>1904.423</v>
      </c>
      <c r="F46">
        <v>1793.885</v>
      </c>
      <c r="H46" s="2">
        <f t="shared" si="0"/>
        <v>1883.7545999999998</v>
      </c>
      <c r="I46" s="2">
        <f t="shared" si="1"/>
        <v>81.135303924124173</v>
      </c>
      <c r="K46">
        <v>45</v>
      </c>
      <c r="L46">
        <v>2002.2159999999999</v>
      </c>
      <c r="M46">
        <v>1847.6289999999999</v>
      </c>
      <c r="N46">
        <v>1927.18</v>
      </c>
      <c r="O46">
        <v>1616.2860000000001</v>
      </c>
      <c r="P46">
        <v>1850.3320000000001</v>
      </c>
      <c r="R46" s="3">
        <f t="shared" si="2"/>
        <v>1848.7285999999999</v>
      </c>
      <c r="S46" s="3">
        <f t="shared" si="3"/>
        <v>64.709484014014492</v>
      </c>
    </row>
    <row r="47" spans="1:19" x14ac:dyDescent="0.25">
      <c r="A47">
        <v>46.25</v>
      </c>
      <c r="B47">
        <v>2044.376</v>
      </c>
      <c r="C47">
        <v>1645.8989999999999</v>
      </c>
      <c r="D47">
        <v>2112.1579999999999</v>
      </c>
      <c r="E47">
        <v>1930.6980000000001</v>
      </c>
      <c r="F47">
        <v>1828.7760000000001</v>
      </c>
      <c r="H47" s="2">
        <f t="shared" si="0"/>
        <v>1912.3813999999998</v>
      </c>
      <c r="I47" s="2">
        <f t="shared" si="1"/>
        <v>82.36245946764825</v>
      </c>
      <c r="K47">
        <v>46.25</v>
      </c>
      <c r="L47">
        <v>2031.355</v>
      </c>
      <c r="M47">
        <v>1869.8240000000001</v>
      </c>
      <c r="N47">
        <v>1957.905</v>
      </c>
      <c r="O47">
        <v>1633.998</v>
      </c>
      <c r="P47">
        <v>1874.316</v>
      </c>
      <c r="R47" s="3">
        <f t="shared" si="2"/>
        <v>1873.4796000000001</v>
      </c>
      <c r="S47" s="3">
        <f t="shared" si="3"/>
        <v>66.864710350527943</v>
      </c>
    </row>
    <row r="48" spans="1:19" x14ac:dyDescent="0.25">
      <c r="A48">
        <v>47.5</v>
      </c>
      <c r="B48">
        <v>2118.4140000000002</v>
      </c>
      <c r="C48">
        <v>1721.12</v>
      </c>
      <c r="D48">
        <v>2182.8440000000001</v>
      </c>
      <c r="E48">
        <v>2015.768</v>
      </c>
      <c r="F48">
        <v>1917.9559999999999</v>
      </c>
      <c r="H48" s="2">
        <f t="shared" si="0"/>
        <v>1991.2204000000002</v>
      </c>
      <c r="I48" s="2">
        <f t="shared" si="1"/>
        <v>81.185681930744451</v>
      </c>
      <c r="K48">
        <v>47.5</v>
      </c>
      <c r="L48">
        <v>2115.5709999999999</v>
      </c>
      <c r="M48">
        <v>1950.8330000000001</v>
      </c>
      <c r="N48">
        <v>2050.9929999999999</v>
      </c>
      <c r="O48">
        <v>1697.8119999999999</v>
      </c>
      <c r="P48">
        <v>1948.482</v>
      </c>
      <c r="R48" s="3">
        <f t="shared" si="2"/>
        <v>1952.7381999999998</v>
      </c>
      <c r="S48" s="3">
        <f t="shared" si="3"/>
        <v>71.125817728445142</v>
      </c>
    </row>
    <row r="49" spans="1:19" x14ac:dyDescent="0.25">
      <c r="A49">
        <v>48.75</v>
      </c>
      <c r="B49">
        <v>2230.5419999999999</v>
      </c>
      <c r="C49">
        <v>1832.3789999999999</v>
      </c>
      <c r="D49">
        <v>2302.6849999999999</v>
      </c>
      <c r="E49">
        <v>2128.7150000000001</v>
      </c>
      <c r="F49">
        <v>2029.296</v>
      </c>
      <c r="H49" s="2">
        <f t="shared" si="0"/>
        <v>2104.7233999999999</v>
      </c>
      <c r="I49" s="2">
        <f t="shared" si="1"/>
        <v>82.296864136247621</v>
      </c>
      <c r="K49">
        <v>48.75</v>
      </c>
      <c r="L49">
        <v>2235.7440000000001</v>
      </c>
      <c r="M49">
        <v>2077.1669999999999</v>
      </c>
      <c r="N49">
        <v>2160.8139999999999</v>
      </c>
      <c r="O49">
        <v>1801.7380000000001</v>
      </c>
      <c r="P49">
        <v>2059.3829999999998</v>
      </c>
      <c r="R49" s="3">
        <f t="shared" si="2"/>
        <v>2066.9692</v>
      </c>
      <c r="S49" s="3">
        <f t="shared" si="3"/>
        <v>73.416930816671979</v>
      </c>
    </row>
    <row r="50" spans="1:19" x14ac:dyDescent="0.25">
      <c r="A50">
        <v>50</v>
      </c>
      <c r="B50">
        <v>2338.232</v>
      </c>
      <c r="C50">
        <v>1914.883</v>
      </c>
      <c r="D50">
        <v>2421.2860000000001</v>
      </c>
      <c r="E50">
        <v>2213.6909999999998</v>
      </c>
      <c r="F50">
        <v>2113.8290000000002</v>
      </c>
      <c r="H50" s="2">
        <f t="shared" si="0"/>
        <v>2200.3842</v>
      </c>
      <c r="I50" s="2">
        <f t="shared" si="1"/>
        <v>88.594421377082199</v>
      </c>
      <c r="K50">
        <v>50</v>
      </c>
      <c r="L50">
        <v>2326.9549999999999</v>
      </c>
      <c r="M50">
        <v>2179.2919999999999</v>
      </c>
      <c r="N50">
        <v>2240.384</v>
      </c>
      <c r="O50">
        <v>1872.5350000000001</v>
      </c>
      <c r="P50">
        <v>2151.6210000000001</v>
      </c>
      <c r="R50" s="3">
        <f t="shared" si="2"/>
        <v>2154.1574000000001</v>
      </c>
      <c r="S50" s="3">
        <f t="shared" si="3"/>
        <v>76.564807430437625</v>
      </c>
    </row>
    <row r="51" spans="1:19" x14ac:dyDescent="0.25">
      <c r="A51">
        <v>51.25</v>
      </c>
      <c r="B51">
        <v>2410.4029999999998</v>
      </c>
      <c r="C51">
        <v>1970.7190000000001</v>
      </c>
      <c r="D51">
        <v>2490.0279999999998</v>
      </c>
      <c r="E51">
        <v>2261.5039999999999</v>
      </c>
      <c r="F51">
        <v>2158.181</v>
      </c>
      <c r="H51" s="2">
        <f t="shared" si="0"/>
        <v>2258.1669999999999</v>
      </c>
      <c r="I51" s="2">
        <f t="shared" si="1"/>
        <v>92.078773744549764</v>
      </c>
      <c r="K51">
        <v>51.25</v>
      </c>
      <c r="L51">
        <v>2388.6990000000001</v>
      </c>
      <c r="M51">
        <v>2226.3049999999998</v>
      </c>
      <c r="N51">
        <v>2290.085</v>
      </c>
      <c r="O51">
        <v>1906.16</v>
      </c>
      <c r="P51">
        <v>2195.5520000000001</v>
      </c>
      <c r="R51" s="3">
        <f t="shared" si="2"/>
        <v>2201.3602000000001</v>
      </c>
      <c r="S51" s="3">
        <f t="shared" si="3"/>
        <v>80.860080520241866</v>
      </c>
    </row>
    <row r="52" spans="1:19" x14ac:dyDescent="0.25">
      <c r="A52">
        <v>52.5</v>
      </c>
      <c r="B52">
        <v>2452.1869999999999</v>
      </c>
      <c r="C52">
        <v>1999.306</v>
      </c>
      <c r="D52">
        <v>2526.5160000000001</v>
      </c>
      <c r="E52">
        <v>2305.8240000000001</v>
      </c>
      <c r="F52">
        <v>2177.7280000000001</v>
      </c>
      <c r="H52" s="2">
        <f t="shared" si="0"/>
        <v>2292.3122000000003</v>
      </c>
      <c r="I52" s="2">
        <f t="shared" si="1"/>
        <v>94.756559793187932</v>
      </c>
      <c r="K52">
        <v>52.5</v>
      </c>
      <c r="L52">
        <v>2428.8339999999998</v>
      </c>
      <c r="M52">
        <v>2237.1309999999999</v>
      </c>
      <c r="N52">
        <v>2325.221</v>
      </c>
      <c r="O52">
        <v>1935.25</v>
      </c>
      <c r="P52">
        <v>2217.6410000000001</v>
      </c>
      <c r="R52" s="3">
        <f t="shared" si="2"/>
        <v>2228.8154</v>
      </c>
      <c r="S52" s="3">
        <f t="shared" si="3"/>
        <v>82.363869673904915</v>
      </c>
    </row>
    <row r="53" spans="1:19" x14ac:dyDescent="0.25">
      <c r="A53">
        <v>53.75</v>
      </c>
      <c r="B53">
        <v>2443.9470000000001</v>
      </c>
      <c r="C53">
        <v>1985.134</v>
      </c>
      <c r="D53">
        <v>2510.6089999999999</v>
      </c>
      <c r="E53">
        <v>2304.6210000000001</v>
      </c>
      <c r="F53">
        <v>2169.5940000000001</v>
      </c>
      <c r="H53" s="2">
        <f t="shared" si="0"/>
        <v>2282.7810000000004</v>
      </c>
      <c r="I53" s="2">
        <f t="shared" si="1"/>
        <v>94.805615951271562</v>
      </c>
      <c r="K53">
        <v>53.75</v>
      </c>
      <c r="L53">
        <v>2416.922</v>
      </c>
      <c r="M53">
        <v>2227.3879999999999</v>
      </c>
      <c r="N53">
        <v>2313.8139999999999</v>
      </c>
      <c r="O53">
        <v>1937.569</v>
      </c>
      <c r="P53">
        <v>2211.5680000000002</v>
      </c>
      <c r="R53" s="3">
        <f t="shared" si="2"/>
        <v>2221.4521999999997</v>
      </c>
      <c r="S53" s="3">
        <f t="shared" si="3"/>
        <v>79.831618793808758</v>
      </c>
    </row>
    <row r="54" spans="1:19" x14ac:dyDescent="0.25">
      <c r="A54">
        <v>55</v>
      </c>
      <c r="B54">
        <v>2373.6840000000002</v>
      </c>
      <c r="C54">
        <v>1941.383</v>
      </c>
      <c r="D54">
        <v>2447.529</v>
      </c>
      <c r="E54">
        <v>2248.9850000000001</v>
      </c>
      <c r="F54">
        <v>2111.56</v>
      </c>
      <c r="H54" s="2">
        <f t="shared" si="0"/>
        <v>2224.6282000000001</v>
      </c>
      <c r="I54" s="2">
        <f t="shared" si="1"/>
        <v>90.969201665948475</v>
      </c>
      <c r="K54">
        <v>55</v>
      </c>
      <c r="L54">
        <v>2351.7080000000001</v>
      </c>
      <c r="M54">
        <v>2183.8510000000001</v>
      </c>
      <c r="N54">
        <v>2266.1790000000001</v>
      </c>
      <c r="O54">
        <v>1894.921</v>
      </c>
      <c r="P54">
        <v>2172.1610000000001</v>
      </c>
      <c r="R54" s="3">
        <f t="shared" si="2"/>
        <v>2173.7640000000001</v>
      </c>
      <c r="S54" s="3">
        <f t="shared" si="3"/>
        <v>76.831743175591171</v>
      </c>
    </row>
    <row r="55" spans="1:19" x14ac:dyDescent="0.25">
      <c r="A55">
        <v>56.25</v>
      </c>
      <c r="B55">
        <v>2246.3589999999999</v>
      </c>
      <c r="C55">
        <v>1844.098</v>
      </c>
      <c r="D55">
        <v>2322.5740000000001</v>
      </c>
      <c r="E55">
        <v>2121.8119999999999</v>
      </c>
      <c r="F55">
        <v>2003.7329999999999</v>
      </c>
      <c r="H55" s="2">
        <f t="shared" si="0"/>
        <v>2107.7152000000001</v>
      </c>
      <c r="I55" s="2">
        <f t="shared" si="1"/>
        <v>85.408270395436531</v>
      </c>
      <c r="K55">
        <v>56.25</v>
      </c>
      <c r="L55">
        <v>2226.982</v>
      </c>
      <c r="M55">
        <v>2074.67</v>
      </c>
      <c r="N55">
        <v>2158.0030000000002</v>
      </c>
      <c r="O55">
        <v>1793.385</v>
      </c>
      <c r="P55">
        <v>2064.7890000000002</v>
      </c>
      <c r="R55" s="3">
        <f t="shared" si="2"/>
        <v>2063.5658000000003</v>
      </c>
      <c r="S55" s="3">
        <f t="shared" si="3"/>
        <v>73.737949297088548</v>
      </c>
    </row>
    <row r="56" spans="1:19" x14ac:dyDescent="0.25">
      <c r="A56">
        <v>57.5</v>
      </c>
      <c r="B56">
        <v>2052.6210000000001</v>
      </c>
      <c r="C56">
        <v>1698.2349999999999</v>
      </c>
      <c r="D56">
        <v>2135.5189999999998</v>
      </c>
      <c r="E56">
        <v>1944.3679999999999</v>
      </c>
      <c r="F56">
        <v>1851.69</v>
      </c>
      <c r="H56" s="2">
        <f t="shared" si="0"/>
        <v>1936.4866000000002</v>
      </c>
      <c r="I56" s="2">
        <f t="shared" si="1"/>
        <v>76.523689094684912</v>
      </c>
      <c r="K56">
        <v>57.5</v>
      </c>
      <c r="L56">
        <v>2034.787</v>
      </c>
      <c r="M56">
        <v>1921.1790000000001</v>
      </c>
      <c r="N56">
        <v>1974.771</v>
      </c>
      <c r="O56">
        <v>1627.64</v>
      </c>
      <c r="P56">
        <v>1899.4269999999999</v>
      </c>
      <c r="R56" s="3">
        <f t="shared" si="2"/>
        <v>1891.5608</v>
      </c>
      <c r="S56" s="3">
        <f t="shared" si="3"/>
        <v>70.011065302850497</v>
      </c>
    </row>
    <row r="57" spans="1:19" x14ac:dyDescent="0.25">
      <c r="A57">
        <v>58.75</v>
      </c>
      <c r="B57">
        <v>1884.3109999999999</v>
      </c>
      <c r="C57">
        <v>1548.8009999999999</v>
      </c>
      <c r="D57">
        <v>1954.252</v>
      </c>
      <c r="E57">
        <v>1783.52</v>
      </c>
      <c r="F57">
        <v>1689.5329999999999</v>
      </c>
      <c r="H57" s="2">
        <f t="shared" si="0"/>
        <v>1772.0834</v>
      </c>
      <c r="I57" s="2">
        <f t="shared" si="1"/>
        <v>71.617325954408543</v>
      </c>
      <c r="K57">
        <v>58.75</v>
      </c>
      <c r="L57">
        <v>1883.356</v>
      </c>
      <c r="M57">
        <v>1782.3579999999999</v>
      </c>
      <c r="N57">
        <v>1793.145</v>
      </c>
      <c r="O57">
        <v>1482.1859999999999</v>
      </c>
      <c r="P57">
        <v>1752.09</v>
      </c>
      <c r="R57" s="3">
        <f t="shared" si="2"/>
        <v>1738.627</v>
      </c>
      <c r="S57" s="3">
        <f t="shared" si="3"/>
        <v>67.740067528752874</v>
      </c>
    </row>
    <row r="58" spans="1:19" x14ac:dyDescent="0.25">
      <c r="A58">
        <v>60</v>
      </c>
      <c r="B58">
        <v>1781.586</v>
      </c>
      <c r="C58">
        <v>1460.114</v>
      </c>
      <c r="D58">
        <v>1832.23</v>
      </c>
      <c r="E58">
        <v>1680.2940000000001</v>
      </c>
      <c r="F58">
        <v>1575.1510000000001</v>
      </c>
      <c r="H58" s="2">
        <f t="shared" si="0"/>
        <v>1665.875</v>
      </c>
      <c r="I58" s="2">
        <f t="shared" si="1"/>
        <v>67.764062158344657</v>
      </c>
      <c r="K58">
        <v>60</v>
      </c>
      <c r="L58">
        <v>1770.5619999999999</v>
      </c>
      <c r="M58">
        <v>1684.1110000000001</v>
      </c>
      <c r="N58">
        <v>1688.9059999999999</v>
      </c>
      <c r="O58">
        <v>1390.664</v>
      </c>
      <c r="P58">
        <v>1654.9760000000001</v>
      </c>
      <c r="R58" s="3">
        <f t="shared" si="2"/>
        <v>1637.8437999999999</v>
      </c>
      <c r="S58" s="3">
        <f t="shared" si="3"/>
        <v>64.712243231400947</v>
      </c>
    </row>
    <row r="59" spans="1:19" x14ac:dyDescent="0.25">
      <c r="A59">
        <v>61.25</v>
      </c>
      <c r="B59">
        <v>1712.1220000000001</v>
      </c>
      <c r="C59">
        <v>1418.614</v>
      </c>
      <c r="D59">
        <v>1760.2380000000001</v>
      </c>
      <c r="E59">
        <v>1613.7260000000001</v>
      </c>
      <c r="F59">
        <v>1529.982</v>
      </c>
      <c r="H59" s="2">
        <f t="shared" si="0"/>
        <v>1606.9364</v>
      </c>
      <c r="I59" s="2">
        <f t="shared" si="1"/>
        <v>61.6436516192868</v>
      </c>
      <c r="K59">
        <v>61.25</v>
      </c>
      <c r="L59">
        <v>1711.2760000000001</v>
      </c>
      <c r="M59">
        <v>1606.9079999999999</v>
      </c>
      <c r="N59">
        <v>1635.221</v>
      </c>
      <c r="O59">
        <v>1334.8140000000001</v>
      </c>
      <c r="P59">
        <v>1585.941</v>
      </c>
      <c r="R59" s="3">
        <f t="shared" si="2"/>
        <v>1574.8320000000001</v>
      </c>
      <c r="S59" s="3">
        <f t="shared" si="3"/>
        <v>63.649319100050064</v>
      </c>
    </row>
    <row r="60" spans="1:19" x14ac:dyDescent="0.25">
      <c r="A60">
        <v>62.5</v>
      </c>
      <c r="B60">
        <v>1653.817</v>
      </c>
      <c r="C60">
        <v>1380.021</v>
      </c>
      <c r="D60">
        <v>1711.9010000000001</v>
      </c>
      <c r="E60">
        <v>1581.6289999999999</v>
      </c>
      <c r="F60">
        <v>1492.9459999999999</v>
      </c>
      <c r="H60" s="2">
        <f t="shared" si="0"/>
        <v>1564.0627999999999</v>
      </c>
      <c r="I60" s="2">
        <f t="shared" si="1"/>
        <v>58.800299560801584</v>
      </c>
      <c r="K60">
        <v>62.5</v>
      </c>
      <c r="L60">
        <v>1677.5450000000001</v>
      </c>
      <c r="M60">
        <v>1560.2529999999999</v>
      </c>
      <c r="N60">
        <v>1595.797</v>
      </c>
      <c r="O60">
        <v>1312.1559999999999</v>
      </c>
      <c r="P60">
        <v>1550.799</v>
      </c>
      <c r="R60" s="3">
        <f t="shared" si="2"/>
        <v>1539.31</v>
      </c>
      <c r="S60" s="3">
        <f t="shared" si="3"/>
        <v>61.020178006951134</v>
      </c>
    </row>
    <row r="61" spans="1:19" x14ac:dyDescent="0.25">
      <c r="A61">
        <v>63.75</v>
      </c>
      <c r="B61">
        <v>1637.405</v>
      </c>
      <c r="C61">
        <v>1355.1320000000001</v>
      </c>
      <c r="D61">
        <v>1674.8040000000001</v>
      </c>
      <c r="E61">
        <v>1554.2929999999999</v>
      </c>
      <c r="F61">
        <v>1471.5250000000001</v>
      </c>
      <c r="H61" s="2">
        <f t="shared" si="0"/>
        <v>1538.6317999999999</v>
      </c>
      <c r="I61" s="2">
        <f t="shared" si="1"/>
        <v>57.758023461160775</v>
      </c>
      <c r="K61">
        <v>63.75</v>
      </c>
      <c r="L61">
        <v>1639.9079999999999</v>
      </c>
      <c r="M61">
        <v>1536.0150000000001</v>
      </c>
      <c r="N61">
        <v>1579.069</v>
      </c>
      <c r="O61">
        <v>1295.788</v>
      </c>
      <c r="P61">
        <v>1530.355</v>
      </c>
      <c r="R61" s="3">
        <f t="shared" si="2"/>
        <v>1516.2270000000001</v>
      </c>
      <c r="S61" s="3">
        <f t="shared" si="3"/>
        <v>58.493856418430802</v>
      </c>
    </row>
    <row r="62" spans="1:19" x14ac:dyDescent="0.25">
      <c r="A62">
        <v>65</v>
      </c>
      <c r="B62">
        <v>1639.2049999999999</v>
      </c>
      <c r="C62">
        <v>1339.3989999999999</v>
      </c>
      <c r="D62">
        <v>1657.097</v>
      </c>
      <c r="E62">
        <v>1542.423</v>
      </c>
      <c r="F62">
        <v>1461.098</v>
      </c>
      <c r="H62" s="2">
        <f t="shared" si="0"/>
        <v>1527.8444</v>
      </c>
      <c r="I62" s="2">
        <f t="shared" si="1"/>
        <v>58.858603496515286</v>
      </c>
      <c r="K62">
        <v>65</v>
      </c>
      <c r="L62">
        <v>1627.3510000000001</v>
      </c>
      <c r="M62">
        <v>1524.1510000000001</v>
      </c>
      <c r="N62">
        <v>1568.422</v>
      </c>
      <c r="O62">
        <v>1274.7090000000001</v>
      </c>
      <c r="P62">
        <v>1517.4349999999999</v>
      </c>
      <c r="R62" s="3">
        <f t="shared" si="2"/>
        <v>1502.4136000000003</v>
      </c>
      <c r="S62" s="3">
        <f t="shared" si="3"/>
        <v>60.213787734704077</v>
      </c>
    </row>
    <row r="63" spans="1:19" x14ac:dyDescent="0.25">
      <c r="A63">
        <v>66.25</v>
      </c>
      <c r="B63">
        <v>1639.626</v>
      </c>
      <c r="C63">
        <v>1334.3030000000001</v>
      </c>
      <c r="D63">
        <v>1647.529</v>
      </c>
      <c r="E63">
        <v>1539.854</v>
      </c>
      <c r="F63">
        <v>1455.9649999999999</v>
      </c>
      <c r="H63" s="2">
        <f t="shared" si="0"/>
        <v>1523.4554000000003</v>
      </c>
      <c r="I63" s="2">
        <f t="shared" si="1"/>
        <v>58.945892613989635</v>
      </c>
      <c r="K63">
        <v>66.25</v>
      </c>
      <c r="L63">
        <v>1621.1220000000001</v>
      </c>
      <c r="M63">
        <v>1500.1780000000001</v>
      </c>
      <c r="N63">
        <v>1555.4839999999999</v>
      </c>
      <c r="O63">
        <v>1280.1790000000001</v>
      </c>
      <c r="P63">
        <v>1505.4290000000001</v>
      </c>
      <c r="R63" s="3">
        <f t="shared" si="2"/>
        <v>1492.4784</v>
      </c>
      <c r="S63" s="3">
        <f t="shared" si="3"/>
        <v>57.365895170039821</v>
      </c>
    </row>
    <row r="64" spans="1:19" x14ac:dyDescent="0.25">
      <c r="A64">
        <v>67.5</v>
      </c>
      <c r="B64">
        <v>1632.011</v>
      </c>
      <c r="C64">
        <v>1324.462</v>
      </c>
      <c r="D64">
        <v>1654.5920000000001</v>
      </c>
      <c r="E64">
        <v>1537.5650000000001</v>
      </c>
      <c r="F64">
        <v>1459.1120000000001</v>
      </c>
      <c r="H64" s="2">
        <f t="shared" si="0"/>
        <v>1521.5484000000001</v>
      </c>
      <c r="I64" s="2">
        <f t="shared" si="1"/>
        <v>60.374030048192076</v>
      </c>
      <c r="K64">
        <v>67.5</v>
      </c>
      <c r="L64">
        <v>1620.9960000000001</v>
      </c>
      <c r="M64">
        <v>1505.143</v>
      </c>
      <c r="N64">
        <v>1552.193</v>
      </c>
      <c r="O64">
        <v>1271.1010000000001</v>
      </c>
      <c r="P64">
        <v>1490.857</v>
      </c>
      <c r="R64" s="3">
        <f t="shared" si="2"/>
        <v>1488.0580000000002</v>
      </c>
      <c r="S64" s="3">
        <f t="shared" si="3"/>
        <v>58.803010783462433</v>
      </c>
    </row>
    <row r="65" spans="1:19" x14ac:dyDescent="0.25">
      <c r="A65">
        <v>68.75</v>
      </c>
      <c r="B65">
        <v>1623.0920000000001</v>
      </c>
      <c r="C65">
        <v>1330.0360000000001</v>
      </c>
      <c r="D65">
        <v>1647.096</v>
      </c>
      <c r="E65">
        <v>1541.0809999999999</v>
      </c>
      <c r="F65">
        <v>1455.403</v>
      </c>
      <c r="H65" s="2">
        <f t="shared" si="0"/>
        <v>1519.3416000000002</v>
      </c>
      <c r="I65" s="2">
        <f t="shared" si="1"/>
        <v>58.087300029008048</v>
      </c>
      <c r="K65">
        <v>68.75</v>
      </c>
      <c r="L65">
        <v>1605.99</v>
      </c>
      <c r="M65">
        <v>1497.569</v>
      </c>
      <c r="N65">
        <v>1552.942</v>
      </c>
      <c r="O65">
        <v>1271.827</v>
      </c>
      <c r="P65">
        <v>1490.2660000000001</v>
      </c>
      <c r="R65" s="3">
        <f t="shared" si="2"/>
        <v>1483.7188000000001</v>
      </c>
      <c r="S65" s="3">
        <f t="shared" si="3"/>
        <v>56.953896505331393</v>
      </c>
    </row>
    <row r="66" spans="1:19" x14ac:dyDescent="0.25">
      <c r="A66">
        <v>70</v>
      </c>
      <c r="B66">
        <v>1623.347</v>
      </c>
      <c r="C66">
        <v>1332.5930000000001</v>
      </c>
      <c r="D66">
        <v>1651.7270000000001</v>
      </c>
      <c r="E66">
        <v>1546.48</v>
      </c>
      <c r="F66">
        <v>1443.9469999999999</v>
      </c>
      <c r="H66" s="2">
        <f t="shared" si="0"/>
        <v>1519.6188000000002</v>
      </c>
      <c r="I66" s="2">
        <f t="shared" si="1"/>
        <v>59.007843219694109</v>
      </c>
      <c r="K66">
        <v>70</v>
      </c>
      <c r="L66">
        <v>1600.1659999999999</v>
      </c>
      <c r="M66">
        <v>1480.3420000000001</v>
      </c>
      <c r="N66">
        <v>1544.5250000000001</v>
      </c>
      <c r="O66">
        <v>1274.146</v>
      </c>
      <c r="P66">
        <v>1485.48</v>
      </c>
      <c r="R66" s="3">
        <f t="shared" si="2"/>
        <v>1476.9317999999998</v>
      </c>
      <c r="S66" s="3">
        <f t="shared" si="3"/>
        <v>55.209732205834875</v>
      </c>
    </row>
    <row r="67" spans="1:19" x14ac:dyDescent="0.25">
      <c r="A67">
        <v>71.25</v>
      </c>
      <c r="B67">
        <v>1630.758</v>
      </c>
      <c r="C67">
        <v>1327.9010000000001</v>
      </c>
      <c r="D67">
        <v>1639.9369999999999</v>
      </c>
      <c r="E67">
        <v>1537.038</v>
      </c>
      <c r="F67">
        <v>1442.9390000000001</v>
      </c>
      <c r="H67" s="2">
        <f t="shared" si="0"/>
        <v>1515.7146</v>
      </c>
      <c r="I67" s="2">
        <f t="shared" si="1"/>
        <v>59.03012461159129</v>
      </c>
      <c r="K67">
        <v>71.25</v>
      </c>
      <c r="L67">
        <v>1584.7550000000001</v>
      </c>
      <c r="M67">
        <v>1479.9010000000001</v>
      </c>
      <c r="N67">
        <v>1526.6980000000001</v>
      </c>
      <c r="O67">
        <v>1261.97</v>
      </c>
      <c r="P67">
        <v>1486.1969999999999</v>
      </c>
      <c r="R67" s="3">
        <f t="shared" si="2"/>
        <v>1467.9042000000002</v>
      </c>
      <c r="S67" s="3">
        <f t="shared" si="3"/>
        <v>54.771463761159431</v>
      </c>
    </row>
    <row r="68" spans="1:19" x14ac:dyDescent="0.25">
      <c r="A68">
        <v>72.5</v>
      </c>
      <c r="B68">
        <v>1623.943</v>
      </c>
      <c r="C68">
        <v>1315.3130000000001</v>
      </c>
      <c r="D68">
        <v>1632.623</v>
      </c>
      <c r="E68">
        <v>1526.364</v>
      </c>
      <c r="F68">
        <v>1428.31</v>
      </c>
      <c r="H68" s="2">
        <f t="shared" si="0"/>
        <v>1505.3106</v>
      </c>
      <c r="I68" s="2">
        <f t="shared" si="1"/>
        <v>60.313149304774313</v>
      </c>
      <c r="K68">
        <v>72.5</v>
      </c>
      <c r="L68">
        <v>1574.94</v>
      </c>
      <c r="M68">
        <v>1462.693</v>
      </c>
      <c r="N68">
        <v>1517.682</v>
      </c>
      <c r="O68">
        <v>1262.5039999999999</v>
      </c>
      <c r="P68">
        <v>1478.761</v>
      </c>
      <c r="R68" s="3">
        <f t="shared" si="2"/>
        <v>1459.316</v>
      </c>
      <c r="S68" s="3">
        <f t="shared" si="3"/>
        <v>52.867747649204823</v>
      </c>
    </row>
    <row r="69" spans="1:19" x14ac:dyDescent="0.25">
      <c r="A69">
        <v>73.75</v>
      </c>
      <c r="B69">
        <v>1617.326</v>
      </c>
      <c r="C69">
        <v>1312.9590000000001</v>
      </c>
      <c r="D69">
        <v>1620.8889999999999</v>
      </c>
      <c r="E69">
        <v>1509.328</v>
      </c>
      <c r="F69">
        <v>1427.6959999999999</v>
      </c>
      <c r="H69" s="2">
        <f t="shared" ref="H69:H96" si="4">AVERAGE(B69:F69)</f>
        <v>1497.6396</v>
      </c>
      <c r="I69" s="2">
        <f t="shared" ref="I69:I96" si="5">STDEV(B69:F69)/SQRT(COUNT(B69:F69))</f>
        <v>58.58792488098549</v>
      </c>
      <c r="K69">
        <v>73.75</v>
      </c>
      <c r="L69">
        <v>1563.5830000000001</v>
      </c>
      <c r="M69">
        <v>1464.326</v>
      </c>
      <c r="N69">
        <v>1520.0050000000001</v>
      </c>
      <c r="O69">
        <v>1264.6569999999999</v>
      </c>
      <c r="P69">
        <v>1489.4670000000001</v>
      </c>
      <c r="R69" s="3">
        <f t="shared" ref="R69:R96" si="6">AVERAGE(L69:P69)</f>
        <v>1460.4076</v>
      </c>
      <c r="S69" s="3">
        <f t="shared" ref="S69:S96" si="7">STDEV(L69:P69)/SQRT(COUNT(L69:P69))</f>
        <v>51.660000599690306</v>
      </c>
    </row>
    <row r="70" spans="1:19" x14ac:dyDescent="0.25">
      <c r="A70">
        <v>75</v>
      </c>
      <c r="B70">
        <v>1666.7360000000001</v>
      </c>
      <c r="C70">
        <v>1349.4649999999999</v>
      </c>
      <c r="D70">
        <v>1657.751</v>
      </c>
      <c r="E70">
        <v>1547.127</v>
      </c>
      <c r="F70">
        <v>1487.192</v>
      </c>
      <c r="H70" s="2">
        <f t="shared" si="4"/>
        <v>1541.6541999999999</v>
      </c>
      <c r="I70" s="2">
        <f t="shared" si="5"/>
        <v>58.760826673388472</v>
      </c>
      <c r="K70">
        <v>75</v>
      </c>
      <c r="L70">
        <v>1611.3489999999999</v>
      </c>
      <c r="M70">
        <v>1523.8019999999999</v>
      </c>
      <c r="N70">
        <v>1569.1890000000001</v>
      </c>
      <c r="O70">
        <v>1315.2619999999999</v>
      </c>
      <c r="P70">
        <v>1549.585</v>
      </c>
      <c r="R70" s="3">
        <f t="shared" si="6"/>
        <v>1513.8373999999999</v>
      </c>
      <c r="S70" s="3">
        <f t="shared" si="7"/>
        <v>51.663180990527486</v>
      </c>
    </row>
    <row r="71" spans="1:19" x14ac:dyDescent="0.25">
      <c r="A71">
        <v>76.25</v>
      </c>
      <c r="B71">
        <v>1785.4069999999999</v>
      </c>
      <c r="C71">
        <v>1473.3009999999999</v>
      </c>
      <c r="D71">
        <v>1786.192</v>
      </c>
      <c r="E71">
        <v>1682.645</v>
      </c>
      <c r="F71">
        <v>1586.508</v>
      </c>
      <c r="H71" s="2">
        <f t="shared" si="4"/>
        <v>1662.8106</v>
      </c>
      <c r="I71" s="2">
        <f t="shared" si="5"/>
        <v>60.159049959752508</v>
      </c>
      <c r="K71">
        <v>76.25</v>
      </c>
      <c r="L71">
        <v>1753.511</v>
      </c>
      <c r="M71">
        <v>1696.8130000000001</v>
      </c>
      <c r="N71">
        <v>1702.8389999999999</v>
      </c>
      <c r="O71">
        <v>1427.518</v>
      </c>
      <c r="P71">
        <v>1749.0170000000001</v>
      </c>
      <c r="R71" s="3">
        <f t="shared" si="6"/>
        <v>1665.9396000000002</v>
      </c>
      <c r="S71" s="3">
        <f t="shared" si="7"/>
        <v>60.716635440050531</v>
      </c>
    </row>
    <row r="72" spans="1:19" x14ac:dyDescent="0.25">
      <c r="A72">
        <v>77.5</v>
      </c>
      <c r="B72">
        <v>1837.623</v>
      </c>
      <c r="C72">
        <v>1526.893</v>
      </c>
      <c r="D72">
        <v>1859.0409999999999</v>
      </c>
      <c r="E72">
        <v>1752.799</v>
      </c>
      <c r="F72">
        <v>1653.9960000000001</v>
      </c>
      <c r="H72" s="2">
        <f t="shared" si="4"/>
        <v>1726.0703999999998</v>
      </c>
      <c r="I72" s="2">
        <f t="shared" si="5"/>
        <v>61.52476610894184</v>
      </c>
      <c r="K72">
        <v>77.5</v>
      </c>
      <c r="L72">
        <v>1825.5730000000001</v>
      </c>
      <c r="M72">
        <v>1768.3910000000001</v>
      </c>
      <c r="N72">
        <v>1768.3520000000001</v>
      </c>
      <c r="O72">
        <v>1492.2270000000001</v>
      </c>
      <c r="P72">
        <v>1847.8530000000001</v>
      </c>
      <c r="R72" s="3">
        <f t="shared" si="6"/>
        <v>1740.4792000000002</v>
      </c>
      <c r="S72" s="3">
        <f t="shared" si="7"/>
        <v>64.013750120110913</v>
      </c>
    </row>
    <row r="73" spans="1:19" x14ac:dyDescent="0.25">
      <c r="A73">
        <v>78.75</v>
      </c>
      <c r="B73">
        <v>1848.537</v>
      </c>
      <c r="C73">
        <v>1502.7539999999999</v>
      </c>
      <c r="D73">
        <v>1833.2850000000001</v>
      </c>
      <c r="E73">
        <v>1732.2909999999999</v>
      </c>
      <c r="F73">
        <v>1630.3330000000001</v>
      </c>
      <c r="H73" s="2">
        <f t="shared" si="4"/>
        <v>1709.44</v>
      </c>
      <c r="I73" s="2">
        <f t="shared" si="5"/>
        <v>64.878635805633294</v>
      </c>
      <c r="K73">
        <v>78.75</v>
      </c>
      <c r="L73">
        <v>1786.4490000000001</v>
      </c>
      <c r="M73">
        <v>1719.8969999999999</v>
      </c>
      <c r="N73">
        <v>1739.2639999999999</v>
      </c>
      <c r="O73">
        <v>1463.5350000000001</v>
      </c>
      <c r="P73">
        <v>1777.671</v>
      </c>
      <c r="R73" s="3">
        <f t="shared" si="6"/>
        <v>1697.3631999999998</v>
      </c>
      <c r="S73" s="3">
        <f t="shared" si="7"/>
        <v>59.717961619934734</v>
      </c>
    </row>
    <row r="74" spans="1:19" x14ac:dyDescent="0.25">
      <c r="A74">
        <v>80</v>
      </c>
      <c r="B74">
        <v>1933.5119999999999</v>
      </c>
      <c r="C74">
        <v>1468.183</v>
      </c>
      <c r="D74">
        <v>1838.578</v>
      </c>
      <c r="E74">
        <v>1701.1410000000001</v>
      </c>
      <c r="F74">
        <v>1670.3340000000001</v>
      </c>
      <c r="H74" s="2">
        <f t="shared" si="4"/>
        <v>1722.3496</v>
      </c>
      <c r="I74" s="2">
        <f t="shared" si="5"/>
        <v>79.326757167175302</v>
      </c>
      <c r="K74">
        <v>80</v>
      </c>
      <c r="L74">
        <v>1747.66</v>
      </c>
      <c r="M74">
        <v>1652.08</v>
      </c>
      <c r="N74">
        <v>1722.9780000000001</v>
      </c>
      <c r="O74">
        <v>1446.345</v>
      </c>
      <c r="P74">
        <v>1686.8340000000001</v>
      </c>
      <c r="R74" s="3">
        <f t="shared" si="6"/>
        <v>1651.1794000000002</v>
      </c>
      <c r="S74" s="3">
        <f t="shared" si="7"/>
        <v>53.708815916569982</v>
      </c>
    </row>
    <row r="75" spans="1:19" x14ac:dyDescent="0.25">
      <c r="A75">
        <v>81.25</v>
      </c>
      <c r="B75">
        <v>2192.288</v>
      </c>
      <c r="C75">
        <v>1625.79</v>
      </c>
      <c r="D75">
        <v>2050.9630000000002</v>
      </c>
      <c r="E75">
        <v>1864.3989999999999</v>
      </c>
      <c r="F75">
        <v>2026.7149999999999</v>
      </c>
      <c r="H75" s="2">
        <f t="shared" si="4"/>
        <v>1952.0310000000002</v>
      </c>
      <c r="I75" s="2">
        <f t="shared" si="5"/>
        <v>96.747409276424577</v>
      </c>
      <c r="K75">
        <v>81.25</v>
      </c>
      <c r="L75">
        <v>1959.93</v>
      </c>
      <c r="M75">
        <v>1817.78</v>
      </c>
      <c r="N75">
        <v>1964.962</v>
      </c>
      <c r="O75">
        <v>1658.662</v>
      </c>
      <c r="P75">
        <v>1831.867</v>
      </c>
      <c r="R75" s="3">
        <f t="shared" si="6"/>
        <v>1846.6402000000003</v>
      </c>
      <c r="S75" s="3">
        <f t="shared" si="7"/>
        <v>56.223477923728623</v>
      </c>
    </row>
    <row r="76" spans="1:19" x14ac:dyDescent="0.25">
      <c r="A76">
        <v>82.5</v>
      </c>
      <c r="B76">
        <v>2741.1840000000002</v>
      </c>
      <c r="C76">
        <v>2264.866</v>
      </c>
      <c r="D76">
        <v>2733.942</v>
      </c>
      <c r="E76">
        <v>2523.223</v>
      </c>
      <c r="F76">
        <v>2797.759</v>
      </c>
      <c r="H76" s="2">
        <f t="shared" si="4"/>
        <v>2612.1948000000002</v>
      </c>
      <c r="I76" s="2">
        <f t="shared" si="5"/>
        <v>98.602216823659703</v>
      </c>
      <c r="K76">
        <v>82.5</v>
      </c>
      <c r="L76">
        <v>2670.9760000000001</v>
      </c>
      <c r="M76">
        <v>2534.4090000000001</v>
      </c>
      <c r="N76">
        <v>2660.7689999999998</v>
      </c>
      <c r="O76">
        <v>2313.0160000000001</v>
      </c>
      <c r="P76">
        <v>2551.94</v>
      </c>
      <c r="R76" s="3">
        <f t="shared" si="6"/>
        <v>2546.2220000000002</v>
      </c>
      <c r="S76" s="3">
        <f t="shared" si="7"/>
        <v>64.51428394317027</v>
      </c>
    </row>
    <row r="77" spans="1:19" x14ac:dyDescent="0.25">
      <c r="A77">
        <v>83.75</v>
      </c>
      <c r="B77">
        <v>3305.431</v>
      </c>
      <c r="C77">
        <v>3150.9830000000002</v>
      </c>
      <c r="D77">
        <v>3524.0140000000001</v>
      </c>
      <c r="E77">
        <v>3376.4650000000001</v>
      </c>
      <c r="F77">
        <v>3584.4949999999999</v>
      </c>
      <c r="H77" s="2">
        <f t="shared" si="4"/>
        <v>3388.2775999999999</v>
      </c>
      <c r="I77" s="2">
        <f t="shared" si="5"/>
        <v>77.536269637892659</v>
      </c>
      <c r="K77">
        <v>83.75</v>
      </c>
      <c r="L77">
        <v>3585.4580000000001</v>
      </c>
      <c r="M77">
        <v>3444.125</v>
      </c>
      <c r="N77">
        <v>3542.451</v>
      </c>
      <c r="O77">
        <v>3156.74</v>
      </c>
      <c r="P77">
        <v>3577.5540000000001</v>
      </c>
      <c r="R77" s="3">
        <f t="shared" si="6"/>
        <v>3461.2656000000002</v>
      </c>
      <c r="S77" s="3">
        <f t="shared" si="7"/>
        <v>80.177133457489049</v>
      </c>
    </row>
    <row r="78" spans="1:19" x14ac:dyDescent="0.25">
      <c r="A78">
        <v>85</v>
      </c>
      <c r="B78">
        <v>3680.7629999999999</v>
      </c>
      <c r="C78">
        <v>3744.7860000000001</v>
      </c>
      <c r="D78">
        <v>4101.3180000000002</v>
      </c>
      <c r="E78">
        <v>4025.248</v>
      </c>
      <c r="F78">
        <v>4063.73</v>
      </c>
      <c r="H78" s="2">
        <f t="shared" si="4"/>
        <v>3923.1690000000003</v>
      </c>
      <c r="I78" s="2">
        <f t="shared" si="5"/>
        <v>87.320028254690826</v>
      </c>
      <c r="K78">
        <v>85</v>
      </c>
      <c r="L78">
        <v>4198.0529999999999</v>
      </c>
      <c r="M78">
        <v>4129.7659999999996</v>
      </c>
      <c r="N78">
        <v>4116.4620000000004</v>
      </c>
      <c r="O78">
        <v>3749.6610000000001</v>
      </c>
      <c r="P78">
        <v>4335.4579999999996</v>
      </c>
      <c r="R78" s="3">
        <f t="shared" si="6"/>
        <v>4105.8799999999992</v>
      </c>
      <c r="S78" s="3">
        <f t="shared" si="7"/>
        <v>97.153593781702114</v>
      </c>
    </row>
    <row r="79" spans="1:19" x14ac:dyDescent="0.25">
      <c r="A79">
        <v>86.25</v>
      </c>
      <c r="B79">
        <v>3688.8760000000002</v>
      </c>
      <c r="C79">
        <v>3839.2820000000002</v>
      </c>
      <c r="D79">
        <v>4181.8040000000001</v>
      </c>
      <c r="E79">
        <v>4185.1139999999996</v>
      </c>
      <c r="F79">
        <v>4110.05</v>
      </c>
      <c r="H79" s="2">
        <f t="shared" si="4"/>
        <v>4001.0252</v>
      </c>
      <c r="I79" s="2">
        <f t="shared" si="5"/>
        <v>100.51220165651523</v>
      </c>
      <c r="K79">
        <v>86.25</v>
      </c>
      <c r="L79">
        <v>4272.0259999999998</v>
      </c>
      <c r="M79">
        <v>4263.1930000000002</v>
      </c>
      <c r="N79">
        <v>4166.9250000000002</v>
      </c>
      <c r="O79">
        <v>3847.375</v>
      </c>
      <c r="P79">
        <v>4520.1369999999997</v>
      </c>
      <c r="R79" s="3">
        <f t="shared" si="6"/>
        <v>4213.9312</v>
      </c>
      <c r="S79" s="3">
        <f t="shared" si="7"/>
        <v>108.65927325286135</v>
      </c>
    </row>
    <row r="80" spans="1:19" x14ac:dyDescent="0.25">
      <c r="A80">
        <v>87.5</v>
      </c>
      <c r="B80">
        <v>3380.326</v>
      </c>
      <c r="C80">
        <v>3524.6410000000001</v>
      </c>
      <c r="D80">
        <v>3849.5909999999999</v>
      </c>
      <c r="E80">
        <v>3880.5419999999999</v>
      </c>
      <c r="F80">
        <v>3812.04</v>
      </c>
      <c r="H80" s="2">
        <f t="shared" si="4"/>
        <v>3689.4279999999999</v>
      </c>
      <c r="I80" s="2">
        <f t="shared" si="5"/>
        <v>99.977310396409408</v>
      </c>
      <c r="K80">
        <v>87.5</v>
      </c>
      <c r="L80">
        <v>3891.5770000000002</v>
      </c>
      <c r="M80">
        <v>3925.9470000000001</v>
      </c>
      <c r="N80">
        <v>3802.2849999999999</v>
      </c>
      <c r="O80">
        <v>3460.6</v>
      </c>
      <c r="P80">
        <v>4120.42</v>
      </c>
      <c r="R80" s="3">
        <f t="shared" si="6"/>
        <v>3840.1658000000002</v>
      </c>
      <c r="S80" s="3">
        <f t="shared" si="7"/>
        <v>108.17788450390405</v>
      </c>
    </row>
    <row r="81" spans="1:19" x14ac:dyDescent="0.25">
      <c r="A81">
        <v>88.75</v>
      </c>
      <c r="B81">
        <v>3025.8380000000002</v>
      </c>
      <c r="C81">
        <v>3137.5259999999998</v>
      </c>
      <c r="D81">
        <v>3439.826</v>
      </c>
      <c r="E81">
        <v>3461.607</v>
      </c>
      <c r="F81">
        <v>3420.7689999999998</v>
      </c>
      <c r="H81" s="2">
        <f t="shared" si="4"/>
        <v>3297.1131999999998</v>
      </c>
      <c r="I81" s="2">
        <f t="shared" si="5"/>
        <v>89.93726116988438</v>
      </c>
      <c r="K81">
        <v>88.75</v>
      </c>
      <c r="L81">
        <v>3455.3620000000001</v>
      </c>
      <c r="M81">
        <v>3460.2379999999998</v>
      </c>
      <c r="N81">
        <v>3369.1509999999998</v>
      </c>
      <c r="O81">
        <v>3014.3910000000001</v>
      </c>
      <c r="P81">
        <v>3596.2649999999999</v>
      </c>
      <c r="R81" s="3">
        <f t="shared" si="6"/>
        <v>3379.0814</v>
      </c>
      <c r="S81" s="3">
        <f t="shared" si="7"/>
        <v>98.150787175956935</v>
      </c>
    </row>
    <row r="82" spans="1:19" x14ac:dyDescent="0.25">
      <c r="A82">
        <v>90</v>
      </c>
      <c r="B82">
        <v>2879.17</v>
      </c>
      <c r="C82">
        <v>2971.308</v>
      </c>
      <c r="D82">
        <v>3190.9630000000002</v>
      </c>
      <c r="E82">
        <v>3206.6460000000002</v>
      </c>
      <c r="F82">
        <v>3247.9050000000002</v>
      </c>
      <c r="H82" s="2">
        <f t="shared" si="4"/>
        <v>3099.1984000000002</v>
      </c>
      <c r="I82" s="2">
        <f t="shared" si="5"/>
        <v>73.09166596172237</v>
      </c>
      <c r="K82">
        <v>90</v>
      </c>
      <c r="L82">
        <v>3215.2939999999999</v>
      </c>
      <c r="M82">
        <v>3222.8820000000001</v>
      </c>
      <c r="N82">
        <v>3141.7159999999999</v>
      </c>
      <c r="O82">
        <v>2863.49</v>
      </c>
      <c r="P82">
        <v>3387.154</v>
      </c>
      <c r="R82" s="3">
        <f t="shared" si="6"/>
        <v>3166.1071999999999</v>
      </c>
      <c r="S82" s="3">
        <f t="shared" si="7"/>
        <v>85.637756676830378</v>
      </c>
    </row>
    <row r="83" spans="1:19" x14ac:dyDescent="0.25">
      <c r="A83">
        <v>91.25</v>
      </c>
      <c r="B83">
        <v>2970.6509999999998</v>
      </c>
      <c r="C83">
        <v>3095.3960000000002</v>
      </c>
      <c r="D83">
        <v>3210.9589999999998</v>
      </c>
      <c r="E83">
        <v>3216.0149999999999</v>
      </c>
      <c r="F83">
        <v>3345.1379999999999</v>
      </c>
      <c r="H83" s="2">
        <f t="shared" si="4"/>
        <v>3167.6318000000001</v>
      </c>
      <c r="I83" s="2">
        <f t="shared" si="5"/>
        <v>63.145101833317206</v>
      </c>
      <c r="K83">
        <v>91.25</v>
      </c>
      <c r="L83">
        <v>3232.114</v>
      </c>
      <c r="M83">
        <v>3315.364</v>
      </c>
      <c r="N83">
        <v>3182.558</v>
      </c>
      <c r="O83">
        <v>3010.0520000000001</v>
      </c>
      <c r="P83">
        <v>3551.9740000000002</v>
      </c>
      <c r="R83" s="3">
        <f t="shared" si="6"/>
        <v>3258.4124000000002</v>
      </c>
      <c r="S83" s="3">
        <f t="shared" si="7"/>
        <v>88.755360927439199</v>
      </c>
    </row>
    <row r="84" spans="1:19" x14ac:dyDescent="0.25">
      <c r="A84">
        <v>92.5</v>
      </c>
      <c r="B84">
        <v>3212.451</v>
      </c>
      <c r="C84">
        <v>3320.2489999999998</v>
      </c>
      <c r="D84">
        <v>3355.201</v>
      </c>
      <c r="E84">
        <v>3347.3670000000002</v>
      </c>
      <c r="F84">
        <v>3511.6419999999998</v>
      </c>
      <c r="H84" s="2">
        <f t="shared" si="4"/>
        <v>3349.3820000000001</v>
      </c>
      <c r="I84" s="2">
        <f t="shared" si="5"/>
        <v>47.940097536404707</v>
      </c>
      <c r="K84">
        <v>92.5</v>
      </c>
      <c r="L84">
        <v>3356.7489999999998</v>
      </c>
      <c r="M84">
        <v>3527.654</v>
      </c>
      <c r="N84">
        <v>3344.34</v>
      </c>
      <c r="O84">
        <v>3211.6909999999998</v>
      </c>
      <c r="P84">
        <v>3811.7979999999998</v>
      </c>
      <c r="R84" s="3">
        <f t="shared" si="6"/>
        <v>3450.4463999999998</v>
      </c>
      <c r="S84" s="3">
        <f t="shared" si="7"/>
        <v>103.33874013098861</v>
      </c>
    </row>
    <row r="85" spans="1:19" x14ac:dyDescent="0.25">
      <c r="A85">
        <v>93.75</v>
      </c>
      <c r="B85">
        <v>3484.9360000000001</v>
      </c>
      <c r="C85">
        <v>3406.4470000000001</v>
      </c>
      <c r="D85">
        <v>3534.5880000000002</v>
      </c>
      <c r="E85">
        <v>3478.3049999999998</v>
      </c>
      <c r="F85">
        <v>3581.3420000000001</v>
      </c>
      <c r="H85" s="2">
        <f t="shared" si="4"/>
        <v>3497.1235999999999</v>
      </c>
      <c r="I85" s="2">
        <f t="shared" si="5"/>
        <v>29.343860732016854</v>
      </c>
      <c r="K85">
        <v>93.75</v>
      </c>
      <c r="L85">
        <v>3486.3040000000001</v>
      </c>
      <c r="M85">
        <v>3686.23</v>
      </c>
      <c r="N85">
        <v>3487.9189999999999</v>
      </c>
      <c r="O85">
        <v>3278.6689999999999</v>
      </c>
      <c r="P85">
        <v>3921.5839999999998</v>
      </c>
      <c r="R85" s="3">
        <f t="shared" si="6"/>
        <v>3572.1411999999996</v>
      </c>
      <c r="S85" s="3">
        <f t="shared" si="7"/>
        <v>108.56193181930763</v>
      </c>
    </row>
    <row r="86" spans="1:19" x14ac:dyDescent="0.25">
      <c r="A86">
        <v>95</v>
      </c>
      <c r="B86">
        <v>3792.03</v>
      </c>
      <c r="C86">
        <v>3355.28</v>
      </c>
      <c r="D86">
        <v>3743.6309999999999</v>
      </c>
      <c r="E86">
        <v>3593.0030000000002</v>
      </c>
      <c r="F86">
        <v>3568.029</v>
      </c>
      <c r="H86" s="2">
        <f t="shared" si="4"/>
        <v>3610.3946000000005</v>
      </c>
      <c r="I86" s="2">
        <f t="shared" si="5"/>
        <v>76.78675919883581</v>
      </c>
      <c r="K86">
        <v>95</v>
      </c>
      <c r="L86">
        <v>3636.76</v>
      </c>
      <c r="M86">
        <v>3687.5129999999999</v>
      </c>
      <c r="N86">
        <v>3599.8220000000001</v>
      </c>
      <c r="O86">
        <v>3220.0239999999999</v>
      </c>
      <c r="P86">
        <v>3879.848</v>
      </c>
      <c r="R86" s="3">
        <f t="shared" si="6"/>
        <v>3604.7934</v>
      </c>
      <c r="S86" s="3">
        <f t="shared" si="7"/>
        <v>107.6084649818963</v>
      </c>
    </row>
    <row r="87" spans="1:19" x14ac:dyDescent="0.25">
      <c r="A87">
        <v>96.25</v>
      </c>
      <c r="B87">
        <v>4086.7649999999999</v>
      </c>
      <c r="C87">
        <v>3373.2049999999999</v>
      </c>
      <c r="D87">
        <v>4041</v>
      </c>
      <c r="E87">
        <v>3804.42</v>
      </c>
      <c r="F87">
        <v>3605.6190000000001</v>
      </c>
      <c r="H87" s="2">
        <f t="shared" si="4"/>
        <v>3782.2017999999998</v>
      </c>
      <c r="I87" s="2">
        <f t="shared" si="5"/>
        <v>133.91952195158106</v>
      </c>
      <c r="K87">
        <v>96.25</v>
      </c>
      <c r="L87">
        <v>3896.9740000000002</v>
      </c>
      <c r="M87">
        <v>3751.6930000000002</v>
      </c>
      <c r="N87">
        <v>3820.029</v>
      </c>
      <c r="O87">
        <v>3238.886</v>
      </c>
      <c r="P87">
        <v>3813.0509999999999</v>
      </c>
      <c r="R87" s="3">
        <f t="shared" si="6"/>
        <v>3704.1266000000005</v>
      </c>
      <c r="S87" s="3">
        <f t="shared" si="7"/>
        <v>118.57474208810238</v>
      </c>
    </row>
    <row r="88" spans="1:19" x14ac:dyDescent="0.25">
      <c r="A88">
        <v>97.5</v>
      </c>
      <c r="B88">
        <v>4318.393</v>
      </c>
      <c r="C88">
        <v>3492.7829999999999</v>
      </c>
      <c r="D88">
        <v>4302.4430000000002</v>
      </c>
      <c r="E88">
        <v>4054.0749999999998</v>
      </c>
      <c r="F88">
        <v>3745.2460000000001</v>
      </c>
      <c r="H88" s="2">
        <f t="shared" si="4"/>
        <v>3982.5879999999997</v>
      </c>
      <c r="I88" s="2">
        <f t="shared" si="5"/>
        <v>160.68957234494093</v>
      </c>
      <c r="K88">
        <v>97.5</v>
      </c>
      <c r="L88">
        <v>4165.4549999999999</v>
      </c>
      <c r="M88">
        <v>3907.096</v>
      </c>
      <c r="N88">
        <v>4040.973</v>
      </c>
      <c r="O88">
        <v>3372.4140000000002</v>
      </c>
      <c r="P88">
        <v>3927.1260000000002</v>
      </c>
      <c r="R88" s="3">
        <f t="shared" si="6"/>
        <v>3882.6127999999999</v>
      </c>
      <c r="S88" s="3">
        <f t="shared" si="7"/>
        <v>135.63947261450107</v>
      </c>
    </row>
    <row r="89" spans="1:19" x14ac:dyDescent="0.25">
      <c r="A89">
        <v>98.75</v>
      </c>
      <c r="B89">
        <v>4443.8010000000004</v>
      </c>
      <c r="C89">
        <v>3589.038</v>
      </c>
      <c r="D89">
        <v>4437.902</v>
      </c>
      <c r="E89">
        <v>4201.96</v>
      </c>
      <c r="F89">
        <v>3886.8829999999998</v>
      </c>
      <c r="H89" s="2">
        <f t="shared" si="4"/>
        <v>4111.9168000000009</v>
      </c>
      <c r="I89" s="2">
        <f t="shared" si="5"/>
        <v>165.61456779625402</v>
      </c>
      <c r="K89">
        <v>98.75</v>
      </c>
      <c r="L89">
        <v>4326.3890000000001</v>
      </c>
      <c r="M89">
        <v>4020.9639999999999</v>
      </c>
      <c r="N89">
        <v>4197.8329999999996</v>
      </c>
      <c r="O89">
        <v>3490.7370000000001</v>
      </c>
      <c r="P89">
        <v>4061.7979999999998</v>
      </c>
      <c r="R89" s="3">
        <f t="shared" si="6"/>
        <v>4019.5441999999994</v>
      </c>
      <c r="S89" s="3">
        <f t="shared" si="7"/>
        <v>142.71739237226831</v>
      </c>
    </row>
    <row r="90" spans="1:19" x14ac:dyDescent="0.25">
      <c r="A90">
        <v>100</v>
      </c>
      <c r="B90">
        <v>4465</v>
      </c>
      <c r="C90">
        <v>3606.4259999999999</v>
      </c>
      <c r="D90">
        <v>4436.5370000000003</v>
      </c>
      <c r="E90">
        <v>4252.08</v>
      </c>
      <c r="F90">
        <v>3949.6170000000002</v>
      </c>
      <c r="H90" s="2">
        <f t="shared" si="4"/>
        <v>4141.9319999999989</v>
      </c>
      <c r="I90" s="2">
        <f t="shared" si="5"/>
        <v>162.33443193204576</v>
      </c>
      <c r="K90">
        <v>100</v>
      </c>
      <c r="L90">
        <v>4368.1729999999998</v>
      </c>
      <c r="M90">
        <v>4067.2539999999999</v>
      </c>
      <c r="N90">
        <v>4250.1559999999999</v>
      </c>
      <c r="O90">
        <v>3547.3139999999999</v>
      </c>
      <c r="P90">
        <v>4135.4539999999997</v>
      </c>
      <c r="R90" s="3">
        <f t="shared" si="6"/>
        <v>4073.6701999999996</v>
      </c>
      <c r="S90" s="3">
        <f t="shared" si="7"/>
        <v>141.20700967954812</v>
      </c>
    </row>
    <row r="91" spans="1:19" x14ac:dyDescent="0.25">
      <c r="A91">
        <v>101.25</v>
      </c>
      <c r="B91">
        <v>4350.9440000000004</v>
      </c>
      <c r="C91">
        <v>3532.7420000000002</v>
      </c>
      <c r="D91">
        <v>4295.0860000000002</v>
      </c>
      <c r="E91">
        <v>4155.8389999999999</v>
      </c>
      <c r="F91">
        <v>3873.5079999999998</v>
      </c>
      <c r="H91" s="2">
        <f t="shared" si="4"/>
        <v>4041.6237999999998</v>
      </c>
      <c r="I91" s="2">
        <f t="shared" si="5"/>
        <v>151.68895698909665</v>
      </c>
      <c r="K91">
        <v>101.25</v>
      </c>
      <c r="L91">
        <v>4279.7439999999997</v>
      </c>
      <c r="M91">
        <v>4010.71</v>
      </c>
      <c r="N91">
        <v>4167.5389999999998</v>
      </c>
      <c r="O91">
        <v>3517.0859999999998</v>
      </c>
      <c r="P91">
        <v>4098.3050000000003</v>
      </c>
      <c r="R91" s="3">
        <f t="shared" si="6"/>
        <v>4014.6767999999997</v>
      </c>
      <c r="S91" s="3">
        <f t="shared" si="7"/>
        <v>131.95330391596869</v>
      </c>
    </row>
    <row r="92" spans="1:19" x14ac:dyDescent="0.25">
      <c r="A92">
        <v>102.5</v>
      </c>
      <c r="B92">
        <v>4062.538</v>
      </c>
      <c r="C92">
        <v>3307.8530000000001</v>
      </c>
      <c r="D92">
        <v>3971.6970000000001</v>
      </c>
      <c r="E92">
        <v>3860.6790000000001</v>
      </c>
      <c r="F92">
        <v>3626.2710000000002</v>
      </c>
      <c r="H92" s="2">
        <f t="shared" si="4"/>
        <v>3765.8076000000001</v>
      </c>
      <c r="I92" s="2">
        <f t="shared" si="5"/>
        <v>135.76318283231282</v>
      </c>
      <c r="K92">
        <v>102.5</v>
      </c>
      <c r="L92">
        <v>3983.9879999999998</v>
      </c>
      <c r="M92">
        <v>3747.7559999999999</v>
      </c>
      <c r="N92">
        <v>3887.2089999999998</v>
      </c>
      <c r="O92">
        <v>3285.6149999999998</v>
      </c>
      <c r="P92">
        <v>3835.7979999999998</v>
      </c>
      <c r="R92" s="3">
        <f t="shared" si="6"/>
        <v>3748.0731999999998</v>
      </c>
      <c r="S92" s="3">
        <f t="shared" si="7"/>
        <v>121.77394869158182</v>
      </c>
    </row>
    <row r="93" spans="1:19" x14ac:dyDescent="0.25">
      <c r="A93">
        <v>103.75</v>
      </c>
      <c r="B93">
        <v>3726.0309999999999</v>
      </c>
      <c r="C93">
        <v>3015.877</v>
      </c>
      <c r="D93">
        <v>3604.5859999999998</v>
      </c>
      <c r="E93">
        <v>3515.0250000000001</v>
      </c>
      <c r="F93">
        <v>3318.8519999999999</v>
      </c>
      <c r="H93" s="2">
        <f t="shared" si="4"/>
        <v>3436.0742</v>
      </c>
      <c r="I93" s="2">
        <f t="shared" si="5"/>
        <v>124.30026799786071</v>
      </c>
      <c r="K93">
        <v>103.75</v>
      </c>
      <c r="L93">
        <v>3615.9229999999998</v>
      </c>
      <c r="M93">
        <v>3399.6750000000002</v>
      </c>
      <c r="N93">
        <v>3539.3009999999999</v>
      </c>
      <c r="O93">
        <v>2975.2959999999998</v>
      </c>
      <c r="P93">
        <v>3496.5189999999998</v>
      </c>
      <c r="R93" s="3">
        <f t="shared" si="6"/>
        <v>3405.3427999999999</v>
      </c>
      <c r="S93" s="3">
        <f t="shared" si="7"/>
        <v>113.04297713100092</v>
      </c>
    </row>
    <row r="94" spans="1:19" x14ac:dyDescent="0.25">
      <c r="A94">
        <v>105</v>
      </c>
      <c r="B94">
        <v>3501.172</v>
      </c>
      <c r="C94">
        <v>2805.3829999999998</v>
      </c>
      <c r="D94">
        <v>3354.67</v>
      </c>
      <c r="E94">
        <v>3286.009</v>
      </c>
      <c r="F94">
        <v>3073.2910000000002</v>
      </c>
      <c r="H94" s="2">
        <f t="shared" si="4"/>
        <v>3204.1050000000005</v>
      </c>
      <c r="I94" s="2">
        <f t="shared" si="5"/>
        <v>121.18548238341094</v>
      </c>
      <c r="K94">
        <v>105</v>
      </c>
      <c r="L94">
        <v>3357.741</v>
      </c>
      <c r="M94">
        <v>3163.3580000000002</v>
      </c>
      <c r="N94">
        <v>3281.4070000000002</v>
      </c>
      <c r="O94">
        <v>2772.6129999999998</v>
      </c>
      <c r="P94">
        <v>3242.4789999999998</v>
      </c>
      <c r="R94" s="3">
        <f t="shared" si="6"/>
        <v>3163.5196000000001</v>
      </c>
      <c r="S94" s="3">
        <f t="shared" si="7"/>
        <v>102.63088574673809</v>
      </c>
    </row>
    <row r="95" spans="1:19" x14ac:dyDescent="0.25">
      <c r="A95">
        <v>106.25</v>
      </c>
      <c r="B95">
        <v>3343.3240000000001</v>
      </c>
      <c r="C95">
        <v>2666.6010000000001</v>
      </c>
      <c r="D95">
        <v>3190.3939999999998</v>
      </c>
      <c r="E95">
        <v>3132.373</v>
      </c>
      <c r="F95">
        <v>2916.7260000000001</v>
      </c>
      <c r="H95" s="2">
        <f t="shared" si="4"/>
        <v>3049.8836000000001</v>
      </c>
      <c r="I95" s="2">
        <f t="shared" si="5"/>
        <v>117.74791715210928</v>
      </c>
      <c r="K95">
        <v>106.25</v>
      </c>
      <c r="L95">
        <v>3185.1030000000001</v>
      </c>
      <c r="M95">
        <v>3023.8429999999998</v>
      </c>
      <c r="N95">
        <v>3120.4940000000001</v>
      </c>
      <c r="O95">
        <v>2650.5650000000001</v>
      </c>
      <c r="P95">
        <v>3082.1550000000002</v>
      </c>
      <c r="R95" s="3">
        <f t="shared" si="6"/>
        <v>3012.4320000000002</v>
      </c>
      <c r="S95" s="3">
        <f t="shared" si="7"/>
        <v>94.189145718601779</v>
      </c>
    </row>
    <row r="96" spans="1:19" x14ac:dyDescent="0.25">
      <c r="A96">
        <v>107.5</v>
      </c>
      <c r="B96">
        <v>3241.1410000000001</v>
      </c>
      <c r="C96">
        <v>2571.5079999999998</v>
      </c>
      <c r="D96">
        <v>3081.6950000000002</v>
      </c>
      <c r="E96">
        <v>3011.18</v>
      </c>
      <c r="F96">
        <v>2808.9090000000001</v>
      </c>
      <c r="H96" s="2">
        <f t="shared" si="4"/>
        <v>2942.8865999999998</v>
      </c>
      <c r="I96" s="2">
        <f t="shared" si="5"/>
        <v>115.92228201540897</v>
      </c>
      <c r="K96">
        <v>107.5</v>
      </c>
      <c r="L96">
        <v>3055.89</v>
      </c>
      <c r="M96">
        <v>2919.3319999999999</v>
      </c>
      <c r="N96">
        <v>3008.373</v>
      </c>
      <c r="O96">
        <v>2563.549</v>
      </c>
      <c r="P96">
        <v>2969.4070000000002</v>
      </c>
      <c r="R96" s="3">
        <f t="shared" si="6"/>
        <v>2903.3101999999999</v>
      </c>
      <c r="S96" s="3">
        <f t="shared" si="7"/>
        <v>87.858393276567483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BRIGHT!OCT_RAW___\AQ01\_dark_profiles_AQ01_DARK</vt:lpstr>
      <vt:lpstr>BRIGHT!OCT_RAW___\AQ01\_light_profiles_AQ01_LIGHT_1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2020-01-17T02:49:17Z</dcterms:modified>
</cp:coreProperties>
</file>