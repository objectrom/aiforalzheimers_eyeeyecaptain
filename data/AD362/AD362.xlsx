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362\"/>
    </mc:Choice>
  </mc:AlternateContent>
  <xr:revisionPtr revIDLastSave="0" documentId="13_ncr:1_{B68F1037-C757-478B-B95E-D6C88A2C9421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11\_dark_profiles_AD11_DARK" localSheetId="0">BRIGHT!$A$2:$F$96</definedName>
    <definedName name="OCT_RAW___\AD11\_fovea_dark_profiles_AD11_DARK" localSheetId="0">BRIGHT!#REF!</definedName>
    <definedName name="OCT_RAW___\AD11\_fovea_light_profiles_AD11_LIGHT" localSheetId="0">BRIGHT!#REF!</definedName>
    <definedName name="OCT_RAW___\AD11\_light_profiles_AD11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1459B-DEA4-4534-B07C-CB2A81824C39}" name="[[[OCT RAW]]]\AD11\_dark_profiles_AD11_DARK" type="6" refreshedVersion="6" background="1" saveData="1">
    <textPr codePage="437" sourceFile="E:\[Documents]\[[[OCT RAW]]]\AD11\_dark_profiles_AD11_DARK.txt" space="1" consecutive="1">
      <textFields count="6">
        <textField/>
        <textField/>
        <textField/>
        <textField/>
        <textField/>
        <textField/>
      </textFields>
    </textPr>
  </connection>
  <connection id="2" xr16:uid="{DD82400D-19E8-4FA6-BF58-40C2221D7252}" name="[[[OCT RAW]]]\AD11\_light_profiles_AD11_LIGHT" type="6" refreshedVersion="6" background="1" saveData="1">
    <textPr codePage="437" sourceFile="E:\[Documents]\[[[OCT RAW]]]\AD11\_light_profiles_AD11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<sst xmlns="http://schemas.openxmlformats.org/spreadsheetml/2006/main" count="12" uniqueCount="8">
  <si>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</si>
  <si>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</si>
  <si>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</si>
  <si>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</si>
  <si>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</si>
  <si>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</si>
  <si>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AD362_DARK</t>
  </si>
  <si>
    <t>AD362_LIGHT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</si>
</sst>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531.14080000000001</c:v>
                </c:pt>
                <c:pt idx="1">
                  <c:v>757.46659999999997</c:v>
                </c:pt>
                <c:pt idx="2">
                  <c:v>1421.9378000000002</c:v>
                </c:pt>
                <c:pt idx="3">
                  <c:v>2079.2308000000003</c:v>
                </c:pt>
                <c:pt idx="4">
                  <c:v>2708.0147999999999</c:v>
                </c:pt>
                <c:pt idx="5">
                  <c:v>3213.4746</c:v>
                </c:pt>
                <c:pt idx="6">
                  <c:v>3486.4440000000004</c:v>
                </c:pt>
                <c:pt idx="7">
                  <c:v>3604.9114</c:v>
                </c:pt>
                <c:pt idx="8">
                  <c:v>3647.6978000000004</c:v>
                </c:pt>
                <c:pt idx="9">
                  <c:v>3588.7827999999995</c:v>
                </c:pt>
                <c:pt idx="10">
                  <c:v>3339.4459999999999</c:v>
                </c:pt>
                <c:pt idx="11">
                  <c:v>2904.3038000000001</c:v>
                </c:pt>
                <c:pt idx="12">
                  <c:v>2593.627</c:v>
                </c:pt>
                <c:pt idx="13">
                  <c:v>2451.4284000000002</c:v>
                </c:pt>
                <c:pt idx="14">
                  <c:v>2407.1228000000001</c:v>
                </c:pt>
                <c:pt idx="15">
                  <c:v>2390.5924000000005</c:v>
                </c:pt>
                <c:pt idx="16">
                  <c:v>2382.0298000000003</c:v>
                </c:pt>
                <c:pt idx="17">
                  <c:v>2382.1098000000002</c:v>
                </c:pt>
                <c:pt idx="18">
                  <c:v>2387.8634000000002</c:v>
                </c:pt>
                <c:pt idx="19">
                  <c:v>2395.4477999999999</c:v>
                </c:pt>
                <c:pt idx="20">
                  <c:v>2401.9784</c:v>
                </c:pt>
                <c:pt idx="21">
                  <c:v>2416.9121999999998</c:v>
                </c:pt>
                <c:pt idx="22">
                  <c:v>2432.3670000000002</c:v>
                </c:pt>
                <c:pt idx="23">
                  <c:v>2460.7688000000003</c:v>
                </c:pt>
                <c:pt idx="24">
                  <c:v>2477.5441999999998</c:v>
                </c:pt>
                <c:pt idx="25">
                  <c:v>2483.8578000000002</c:v>
                </c:pt>
                <c:pt idx="26">
                  <c:v>2501.5772000000002</c:v>
                </c:pt>
                <c:pt idx="27">
                  <c:v>2519.7403999999997</c:v>
                </c:pt>
                <c:pt idx="28">
                  <c:v>2528.5546000000004</c:v>
                </c:pt>
                <c:pt idx="29">
                  <c:v>2537.1922</c:v>
                </c:pt>
                <c:pt idx="30">
                  <c:v>2532.5324000000001</c:v>
                </c:pt>
                <c:pt idx="31">
                  <c:v>2475.6842000000001</c:v>
                </c:pt>
                <c:pt idx="32">
                  <c:v>2349.2222000000002</c:v>
                </c:pt>
                <c:pt idx="33">
                  <c:v>2197.3627999999999</c:v>
                </c:pt>
                <c:pt idx="34">
                  <c:v>2046.6708000000003</c:v>
                </c:pt>
                <c:pt idx="35">
                  <c:v>1946.4371999999998</c:v>
                </c:pt>
                <c:pt idx="36">
                  <c:v>1896.5459999999998</c:v>
                </c:pt>
                <c:pt idx="37">
                  <c:v>1877.9941999999999</c:v>
                </c:pt>
                <c:pt idx="38">
                  <c:v>1876.2532000000003</c:v>
                </c:pt>
                <c:pt idx="39">
                  <c:v>1899.3696</c:v>
                </c:pt>
                <c:pt idx="40">
                  <c:v>1961.6179999999999</c:v>
                </c:pt>
                <c:pt idx="41">
                  <c:v>2036.0811999999999</c:v>
                </c:pt>
                <c:pt idx="42">
                  <c:v>2110.6133999999997</c:v>
                </c:pt>
                <c:pt idx="43">
                  <c:v>2195.6055999999999</c:v>
                </c:pt>
                <c:pt idx="44">
                  <c:v>2257.6055999999999</c:v>
                </c:pt>
                <c:pt idx="45">
                  <c:v>2278.4068000000002</c:v>
                </c:pt>
                <c:pt idx="46">
                  <c:v>2275.5301999999997</c:v>
                </c:pt>
                <c:pt idx="47">
                  <c:v>2236.9965999999999</c:v>
                </c:pt>
                <c:pt idx="48">
                  <c:v>2152.6680000000001</c:v>
                </c:pt>
                <c:pt idx="49">
                  <c:v>2045.1232</c:v>
                </c:pt>
                <c:pt idx="50">
                  <c:v>1941.6659999999999</c:v>
                </c:pt>
                <c:pt idx="51">
                  <c:v>1857.3742000000002</c:v>
                </c:pt>
                <c:pt idx="52">
                  <c:v>1789.1179999999999</c:v>
                </c:pt>
                <c:pt idx="53">
                  <c:v>1738.6002000000001</c:v>
                </c:pt>
                <c:pt idx="54">
                  <c:v>1688.8514</c:v>
                </c:pt>
                <c:pt idx="55">
                  <c:v>1631.5368000000001</c:v>
                </c:pt>
                <c:pt idx="56">
                  <c:v>1577.7792000000002</c:v>
                </c:pt>
                <c:pt idx="57">
                  <c:v>1527.1741999999999</c:v>
                </c:pt>
                <c:pt idx="58">
                  <c:v>1480.8790000000001</c:v>
                </c:pt>
                <c:pt idx="59">
                  <c:v>1439.6497999999999</c:v>
                </c:pt>
                <c:pt idx="60">
                  <c:v>1412.8956000000001</c:v>
                </c:pt>
                <c:pt idx="61">
                  <c:v>1402.9605999999999</c:v>
                </c:pt>
                <c:pt idx="62">
                  <c:v>1430.69</c:v>
                </c:pt>
                <c:pt idx="63">
                  <c:v>1549.8414</c:v>
                </c:pt>
                <c:pt idx="64">
                  <c:v>1727.1635999999999</c:v>
                </c:pt>
                <c:pt idx="65">
                  <c:v>1798.3853999999999</c:v>
                </c:pt>
                <c:pt idx="66">
                  <c:v>1754.7572</c:v>
                </c:pt>
                <c:pt idx="67">
                  <c:v>1674.9839999999999</c:v>
                </c:pt>
                <c:pt idx="68">
                  <c:v>1769.0603999999998</c:v>
                </c:pt>
                <c:pt idx="69">
                  <c:v>2360.5659999999998</c:v>
                </c:pt>
                <c:pt idx="70">
                  <c:v>3282.5023999999999</c:v>
                </c:pt>
                <c:pt idx="71">
                  <c:v>4032.6386000000007</c:v>
                </c:pt>
                <c:pt idx="72">
                  <c:v>4209.1758</c:v>
                </c:pt>
                <c:pt idx="73">
                  <c:v>3750.5403999999994</c:v>
                </c:pt>
                <c:pt idx="74">
                  <c:v>3080.8786</c:v>
                </c:pt>
                <c:pt idx="75">
                  <c:v>2817.5423999999998</c:v>
                </c:pt>
                <c:pt idx="76">
                  <c:v>3129.8721999999998</c:v>
                </c:pt>
                <c:pt idx="77">
                  <c:v>3516.6961999999999</c:v>
                </c:pt>
                <c:pt idx="78">
                  <c:v>3705.5637999999999</c:v>
                </c:pt>
                <c:pt idx="79">
                  <c:v>3717.7156000000004</c:v>
                </c:pt>
                <c:pt idx="80">
                  <c:v>3759.3108000000002</c:v>
                </c:pt>
                <c:pt idx="81">
                  <c:v>4001.9097999999999</c:v>
                </c:pt>
                <c:pt idx="82">
                  <c:v>4302.9026000000003</c:v>
                </c:pt>
                <c:pt idx="83">
                  <c:v>4387.3065999999999</c:v>
                </c:pt>
                <c:pt idx="84">
                  <c:v>4218.9655999999995</c:v>
                </c:pt>
                <c:pt idx="85">
                  <c:v>3908.3760000000002</c:v>
                </c:pt>
                <c:pt idx="86">
                  <c:v>3522.0284000000001</c:v>
                </c:pt>
                <c:pt idx="87">
                  <c:v>3173.2470000000003</c:v>
                </c:pt>
                <c:pt idx="88">
                  <c:v>2926.1012000000001</c:v>
                </c:pt>
                <c:pt idx="89">
                  <c:v>2714.2950000000005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579.67359999999996</c:v>
                </c:pt>
                <c:pt idx="1">
                  <c:v>843.81700000000001</c:v>
                </c:pt>
                <c:pt idx="2">
                  <c:v>1504.7850000000001</c:v>
                </c:pt>
                <c:pt idx="3">
                  <c:v>2196.7616000000003</c:v>
                </c:pt>
                <c:pt idx="4">
                  <c:v>2903.6289999999999</c:v>
                </c:pt>
                <c:pt idx="5">
                  <c:v>3447.953</c:v>
                </c:pt>
                <c:pt idx="6">
                  <c:v>3694.2672000000007</c:v>
                </c:pt>
                <c:pt idx="7">
                  <c:v>3776.8371999999995</c:v>
                </c:pt>
                <c:pt idx="8">
                  <c:v>3822.5829999999996</c:v>
                </c:pt>
                <c:pt idx="9">
                  <c:v>3763.6330000000003</c:v>
                </c:pt>
                <c:pt idx="10">
                  <c:v>3492.5841999999998</c:v>
                </c:pt>
                <c:pt idx="11">
                  <c:v>3017.5192000000002</c:v>
                </c:pt>
                <c:pt idx="12">
                  <c:v>2681.1782000000003</c:v>
                </c:pt>
                <c:pt idx="13">
                  <c:v>2535.6876000000002</c:v>
                </c:pt>
                <c:pt idx="14">
                  <c:v>2492.8129999999996</c:v>
                </c:pt>
                <c:pt idx="15">
                  <c:v>2484.2976000000003</c:v>
                </c:pt>
                <c:pt idx="16">
                  <c:v>2480.1763999999998</c:v>
                </c:pt>
                <c:pt idx="17">
                  <c:v>2481.6476000000002</c:v>
                </c:pt>
                <c:pt idx="18">
                  <c:v>2480.6948000000002</c:v>
                </c:pt>
                <c:pt idx="19">
                  <c:v>2482.2986000000001</c:v>
                </c:pt>
                <c:pt idx="20">
                  <c:v>2487.2092000000002</c:v>
                </c:pt>
                <c:pt idx="21">
                  <c:v>2495.9490000000001</c:v>
                </c:pt>
                <c:pt idx="22">
                  <c:v>2515.2655999999997</c:v>
                </c:pt>
                <c:pt idx="23">
                  <c:v>2549.5551999999998</c:v>
                </c:pt>
                <c:pt idx="24">
                  <c:v>2577.7271999999998</c:v>
                </c:pt>
                <c:pt idx="25">
                  <c:v>2592.3119999999999</c:v>
                </c:pt>
                <c:pt idx="26">
                  <c:v>2613.7511999999997</c:v>
                </c:pt>
                <c:pt idx="27">
                  <c:v>2640.9404000000004</c:v>
                </c:pt>
                <c:pt idx="28">
                  <c:v>2655.2408</c:v>
                </c:pt>
                <c:pt idx="29">
                  <c:v>2662.4605999999999</c:v>
                </c:pt>
                <c:pt idx="30">
                  <c:v>2652.0115999999998</c:v>
                </c:pt>
                <c:pt idx="31">
                  <c:v>2589.694</c:v>
                </c:pt>
                <c:pt idx="32">
                  <c:v>2459.1444000000001</c:v>
                </c:pt>
                <c:pt idx="33">
                  <c:v>2300.8696000000004</c:v>
                </c:pt>
                <c:pt idx="34">
                  <c:v>2142.9169999999999</c:v>
                </c:pt>
                <c:pt idx="35">
                  <c:v>2031.4946</c:v>
                </c:pt>
                <c:pt idx="36">
                  <c:v>1979.7236</c:v>
                </c:pt>
                <c:pt idx="37">
                  <c:v>1964.2627999999997</c:v>
                </c:pt>
                <c:pt idx="38">
                  <c:v>1961.5436000000002</c:v>
                </c:pt>
                <c:pt idx="39">
                  <c:v>1981.7</c:v>
                </c:pt>
                <c:pt idx="40">
                  <c:v>2050.203</c:v>
                </c:pt>
                <c:pt idx="41">
                  <c:v>2138.3655999999996</c:v>
                </c:pt>
                <c:pt idx="42">
                  <c:v>2216.8825999999999</c:v>
                </c:pt>
                <c:pt idx="43">
                  <c:v>2297.8604</c:v>
                </c:pt>
                <c:pt idx="44">
                  <c:v>2354.3834000000002</c:v>
                </c:pt>
                <c:pt idx="45">
                  <c:v>2366.1142</c:v>
                </c:pt>
                <c:pt idx="46">
                  <c:v>2355.3408000000004</c:v>
                </c:pt>
                <c:pt idx="47">
                  <c:v>2312.1253999999999</c:v>
                </c:pt>
                <c:pt idx="48">
                  <c:v>2210.8897999999999</c:v>
                </c:pt>
                <c:pt idx="49">
                  <c:v>2086.6514000000002</c:v>
                </c:pt>
                <c:pt idx="50">
                  <c:v>1980.8022000000001</c:v>
                </c:pt>
                <c:pt idx="51">
                  <c:v>1890.4953999999998</c:v>
                </c:pt>
                <c:pt idx="52">
                  <c:v>1820.1532</c:v>
                </c:pt>
                <c:pt idx="53">
                  <c:v>1763.0842</c:v>
                </c:pt>
                <c:pt idx="54">
                  <c:v>1707.7494000000002</c:v>
                </c:pt>
                <c:pt idx="55">
                  <c:v>1659.0079999999998</c:v>
                </c:pt>
                <c:pt idx="56">
                  <c:v>1616.0849999999998</c:v>
                </c:pt>
                <c:pt idx="57">
                  <c:v>1577.914</c:v>
                </c:pt>
                <c:pt idx="58">
                  <c:v>1537.7929999999999</c:v>
                </c:pt>
                <c:pt idx="59">
                  <c:v>1506.7562000000003</c:v>
                </c:pt>
                <c:pt idx="60">
                  <c:v>1485.5041999999999</c:v>
                </c:pt>
                <c:pt idx="61">
                  <c:v>1476.575</c:v>
                </c:pt>
                <c:pt idx="62">
                  <c:v>1502.2521999999997</c:v>
                </c:pt>
                <c:pt idx="63">
                  <c:v>1646.5441999999998</c:v>
                </c:pt>
                <c:pt idx="64">
                  <c:v>1840.6356000000001</c:v>
                </c:pt>
                <c:pt idx="65">
                  <c:v>1925.0367999999999</c:v>
                </c:pt>
                <c:pt idx="66">
                  <c:v>1870.6032</c:v>
                </c:pt>
                <c:pt idx="67">
                  <c:v>1779.0168000000001</c:v>
                </c:pt>
                <c:pt idx="68">
                  <c:v>1902.8882000000001</c:v>
                </c:pt>
                <c:pt idx="69">
                  <c:v>2592.7570000000001</c:v>
                </c:pt>
                <c:pt idx="70">
                  <c:v>3634.6550000000002</c:v>
                </c:pt>
                <c:pt idx="71">
                  <c:v>4515.9918000000007</c:v>
                </c:pt>
                <c:pt idx="72">
                  <c:v>4746.2884000000004</c:v>
                </c:pt>
                <c:pt idx="73">
                  <c:v>4262.7143999999989</c:v>
                </c:pt>
                <c:pt idx="74">
                  <c:v>3445.9366</c:v>
                </c:pt>
                <c:pt idx="75">
                  <c:v>3093.1079999999997</c:v>
                </c:pt>
                <c:pt idx="76">
                  <c:v>3457.5664000000006</c:v>
                </c:pt>
                <c:pt idx="77">
                  <c:v>3943.5094000000004</c:v>
                </c:pt>
                <c:pt idx="78">
                  <c:v>4167.9050000000007</c:v>
                </c:pt>
                <c:pt idx="79">
                  <c:v>4082.3719999999994</c:v>
                </c:pt>
                <c:pt idx="80">
                  <c:v>4007.5307999999995</c:v>
                </c:pt>
                <c:pt idx="81">
                  <c:v>4206.8063999999995</c:v>
                </c:pt>
                <c:pt idx="82">
                  <c:v>4541.9663999999993</c:v>
                </c:pt>
                <c:pt idx="83">
                  <c:v>4664.2938000000004</c:v>
                </c:pt>
                <c:pt idx="84">
                  <c:v>4496.0235999999995</c:v>
                </c:pt>
                <c:pt idx="85">
                  <c:v>4156.6305999999995</c:v>
                </c:pt>
                <c:pt idx="86">
                  <c:v>3725.8620000000001</c:v>
                </c:pt>
                <c:pt idx="87">
                  <c:v>3330.7732000000005</c:v>
                </c:pt>
                <c:pt idx="88">
                  <c:v>3048.5021999999999</c:v>
                </c:pt>
                <c:pt idx="89">
                  <c:v>2804.7195999999994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1\_dark_profiles_AD11_DARK" connectionId="1" xr16:uid="{651B79B5-B165-4EAD-9481-EFCF990B61C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1\_light_profiles_AD11_LIGHT" connectionId="2" xr16:uid="{0186C207-D029-4E2B-A4F9-8B90AF5F604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5" sqref="D5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0.29399999999999998</v>
      </c>
      <c r="C3">
        <v>-4.0389999999999997</v>
      </c>
      <c r="D3">
        <v>-5.601</v>
      </c>
      <c r="E3">
        <v>-0.56299999999999994</v>
      </c>
      <c r="F3">
        <v>-4.734</v>
      </c>
      <c r="K3" t="s">
        <v>0</v>
      </c>
      <c r="L3">
        <v>-1.516</v>
      </c>
      <c r="M3">
        <v>-1.615</v>
      </c>
      <c r="N3">
        <v>-2.0259999999999998</v>
      </c>
      <c r="O3">
        <v>-0.97399999999999998</v>
      </c>
      <c r="P3">
        <v>-1.1759999999999999</v>
      </c>
    </row>
    <row r="4" spans="1:19" x14ac:dyDescent="0.25">
      <c r="A4" t="s">
        <v>1</v>
      </c>
      <c r="B4">
        <v>322.40100000000001</v>
      </c>
      <c r="C4">
        <v>321.63200000000001</v>
      </c>
      <c r="D4">
        <v>322.15800000000002</v>
      </c>
      <c r="E4">
        <v>321.12700000000001</v>
      </c>
      <c r="F4">
        <v>321.815</v>
      </c>
      <c r="H4" s="2">
        <f>AVERAGE(B4:F4)</f>
        <v>321.82659999999998</v>
      </c>
      <c r="I4" s="2">
        <f>STDEV(B4:F4)/SQRT(COUNT(B4:F4))</f>
        <v>0.21990966327108125</v>
      </c>
      <c r="K4" t="s">
        <v>1</v>
      </c>
      <c r="L4">
        <v>321.19799999999998</v>
      </c>
      <c r="M4">
        <v>322.10199999999998</v>
      </c>
      <c r="N4">
        <v>322.613</v>
      </c>
      <c r="O4">
        <v>321.44099999999997</v>
      </c>
      <c r="P4">
        <v>322.36900000000003</v>
      </c>
      <c r="R4" s="3">
        <f>AVERAGE(L4:P4)</f>
        <v>321.94459999999998</v>
      </c>
      <c r="S4" s="3">
        <f>STDEV(L4:P4)/SQRT(COUNT(L4:P4))</f>
        <v>0.27043235753142342</v>
      </c>
    </row>
    <row r="5" spans="1:19" x14ac:dyDescent="0.25">
      <c r="A5" t="s">
        <v>2</v>
      </c>
      <c r="B5">
        <v>70.054000000000002</v>
      </c>
      <c r="C5">
        <v>69.399000000000001</v>
      </c>
      <c r="D5">
        <v>69.16</v>
      </c>
      <c r="E5">
        <v>68.84</v>
      </c>
      <c r="F5">
        <v>69.120999999999995</v>
      </c>
      <c r="H5" s="2">
        <f t="shared" ref="H5:H68" si="0">AVERAGE(B5:F5)</f>
        <v>69.314799999999991</v>
      </c>
      <c r="I5" s="2">
        <f t="shared" ref="I5:I68" si="1">STDEV(B5:F5)/SQRT(COUNT(B5:F5))</f>
        <v>0.20499546336443678</v>
      </c>
      <c r="K5" t="s">
        <v>2</v>
      </c>
      <c r="L5">
        <v>69.896000000000001</v>
      </c>
      <c r="M5">
        <v>69.402000000000001</v>
      </c>
      <c r="N5">
        <v>69.77</v>
      </c>
      <c r="O5">
        <v>69.152000000000001</v>
      </c>
      <c r="P5">
        <v>69.465999999999994</v>
      </c>
      <c r="R5" s="3">
        <f t="shared" ref="R5:R68" si="2">AVERAGE(L5:P5)</f>
        <v>69.537199999999999</v>
      </c>
      <c r="S5" s="3">
        <f t="shared" ref="S5:S68" si="3">STDEV(L5:P5)/SQRT(COUNT(L5:P5))</f>
        <v>0.13316546098744944</v>
      </c>
    </row>
    <row r="6" spans="1:19" x14ac:dyDescent="0.25">
      <c r="A6" t="s">
        <v>3</v>
      </c>
      <c r="B6">
        <v>34.584000000000003</v>
      </c>
      <c r="C6">
        <v>35.445</v>
      </c>
      <c r="D6">
        <v>34.293999999999997</v>
      </c>
      <c r="E6">
        <v>34.874000000000002</v>
      </c>
      <c r="F6">
        <v>34.418999999999997</v>
      </c>
      <c r="H6" s="2">
        <f t="shared" si="0"/>
        <v>34.723199999999999</v>
      </c>
      <c r="I6" s="2">
        <f t="shared" si="1"/>
        <v>0.20492227794947096</v>
      </c>
      <c r="K6" t="s">
        <v>3</v>
      </c>
      <c r="L6">
        <v>34.064999999999998</v>
      </c>
      <c r="M6">
        <v>35.189</v>
      </c>
      <c r="N6">
        <v>34.597000000000001</v>
      </c>
      <c r="O6">
        <v>35.087000000000003</v>
      </c>
      <c r="P6">
        <v>34.356000000000002</v>
      </c>
      <c r="R6" s="3">
        <f t="shared" si="2"/>
        <v>34.658799999999999</v>
      </c>
      <c r="S6" s="3">
        <f t="shared" si="3"/>
        <v>0.21360861405851642</v>
      </c>
    </row>
    <row r="7" spans="1:19" x14ac:dyDescent="0.25">
      <c r="A7">
        <v>-3.75</v>
      </c>
      <c r="B7">
        <v>581.09500000000003</v>
      </c>
      <c r="C7">
        <v>540.16200000000003</v>
      </c>
      <c r="D7">
        <v>477.32600000000002</v>
      </c>
      <c r="E7">
        <v>629.39599999999996</v>
      </c>
      <c r="F7">
        <v>427.72500000000002</v>
      </c>
      <c r="H7" s="2">
        <f t="shared" si="0"/>
        <v>531.14080000000001</v>
      </c>
      <c r="I7" s="2">
        <f t="shared" si="1"/>
        <v>35.931705263457751</v>
      </c>
      <c r="K7">
        <v>-3.75</v>
      </c>
      <c r="L7">
        <v>604.10699999999997</v>
      </c>
      <c r="M7">
        <v>584.31899999999996</v>
      </c>
      <c r="N7">
        <v>573.77499999999998</v>
      </c>
      <c r="O7">
        <v>572.35500000000002</v>
      </c>
      <c r="P7">
        <v>563.81200000000001</v>
      </c>
      <c r="R7" s="3">
        <f t="shared" si="2"/>
        <v>579.67359999999996</v>
      </c>
      <c r="S7" s="3">
        <f t="shared" si="3"/>
        <v>6.9228481104239092</v>
      </c>
    </row>
    <row r="8" spans="1:19" x14ac:dyDescent="0.25">
      <c r="A8">
        <v>-2.5</v>
      </c>
      <c r="B8">
        <v>776.06</v>
      </c>
      <c r="C8">
        <v>835.62900000000002</v>
      </c>
      <c r="D8">
        <v>633.577</v>
      </c>
      <c r="E8">
        <v>907.49900000000002</v>
      </c>
      <c r="F8">
        <v>634.56799999999998</v>
      </c>
      <c r="H8" s="2">
        <f t="shared" si="0"/>
        <v>757.46659999999997</v>
      </c>
      <c r="I8" s="2">
        <f t="shared" si="1"/>
        <v>54.505731449637857</v>
      </c>
      <c r="K8">
        <v>-2.5</v>
      </c>
      <c r="L8">
        <v>803.63</v>
      </c>
      <c r="M8">
        <v>955.58399999999995</v>
      </c>
      <c r="N8">
        <v>873.3</v>
      </c>
      <c r="O8">
        <v>720.25400000000002</v>
      </c>
      <c r="P8">
        <v>866.31700000000001</v>
      </c>
      <c r="R8" s="3">
        <f t="shared" si="2"/>
        <v>843.81700000000001</v>
      </c>
      <c r="S8" s="3">
        <f t="shared" si="3"/>
        <v>39.211075932700432</v>
      </c>
    </row>
    <row r="9" spans="1:19" x14ac:dyDescent="0.25">
      <c r="A9">
        <v>-1.25</v>
      </c>
      <c r="B9">
        <v>1425.454</v>
      </c>
      <c r="C9">
        <v>1531.1590000000001</v>
      </c>
      <c r="D9">
        <v>1289.7860000000001</v>
      </c>
      <c r="E9">
        <v>1638.76</v>
      </c>
      <c r="F9">
        <v>1224.53</v>
      </c>
      <c r="H9" s="2">
        <f t="shared" si="0"/>
        <v>1421.9378000000002</v>
      </c>
      <c r="I9" s="2">
        <f t="shared" si="1"/>
        <v>75.95638167685388</v>
      </c>
      <c r="K9">
        <v>-1.25</v>
      </c>
      <c r="L9">
        <v>1403.4280000000001</v>
      </c>
      <c r="M9">
        <v>1627.6780000000001</v>
      </c>
      <c r="N9">
        <v>1503.3520000000001</v>
      </c>
      <c r="O9">
        <v>1476.1279999999999</v>
      </c>
      <c r="P9">
        <v>1513.3389999999999</v>
      </c>
      <c r="R9" s="3">
        <f t="shared" si="2"/>
        <v>1504.7850000000001</v>
      </c>
      <c r="S9" s="3">
        <f t="shared" si="3"/>
        <v>36.243881519506168</v>
      </c>
    </row>
    <row r="10" spans="1:19" x14ac:dyDescent="0.25">
      <c r="A10">
        <v>0</v>
      </c>
      <c r="B10">
        <v>2090.1280000000002</v>
      </c>
      <c r="C10">
        <v>2174.2469999999998</v>
      </c>
      <c r="D10">
        <v>1939.39</v>
      </c>
      <c r="E10">
        <v>2335.6529999999998</v>
      </c>
      <c r="F10">
        <v>1856.7360000000001</v>
      </c>
      <c r="H10" s="2">
        <f t="shared" si="0"/>
        <v>2079.2308000000003</v>
      </c>
      <c r="I10" s="2">
        <f t="shared" si="1"/>
        <v>84.840602677845169</v>
      </c>
      <c r="K10">
        <v>0</v>
      </c>
      <c r="L10">
        <v>2073.7269999999999</v>
      </c>
      <c r="M10">
        <v>2339.5219999999999</v>
      </c>
      <c r="N10">
        <v>2178.8649999999998</v>
      </c>
      <c r="O10">
        <v>2190.8850000000002</v>
      </c>
      <c r="P10">
        <v>2200.8090000000002</v>
      </c>
      <c r="R10" s="3">
        <f t="shared" si="2"/>
        <v>2196.7616000000003</v>
      </c>
      <c r="S10" s="3">
        <f t="shared" si="3"/>
        <v>42.361095813965925</v>
      </c>
    </row>
    <row r="11" spans="1:19" x14ac:dyDescent="0.25">
      <c r="A11">
        <v>1.25</v>
      </c>
      <c r="B11">
        <v>2667.72</v>
      </c>
      <c r="C11">
        <v>2817.0279999999998</v>
      </c>
      <c r="D11">
        <v>2583.9169999999999</v>
      </c>
      <c r="E11">
        <v>3016.1729999999998</v>
      </c>
      <c r="F11">
        <v>2455.2359999999999</v>
      </c>
      <c r="H11" s="2">
        <f t="shared" si="0"/>
        <v>2708.0147999999999</v>
      </c>
      <c r="I11" s="2">
        <f t="shared" si="1"/>
        <v>96.893346160301391</v>
      </c>
      <c r="K11">
        <v>1.25</v>
      </c>
      <c r="L11">
        <v>2765.4920000000002</v>
      </c>
      <c r="M11">
        <v>3084.8319999999999</v>
      </c>
      <c r="N11">
        <v>2894.0210000000002</v>
      </c>
      <c r="O11">
        <v>2868.8919999999998</v>
      </c>
      <c r="P11">
        <v>2904.9079999999999</v>
      </c>
      <c r="R11" s="3">
        <f t="shared" si="2"/>
        <v>2903.6289999999999</v>
      </c>
      <c r="S11" s="3">
        <f t="shared" si="3"/>
        <v>51.583411409095419</v>
      </c>
    </row>
    <row r="12" spans="1:19" x14ac:dyDescent="0.25">
      <c r="A12">
        <v>2.5</v>
      </c>
      <c r="B12">
        <v>3162.6109999999999</v>
      </c>
      <c r="C12">
        <v>3310.5430000000001</v>
      </c>
      <c r="D12">
        <v>3086.3020000000001</v>
      </c>
      <c r="E12">
        <v>3550.5169999999998</v>
      </c>
      <c r="F12">
        <v>2957.4</v>
      </c>
      <c r="H12" s="2">
        <f t="shared" si="0"/>
        <v>3213.4746</v>
      </c>
      <c r="I12" s="2">
        <f t="shared" si="1"/>
        <v>101.82191081422502</v>
      </c>
      <c r="K12">
        <v>2.5</v>
      </c>
      <c r="L12">
        <v>3289.8339999999998</v>
      </c>
      <c r="M12">
        <v>3671.62</v>
      </c>
      <c r="N12">
        <v>3452.9879999999998</v>
      </c>
      <c r="O12">
        <v>3407.5059999999999</v>
      </c>
      <c r="P12">
        <v>3417.817</v>
      </c>
      <c r="R12" s="3">
        <f t="shared" si="2"/>
        <v>3447.953</v>
      </c>
      <c r="S12" s="3">
        <f t="shared" si="3"/>
        <v>62.288857181682189</v>
      </c>
    </row>
    <row r="13" spans="1:19" x14ac:dyDescent="0.25">
      <c r="A13">
        <v>3.75</v>
      </c>
      <c r="B13">
        <v>3467.4659999999999</v>
      </c>
      <c r="C13">
        <v>3588.8890000000001</v>
      </c>
      <c r="D13">
        <v>3341.5619999999999</v>
      </c>
      <c r="E13">
        <v>3818.502</v>
      </c>
      <c r="F13">
        <v>3215.8009999999999</v>
      </c>
      <c r="H13" s="2">
        <f t="shared" si="0"/>
        <v>3486.4440000000004</v>
      </c>
      <c r="I13" s="2">
        <f t="shared" si="1"/>
        <v>103.76803102256494</v>
      </c>
      <c r="K13">
        <v>3.75</v>
      </c>
      <c r="L13">
        <v>3525</v>
      </c>
      <c r="M13">
        <v>3902.1709999999998</v>
      </c>
      <c r="N13">
        <v>3667.4760000000001</v>
      </c>
      <c r="O13">
        <v>3696.6289999999999</v>
      </c>
      <c r="P13">
        <v>3680.06</v>
      </c>
      <c r="R13" s="3">
        <f t="shared" si="2"/>
        <v>3694.2672000000007</v>
      </c>
      <c r="S13" s="3">
        <f t="shared" si="3"/>
        <v>60.332647082156072</v>
      </c>
    </row>
    <row r="14" spans="1:19" x14ac:dyDescent="0.25">
      <c r="A14">
        <v>5</v>
      </c>
      <c r="B14">
        <v>3603.8560000000002</v>
      </c>
      <c r="C14">
        <v>3708.9349999999999</v>
      </c>
      <c r="D14">
        <v>3433.4349999999999</v>
      </c>
      <c r="E14">
        <v>3940.6579999999999</v>
      </c>
      <c r="F14">
        <v>3337.6729999999998</v>
      </c>
      <c r="H14" s="2">
        <f t="shared" si="0"/>
        <v>3604.9114</v>
      </c>
      <c r="I14" s="2">
        <f t="shared" si="1"/>
        <v>105.91702432309927</v>
      </c>
      <c r="K14">
        <v>5</v>
      </c>
      <c r="L14">
        <v>3635.0819999999999</v>
      </c>
      <c r="M14">
        <v>3955.9920000000002</v>
      </c>
      <c r="N14">
        <v>3715.712</v>
      </c>
      <c r="O14">
        <v>3811.6379999999999</v>
      </c>
      <c r="P14">
        <v>3765.7620000000002</v>
      </c>
      <c r="R14" s="3">
        <f t="shared" si="2"/>
        <v>3776.8371999999995</v>
      </c>
      <c r="S14" s="3">
        <f t="shared" si="3"/>
        <v>53.507487747417223</v>
      </c>
    </row>
    <row r="15" spans="1:19" x14ac:dyDescent="0.25">
      <c r="A15">
        <v>6.25</v>
      </c>
      <c r="B15">
        <v>3669.4059999999999</v>
      </c>
      <c r="C15">
        <v>3741.3539999999998</v>
      </c>
      <c r="D15">
        <v>3495.42</v>
      </c>
      <c r="E15">
        <v>4000.703</v>
      </c>
      <c r="F15">
        <v>3331.6060000000002</v>
      </c>
      <c r="H15" s="2">
        <f t="shared" si="0"/>
        <v>3647.6978000000004</v>
      </c>
      <c r="I15" s="2">
        <f t="shared" si="1"/>
        <v>113.34856756324707</v>
      </c>
      <c r="K15">
        <v>6.25</v>
      </c>
      <c r="L15">
        <v>3694.924</v>
      </c>
      <c r="M15">
        <v>4008.6849999999999</v>
      </c>
      <c r="N15">
        <v>3763.8339999999998</v>
      </c>
      <c r="O15">
        <v>3849.0680000000002</v>
      </c>
      <c r="P15">
        <v>3796.404</v>
      </c>
      <c r="R15" s="3">
        <f t="shared" si="2"/>
        <v>3822.5829999999996</v>
      </c>
      <c r="S15" s="3">
        <f t="shared" si="3"/>
        <v>52.805783277970619</v>
      </c>
    </row>
    <row r="16" spans="1:19" x14ac:dyDescent="0.25">
      <c r="A16">
        <v>7.5</v>
      </c>
      <c r="B16">
        <v>3620.5050000000001</v>
      </c>
      <c r="C16">
        <v>3684.636</v>
      </c>
      <c r="D16">
        <v>3444.346</v>
      </c>
      <c r="E16">
        <v>3922.63</v>
      </c>
      <c r="F16">
        <v>3271.797</v>
      </c>
      <c r="H16" s="2">
        <f t="shared" si="0"/>
        <v>3588.7827999999995</v>
      </c>
      <c r="I16" s="2">
        <f t="shared" si="1"/>
        <v>110.22478701880081</v>
      </c>
      <c r="K16">
        <v>7.5</v>
      </c>
      <c r="L16">
        <v>3654.9650000000001</v>
      </c>
      <c r="M16">
        <v>3935.2190000000001</v>
      </c>
      <c r="N16">
        <v>3690.66</v>
      </c>
      <c r="O16">
        <v>3789.2719999999999</v>
      </c>
      <c r="P16">
        <v>3748.049</v>
      </c>
      <c r="R16" s="3">
        <f t="shared" si="2"/>
        <v>3763.6330000000003</v>
      </c>
      <c r="S16" s="3">
        <f t="shared" si="3"/>
        <v>48.721539243952463</v>
      </c>
    </row>
    <row r="17" spans="1:19" x14ac:dyDescent="0.25">
      <c r="A17">
        <v>8.75</v>
      </c>
      <c r="B17">
        <v>3337.4259999999999</v>
      </c>
      <c r="C17">
        <v>3423.4189999999999</v>
      </c>
      <c r="D17">
        <v>3213.212</v>
      </c>
      <c r="E17">
        <v>3629.0430000000001</v>
      </c>
      <c r="F17">
        <v>3094.13</v>
      </c>
      <c r="H17" s="2">
        <f t="shared" si="0"/>
        <v>3339.4459999999999</v>
      </c>
      <c r="I17" s="2">
        <f t="shared" si="1"/>
        <v>91.388437493481632</v>
      </c>
      <c r="K17">
        <v>8.75</v>
      </c>
      <c r="L17">
        <v>3389.2730000000001</v>
      </c>
      <c r="M17">
        <v>3627.1370000000002</v>
      </c>
      <c r="N17">
        <v>3445.5239999999999</v>
      </c>
      <c r="O17">
        <v>3517.337</v>
      </c>
      <c r="P17">
        <v>3483.65</v>
      </c>
      <c r="R17" s="3">
        <f t="shared" si="2"/>
        <v>3492.5841999999998</v>
      </c>
      <c r="S17" s="3">
        <f t="shared" si="3"/>
        <v>39.802539802630697</v>
      </c>
    </row>
    <row r="18" spans="1:19" x14ac:dyDescent="0.25">
      <c r="A18">
        <v>10</v>
      </c>
      <c r="B18">
        <v>2851.9029999999998</v>
      </c>
      <c r="C18">
        <v>2942.2</v>
      </c>
      <c r="D18">
        <v>2837.701</v>
      </c>
      <c r="E18">
        <v>3145.8820000000001</v>
      </c>
      <c r="F18">
        <v>2743.8330000000001</v>
      </c>
      <c r="H18" s="2">
        <f t="shared" si="0"/>
        <v>2904.3038000000001</v>
      </c>
      <c r="I18" s="2">
        <f t="shared" si="1"/>
        <v>68.091410306587122</v>
      </c>
      <c r="K18">
        <v>10</v>
      </c>
      <c r="L18">
        <v>2912.8380000000002</v>
      </c>
      <c r="M18">
        <v>3145.029</v>
      </c>
      <c r="N18">
        <v>2971.5259999999998</v>
      </c>
      <c r="O18">
        <v>3051.0549999999998</v>
      </c>
      <c r="P18">
        <v>3007.1480000000001</v>
      </c>
      <c r="R18" s="3">
        <f t="shared" si="2"/>
        <v>3017.5192000000002</v>
      </c>
      <c r="S18" s="3">
        <f t="shared" si="3"/>
        <v>39.092511333246392</v>
      </c>
    </row>
    <row r="19" spans="1:19" x14ac:dyDescent="0.25">
      <c r="A19">
        <v>11.25</v>
      </c>
      <c r="B19">
        <v>2513.5700000000002</v>
      </c>
      <c r="C19">
        <v>2620.1889999999999</v>
      </c>
      <c r="D19">
        <v>2563.4490000000001</v>
      </c>
      <c r="E19">
        <v>2801.3449999999998</v>
      </c>
      <c r="F19">
        <v>2469.5819999999999</v>
      </c>
      <c r="H19" s="2">
        <f t="shared" si="0"/>
        <v>2593.627</v>
      </c>
      <c r="I19" s="2">
        <f t="shared" si="1"/>
        <v>57.688518929679546</v>
      </c>
      <c r="K19">
        <v>11.25</v>
      </c>
      <c r="L19">
        <v>2566.8670000000002</v>
      </c>
      <c r="M19">
        <v>2805.7020000000002</v>
      </c>
      <c r="N19">
        <v>2636.259</v>
      </c>
      <c r="O19">
        <v>2707.498</v>
      </c>
      <c r="P19">
        <v>2689.5650000000001</v>
      </c>
      <c r="R19" s="3">
        <f t="shared" si="2"/>
        <v>2681.1782000000003</v>
      </c>
      <c r="S19" s="3">
        <f t="shared" si="3"/>
        <v>39.594211715097963</v>
      </c>
    </row>
    <row r="20" spans="1:19" x14ac:dyDescent="0.25">
      <c r="A20">
        <v>12.5</v>
      </c>
      <c r="B20">
        <v>2367.9470000000001</v>
      </c>
      <c r="C20">
        <v>2473.9850000000001</v>
      </c>
      <c r="D20">
        <v>2432.9969999999998</v>
      </c>
      <c r="E20">
        <v>2637.058</v>
      </c>
      <c r="F20">
        <v>2345.1550000000002</v>
      </c>
      <c r="H20" s="2">
        <f t="shared" si="0"/>
        <v>2451.4284000000002</v>
      </c>
      <c r="I20" s="2">
        <f t="shared" si="1"/>
        <v>51.75424852087022</v>
      </c>
      <c r="K20">
        <v>12.5</v>
      </c>
      <c r="L20">
        <v>2420.6109999999999</v>
      </c>
      <c r="M20">
        <v>2655.99</v>
      </c>
      <c r="N20">
        <v>2492.7710000000002</v>
      </c>
      <c r="O20">
        <v>2557.627</v>
      </c>
      <c r="P20">
        <v>2551.4389999999999</v>
      </c>
      <c r="R20" s="3">
        <f t="shared" si="2"/>
        <v>2535.6876000000002</v>
      </c>
      <c r="S20" s="3">
        <f t="shared" si="3"/>
        <v>38.914373786044635</v>
      </c>
    </row>
    <row r="21" spans="1:19" x14ac:dyDescent="0.25">
      <c r="A21">
        <v>13.75</v>
      </c>
      <c r="B21">
        <v>2316.3220000000001</v>
      </c>
      <c r="C21">
        <v>2428.4879999999998</v>
      </c>
      <c r="D21">
        <v>2388.0030000000002</v>
      </c>
      <c r="E21">
        <v>2588.7930000000001</v>
      </c>
      <c r="F21">
        <v>2314.0079999999998</v>
      </c>
      <c r="H21" s="2">
        <f t="shared" si="0"/>
        <v>2407.1228000000001</v>
      </c>
      <c r="I21" s="2">
        <f t="shared" si="1"/>
        <v>50.369262130192077</v>
      </c>
      <c r="K21">
        <v>13.75</v>
      </c>
      <c r="L21">
        <v>2372.0909999999999</v>
      </c>
      <c r="M21">
        <v>2608.69</v>
      </c>
      <c r="N21">
        <v>2449.3330000000001</v>
      </c>
      <c r="O21">
        <v>2527.2860000000001</v>
      </c>
      <c r="P21">
        <v>2506.665</v>
      </c>
      <c r="R21" s="3">
        <f t="shared" si="2"/>
        <v>2492.8129999999996</v>
      </c>
      <c r="S21" s="3">
        <f t="shared" si="3"/>
        <v>39.54241801281254</v>
      </c>
    </row>
    <row r="22" spans="1:19" x14ac:dyDescent="0.25">
      <c r="A22">
        <v>15</v>
      </c>
      <c r="B22">
        <v>2311.5949999999998</v>
      </c>
      <c r="C22">
        <v>2405.5230000000001</v>
      </c>
      <c r="D22">
        <v>2375.1390000000001</v>
      </c>
      <c r="E22">
        <v>2561.3919999999998</v>
      </c>
      <c r="F22">
        <v>2299.3130000000001</v>
      </c>
      <c r="H22" s="2">
        <f t="shared" si="0"/>
        <v>2390.5924000000005</v>
      </c>
      <c r="I22" s="2">
        <f t="shared" si="1"/>
        <v>47.014227537629473</v>
      </c>
      <c r="K22">
        <v>15</v>
      </c>
      <c r="L22">
        <v>2362.71</v>
      </c>
      <c r="M22">
        <v>2595.3490000000002</v>
      </c>
      <c r="N22">
        <v>2432.8130000000001</v>
      </c>
      <c r="O22">
        <v>2527.5259999999998</v>
      </c>
      <c r="P22">
        <v>2503.09</v>
      </c>
      <c r="R22" s="3">
        <f t="shared" si="2"/>
        <v>2484.2976000000003</v>
      </c>
      <c r="S22" s="3">
        <f t="shared" si="3"/>
        <v>39.992793611599581</v>
      </c>
    </row>
    <row r="23" spans="1:19" x14ac:dyDescent="0.25">
      <c r="A23">
        <v>16.25</v>
      </c>
      <c r="B23">
        <v>2310.799</v>
      </c>
      <c r="C23">
        <v>2405.6060000000002</v>
      </c>
      <c r="D23">
        <v>2363.6089999999999</v>
      </c>
      <c r="E23">
        <v>2541.5010000000002</v>
      </c>
      <c r="F23">
        <v>2288.634</v>
      </c>
      <c r="H23" s="2">
        <f t="shared" si="0"/>
        <v>2382.0298000000003</v>
      </c>
      <c r="I23" s="2">
        <f t="shared" si="1"/>
        <v>44.789970436918168</v>
      </c>
      <c r="K23">
        <v>16.25</v>
      </c>
      <c r="L23">
        <v>2361.6120000000001</v>
      </c>
      <c r="M23">
        <v>2590.3009999999999</v>
      </c>
      <c r="N23">
        <v>2423.364</v>
      </c>
      <c r="O23">
        <v>2526.9270000000001</v>
      </c>
      <c r="P23">
        <v>2498.6779999999999</v>
      </c>
      <c r="R23" s="3">
        <f t="shared" si="2"/>
        <v>2480.1763999999998</v>
      </c>
      <c r="S23" s="3">
        <f t="shared" si="3"/>
        <v>39.962808378040684</v>
      </c>
    </row>
    <row r="24" spans="1:19" x14ac:dyDescent="0.25">
      <c r="A24">
        <v>17.5</v>
      </c>
      <c r="B24">
        <v>2308.4430000000002</v>
      </c>
      <c r="C24">
        <v>2414.924</v>
      </c>
      <c r="D24">
        <v>2357.5079999999998</v>
      </c>
      <c r="E24">
        <v>2538.3270000000002</v>
      </c>
      <c r="F24">
        <v>2291.3470000000002</v>
      </c>
      <c r="H24" s="2">
        <f t="shared" si="0"/>
        <v>2382.1098000000002</v>
      </c>
      <c r="I24" s="2">
        <f t="shared" si="1"/>
        <v>44.581676250899321</v>
      </c>
      <c r="K24">
        <v>17.5</v>
      </c>
      <c r="L24">
        <v>2361.817</v>
      </c>
      <c r="M24">
        <v>2589.9960000000001</v>
      </c>
      <c r="N24">
        <v>2432.5819999999999</v>
      </c>
      <c r="O24">
        <v>2526.9029999999998</v>
      </c>
      <c r="P24">
        <v>2496.94</v>
      </c>
      <c r="R24" s="3">
        <f t="shared" si="2"/>
        <v>2481.6476000000002</v>
      </c>
      <c r="S24" s="3">
        <f t="shared" si="3"/>
        <v>39.235245831522462</v>
      </c>
    </row>
    <row r="25" spans="1:19" x14ac:dyDescent="0.25">
      <c r="A25">
        <v>18.75</v>
      </c>
      <c r="B25">
        <v>2307.7370000000001</v>
      </c>
      <c r="C25">
        <v>2436.6260000000002</v>
      </c>
      <c r="D25">
        <v>2353.2750000000001</v>
      </c>
      <c r="E25">
        <v>2543.9180000000001</v>
      </c>
      <c r="F25">
        <v>2297.761</v>
      </c>
      <c r="H25" s="2">
        <f t="shared" si="0"/>
        <v>2387.8634000000002</v>
      </c>
      <c r="I25" s="2">
        <f t="shared" si="1"/>
        <v>46.079208552882093</v>
      </c>
      <c r="K25">
        <v>18.75</v>
      </c>
      <c r="L25">
        <v>2352.8180000000002</v>
      </c>
      <c r="M25">
        <v>2594.0309999999999</v>
      </c>
      <c r="N25">
        <v>2443.799</v>
      </c>
      <c r="O25">
        <v>2518.9789999999998</v>
      </c>
      <c r="P25">
        <v>2493.8470000000002</v>
      </c>
      <c r="R25" s="3">
        <f t="shared" si="2"/>
        <v>2480.6948000000002</v>
      </c>
      <c r="S25" s="3">
        <f t="shared" si="3"/>
        <v>40.1232666920329</v>
      </c>
    </row>
    <row r="26" spans="1:19" x14ac:dyDescent="0.25">
      <c r="A26">
        <v>20</v>
      </c>
      <c r="B26">
        <v>2314.4830000000002</v>
      </c>
      <c r="C26">
        <v>2447.652</v>
      </c>
      <c r="D26">
        <v>2361.9279999999999</v>
      </c>
      <c r="E26">
        <v>2549.8029999999999</v>
      </c>
      <c r="F26">
        <v>2303.373</v>
      </c>
      <c r="H26" s="2">
        <f t="shared" si="0"/>
        <v>2395.4477999999999</v>
      </c>
      <c r="I26" s="2">
        <f t="shared" si="1"/>
        <v>46.210091371257825</v>
      </c>
      <c r="K26">
        <v>20</v>
      </c>
      <c r="L26">
        <v>2355.748</v>
      </c>
      <c r="M26">
        <v>2596.672</v>
      </c>
      <c r="N26">
        <v>2450.6660000000002</v>
      </c>
      <c r="O26">
        <v>2511.6320000000001</v>
      </c>
      <c r="P26">
        <v>2496.7750000000001</v>
      </c>
      <c r="R26" s="3">
        <f t="shared" si="2"/>
        <v>2482.2986000000001</v>
      </c>
      <c r="S26" s="3">
        <f t="shared" si="3"/>
        <v>39.475919801316849</v>
      </c>
    </row>
    <row r="27" spans="1:19" x14ac:dyDescent="0.25">
      <c r="A27">
        <v>21.25</v>
      </c>
      <c r="B27">
        <v>2327.723</v>
      </c>
      <c r="C27">
        <v>2453.9490000000001</v>
      </c>
      <c r="D27">
        <v>2366.9859999999999</v>
      </c>
      <c r="E27">
        <v>2552.2979999999998</v>
      </c>
      <c r="F27">
        <v>2308.9360000000001</v>
      </c>
      <c r="H27" s="2">
        <f t="shared" si="0"/>
        <v>2401.9784</v>
      </c>
      <c r="I27" s="2">
        <f t="shared" si="1"/>
        <v>45.106621516801681</v>
      </c>
      <c r="K27">
        <v>21.25</v>
      </c>
      <c r="L27">
        <v>2359.4839999999999</v>
      </c>
      <c r="M27">
        <v>2601.2199999999998</v>
      </c>
      <c r="N27">
        <v>2458.1950000000002</v>
      </c>
      <c r="O27">
        <v>2508.5210000000002</v>
      </c>
      <c r="P27">
        <v>2508.6260000000002</v>
      </c>
      <c r="R27" s="3">
        <f t="shared" si="2"/>
        <v>2487.2092000000002</v>
      </c>
      <c r="S27" s="3">
        <f t="shared" si="3"/>
        <v>39.41248861388987</v>
      </c>
    </row>
    <row r="28" spans="1:19" x14ac:dyDescent="0.25">
      <c r="A28">
        <v>22.5</v>
      </c>
      <c r="B28">
        <v>2359.6669999999999</v>
      </c>
      <c r="C28">
        <v>2456.5549999999998</v>
      </c>
      <c r="D28">
        <v>2374.4070000000002</v>
      </c>
      <c r="E28">
        <v>2565.761</v>
      </c>
      <c r="F28">
        <v>2328.1709999999998</v>
      </c>
      <c r="H28" s="2">
        <f t="shared" si="0"/>
        <v>2416.9121999999998</v>
      </c>
      <c r="I28" s="2">
        <f t="shared" si="1"/>
        <v>42.828858483970834</v>
      </c>
      <c r="K28">
        <v>22.5</v>
      </c>
      <c r="L28">
        <v>2364.741</v>
      </c>
      <c r="M28">
        <v>2606.8240000000001</v>
      </c>
      <c r="N28">
        <v>2460.6320000000001</v>
      </c>
      <c r="O28">
        <v>2521.0819999999999</v>
      </c>
      <c r="P28">
        <v>2526.4659999999999</v>
      </c>
      <c r="R28" s="3">
        <f t="shared" si="2"/>
        <v>2495.9490000000001</v>
      </c>
      <c r="S28" s="3">
        <f t="shared" si="3"/>
        <v>40.198911898209381</v>
      </c>
    </row>
    <row r="29" spans="1:19" x14ac:dyDescent="0.25">
      <c r="A29">
        <v>23.75</v>
      </c>
      <c r="B29">
        <v>2374.0010000000002</v>
      </c>
      <c r="C29">
        <v>2463.6390000000001</v>
      </c>
      <c r="D29">
        <v>2403.346</v>
      </c>
      <c r="E29">
        <v>2581.6689999999999</v>
      </c>
      <c r="F29">
        <v>2339.1799999999998</v>
      </c>
      <c r="H29" s="2">
        <f t="shared" si="0"/>
        <v>2432.3670000000002</v>
      </c>
      <c r="I29" s="2">
        <f t="shared" si="1"/>
        <v>42.545064669124656</v>
      </c>
      <c r="K29">
        <v>23.75</v>
      </c>
      <c r="L29">
        <v>2390.98</v>
      </c>
      <c r="M29">
        <v>2621.768</v>
      </c>
      <c r="N29">
        <v>2470.125</v>
      </c>
      <c r="O29">
        <v>2548.2469999999998</v>
      </c>
      <c r="P29">
        <v>2545.2080000000001</v>
      </c>
      <c r="R29" s="3">
        <f t="shared" si="2"/>
        <v>2515.2655999999997</v>
      </c>
      <c r="S29" s="3">
        <f t="shared" si="3"/>
        <v>39.250264588407546</v>
      </c>
    </row>
    <row r="30" spans="1:19" x14ac:dyDescent="0.25">
      <c r="A30">
        <v>25</v>
      </c>
      <c r="B30">
        <v>2399.7199999999998</v>
      </c>
      <c r="C30">
        <v>2488.9490000000001</v>
      </c>
      <c r="D30">
        <v>2443.6320000000001</v>
      </c>
      <c r="E30">
        <v>2599.056</v>
      </c>
      <c r="F30">
        <v>2372.4870000000001</v>
      </c>
      <c r="H30" s="2">
        <f t="shared" si="0"/>
        <v>2460.7688000000003</v>
      </c>
      <c r="I30" s="2">
        <f t="shared" si="1"/>
        <v>39.832006893200862</v>
      </c>
      <c r="K30">
        <v>25</v>
      </c>
      <c r="L30">
        <v>2436.3850000000002</v>
      </c>
      <c r="M30">
        <v>2644.6619999999998</v>
      </c>
      <c r="N30">
        <v>2511.0300000000002</v>
      </c>
      <c r="O30">
        <v>2585.0479999999998</v>
      </c>
      <c r="P30">
        <v>2570.6509999999998</v>
      </c>
      <c r="R30" s="3">
        <f t="shared" si="2"/>
        <v>2549.5551999999998</v>
      </c>
      <c r="S30" s="3">
        <f t="shared" si="3"/>
        <v>35.384855686295985</v>
      </c>
    </row>
    <row r="31" spans="1:19" x14ac:dyDescent="0.25">
      <c r="A31">
        <v>26.25</v>
      </c>
      <c r="B31">
        <v>2420.0410000000002</v>
      </c>
      <c r="C31">
        <v>2509.0360000000001</v>
      </c>
      <c r="D31">
        <v>2439.6509999999998</v>
      </c>
      <c r="E31">
        <v>2624.2280000000001</v>
      </c>
      <c r="F31">
        <v>2394.7649999999999</v>
      </c>
      <c r="H31" s="2">
        <f t="shared" si="0"/>
        <v>2477.5441999999998</v>
      </c>
      <c r="I31" s="2">
        <f t="shared" si="1"/>
        <v>41.293328286056116</v>
      </c>
      <c r="K31">
        <v>26.25</v>
      </c>
      <c r="L31">
        <v>2472.886</v>
      </c>
      <c r="M31">
        <v>2661.77</v>
      </c>
      <c r="N31">
        <v>2541.3420000000001</v>
      </c>
      <c r="O31">
        <v>2614.549</v>
      </c>
      <c r="P31">
        <v>2598.0889999999999</v>
      </c>
      <c r="R31" s="3">
        <f t="shared" si="2"/>
        <v>2577.7271999999998</v>
      </c>
      <c r="S31" s="3">
        <f t="shared" si="3"/>
        <v>32.518610120052784</v>
      </c>
    </row>
    <row r="32" spans="1:19" x14ac:dyDescent="0.25">
      <c r="A32">
        <v>27.5</v>
      </c>
      <c r="B32">
        <v>2426.873</v>
      </c>
      <c r="C32">
        <v>2518.576</v>
      </c>
      <c r="D32">
        <v>2430.36</v>
      </c>
      <c r="E32">
        <v>2647.4409999999998</v>
      </c>
      <c r="F32">
        <v>2396.0390000000002</v>
      </c>
      <c r="H32" s="2">
        <f t="shared" si="0"/>
        <v>2483.8578000000002</v>
      </c>
      <c r="I32" s="2">
        <f t="shared" si="1"/>
        <v>45.70899277100726</v>
      </c>
      <c r="K32">
        <v>27.5</v>
      </c>
      <c r="L32">
        <v>2489.328</v>
      </c>
      <c r="M32">
        <v>2680.5129999999999</v>
      </c>
      <c r="N32">
        <v>2548.056</v>
      </c>
      <c r="O32">
        <v>2626.8339999999998</v>
      </c>
      <c r="P32">
        <v>2616.8290000000002</v>
      </c>
      <c r="R32" s="3">
        <f t="shared" si="2"/>
        <v>2592.3119999999999</v>
      </c>
      <c r="S32" s="3">
        <f t="shared" si="3"/>
        <v>33.269029115680532</v>
      </c>
    </row>
    <row r="33" spans="1:19" x14ac:dyDescent="0.25">
      <c r="A33">
        <v>28.75</v>
      </c>
      <c r="B33">
        <v>2442.6970000000001</v>
      </c>
      <c r="C33">
        <v>2542.4380000000001</v>
      </c>
      <c r="D33">
        <v>2455.605</v>
      </c>
      <c r="E33">
        <v>2668.5920000000001</v>
      </c>
      <c r="F33">
        <v>2398.5540000000001</v>
      </c>
      <c r="H33" s="2">
        <f t="shared" si="0"/>
        <v>2501.5772000000002</v>
      </c>
      <c r="I33" s="2">
        <f t="shared" si="1"/>
        <v>47.831814338785023</v>
      </c>
      <c r="K33">
        <v>28.75</v>
      </c>
      <c r="L33">
        <v>2510.2950000000001</v>
      </c>
      <c r="M33">
        <v>2709.82</v>
      </c>
      <c r="N33">
        <v>2562.9119999999998</v>
      </c>
      <c r="O33">
        <v>2640.5250000000001</v>
      </c>
      <c r="P33">
        <v>2645.2040000000002</v>
      </c>
      <c r="R33" s="3">
        <f t="shared" si="2"/>
        <v>2613.7511999999997</v>
      </c>
      <c r="S33" s="3">
        <f t="shared" si="3"/>
        <v>34.801680205702745</v>
      </c>
    </row>
    <row r="34" spans="1:19" x14ac:dyDescent="0.25">
      <c r="A34">
        <v>30</v>
      </c>
      <c r="B34">
        <v>2463.5740000000001</v>
      </c>
      <c r="C34">
        <v>2565.0430000000001</v>
      </c>
      <c r="D34">
        <v>2476.7829999999999</v>
      </c>
      <c r="E34">
        <v>2678.6320000000001</v>
      </c>
      <c r="F34">
        <v>2414.67</v>
      </c>
      <c r="H34" s="2">
        <f t="shared" si="0"/>
        <v>2519.7403999999997</v>
      </c>
      <c r="I34" s="2">
        <f t="shared" si="1"/>
        <v>46.550326409811575</v>
      </c>
      <c r="K34">
        <v>30</v>
      </c>
      <c r="L34">
        <v>2535.5590000000002</v>
      </c>
      <c r="M34">
        <v>2730.9079999999999</v>
      </c>
      <c r="N34">
        <v>2601.1239999999998</v>
      </c>
      <c r="O34">
        <v>2676.2930000000001</v>
      </c>
      <c r="P34">
        <v>2660.8180000000002</v>
      </c>
      <c r="R34" s="3">
        <f t="shared" si="2"/>
        <v>2640.9404000000004</v>
      </c>
      <c r="S34" s="3">
        <f t="shared" si="3"/>
        <v>33.48856486414428</v>
      </c>
    </row>
    <row r="35" spans="1:19" x14ac:dyDescent="0.25">
      <c r="A35">
        <v>31.25</v>
      </c>
      <c r="B35">
        <v>2483.2429999999999</v>
      </c>
      <c r="C35">
        <v>2575.64</v>
      </c>
      <c r="D35">
        <v>2482.134</v>
      </c>
      <c r="E35">
        <v>2680.2339999999999</v>
      </c>
      <c r="F35">
        <v>2421.5219999999999</v>
      </c>
      <c r="H35" s="2">
        <f t="shared" si="0"/>
        <v>2528.5546000000004</v>
      </c>
      <c r="I35" s="2">
        <f t="shared" si="1"/>
        <v>45.214857037925036</v>
      </c>
      <c r="K35">
        <v>31.25</v>
      </c>
      <c r="L35">
        <v>2548.973</v>
      </c>
      <c r="M35">
        <v>2738.3150000000001</v>
      </c>
      <c r="N35">
        <v>2623.13</v>
      </c>
      <c r="O35">
        <v>2698.2170000000001</v>
      </c>
      <c r="P35">
        <v>2667.569</v>
      </c>
      <c r="R35" s="3">
        <f t="shared" si="2"/>
        <v>2655.2408</v>
      </c>
      <c r="S35" s="3">
        <f t="shared" si="3"/>
        <v>32.576225825592516</v>
      </c>
    </row>
    <row r="36" spans="1:19" x14ac:dyDescent="0.25">
      <c r="A36">
        <v>32.5</v>
      </c>
      <c r="B36">
        <v>2494.4389999999999</v>
      </c>
      <c r="C36">
        <v>2580.4090000000001</v>
      </c>
      <c r="D36">
        <v>2492.6909999999998</v>
      </c>
      <c r="E36">
        <v>2691.7620000000002</v>
      </c>
      <c r="F36">
        <v>2426.66</v>
      </c>
      <c r="H36" s="2">
        <f t="shared" si="0"/>
        <v>2537.1922</v>
      </c>
      <c r="I36" s="2">
        <f t="shared" si="1"/>
        <v>45.708355375576645</v>
      </c>
      <c r="K36">
        <v>32.5</v>
      </c>
      <c r="L36">
        <v>2554.8130000000001</v>
      </c>
      <c r="M36">
        <v>2754.1729999999998</v>
      </c>
      <c r="N36">
        <v>2625.2440000000001</v>
      </c>
      <c r="O36">
        <v>2700.9630000000002</v>
      </c>
      <c r="P36">
        <v>2677.11</v>
      </c>
      <c r="R36" s="3">
        <f t="shared" si="2"/>
        <v>2662.4605999999999</v>
      </c>
      <c r="S36" s="3">
        <f t="shared" si="3"/>
        <v>33.971521265024286</v>
      </c>
    </row>
    <row r="37" spans="1:19" x14ac:dyDescent="0.25">
      <c r="A37">
        <v>33.75</v>
      </c>
      <c r="B37">
        <v>2492.9839999999999</v>
      </c>
      <c r="C37">
        <v>2576.011</v>
      </c>
      <c r="D37">
        <v>2484.3069999999998</v>
      </c>
      <c r="E37">
        <v>2688.0909999999999</v>
      </c>
      <c r="F37">
        <v>2421.2689999999998</v>
      </c>
      <c r="H37" s="2">
        <f t="shared" si="0"/>
        <v>2532.5324000000001</v>
      </c>
      <c r="I37" s="2">
        <f t="shared" si="1"/>
        <v>46.020743159579702</v>
      </c>
      <c r="K37">
        <v>33.75</v>
      </c>
      <c r="L37">
        <v>2545.7539999999999</v>
      </c>
      <c r="M37">
        <v>2741.0590000000002</v>
      </c>
      <c r="N37">
        <v>2617.7739999999999</v>
      </c>
      <c r="O37">
        <v>2686.2820000000002</v>
      </c>
      <c r="P37">
        <v>2669.1889999999999</v>
      </c>
      <c r="R37" s="3">
        <f t="shared" si="2"/>
        <v>2652.0115999999998</v>
      </c>
      <c r="S37" s="3">
        <f t="shared" si="3"/>
        <v>33.061952184648796</v>
      </c>
    </row>
    <row r="38" spans="1:19" x14ac:dyDescent="0.25">
      <c r="A38">
        <v>35</v>
      </c>
      <c r="B38">
        <v>2435.252</v>
      </c>
      <c r="C38">
        <v>2527.136</v>
      </c>
      <c r="D38">
        <v>2424.8629999999998</v>
      </c>
      <c r="E38">
        <v>2627.6979999999999</v>
      </c>
      <c r="F38">
        <v>2363.4720000000002</v>
      </c>
      <c r="H38" s="2">
        <f t="shared" si="0"/>
        <v>2475.6842000000001</v>
      </c>
      <c r="I38" s="2">
        <f t="shared" si="1"/>
        <v>46.132753065907487</v>
      </c>
      <c r="K38">
        <v>35</v>
      </c>
      <c r="L38">
        <v>2471.3240000000001</v>
      </c>
      <c r="M38">
        <v>2676.5</v>
      </c>
      <c r="N38">
        <v>2564.0219999999999</v>
      </c>
      <c r="O38">
        <v>2629.1439999999998</v>
      </c>
      <c r="P38">
        <v>2607.48</v>
      </c>
      <c r="R38" s="3">
        <f t="shared" si="2"/>
        <v>2589.694</v>
      </c>
      <c r="S38" s="3">
        <f t="shared" si="3"/>
        <v>34.697575142940444</v>
      </c>
    </row>
    <row r="39" spans="1:19" x14ac:dyDescent="0.25">
      <c r="A39">
        <v>36.25</v>
      </c>
      <c r="B39">
        <v>2304.252</v>
      </c>
      <c r="C39">
        <v>2404.6509999999998</v>
      </c>
      <c r="D39">
        <v>2297.7800000000002</v>
      </c>
      <c r="E39">
        <v>2489.567</v>
      </c>
      <c r="F39">
        <v>2249.8609999999999</v>
      </c>
      <c r="H39" s="2">
        <f t="shared" si="0"/>
        <v>2349.2222000000002</v>
      </c>
      <c r="I39" s="2">
        <f t="shared" si="1"/>
        <v>43.191597360366281</v>
      </c>
      <c r="K39">
        <v>36.25</v>
      </c>
      <c r="L39">
        <v>2344.1480000000001</v>
      </c>
      <c r="M39">
        <v>2535.8440000000001</v>
      </c>
      <c r="N39">
        <v>2432.6860000000001</v>
      </c>
      <c r="O39">
        <v>2500.19</v>
      </c>
      <c r="P39">
        <v>2482.8539999999998</v>
      </c>
      <c r="R39" s="3">
        <f t="shared" si="2"/>
        <v>2459.1444000000001</v>
      </c>
      <c r="S39" s="3">
        <f t="shared" si="3"/>
        <v>33.206877296126443</v>
      </c>
    </row>
    <row r="40" spans="1:19" x14ac:dyDescent="0.25">
      <c r="A40">
        <v>37.5</v>
      </c>
      <c r="B40">
        <v>2163.1909999999998</v>
      </c>
      <c r="C40">
        <v>2238.3739999999998</v>
      </c>
      <c r="D40">
        <v>2145.471</v>
      </c>
      <c r="E40">
        <v>2328.4209999999998</v>
      </c>
      <c r="F40">
        <v>2111.357</v>
      </c>
      <c r="H40" s="2">
        <f t="shared" si="0"/>
        <v>2197.3627999999999</v>
      </c>
      <c r="I40" s="2">
        <f t="shared" si="1"/>
        <v>38.804406173010783</v>
      </c>
      <c r="K40">
        <v>37.5</v>
      </c>
      <c r="L40">
        <v>2206.3040000000001</v>
      </c>
      <c r="M40">
        <v>2366.69</v>
      </c>
      <c r="N40">
        <v>2269.1410000000001</v>
      </c>
      <c r="O40">
        <v>2334.404</v>
      </c>
      <c r="P40">
        <v>2327.8090000000002</v>
      </c>
      <c r="R40" s="3">
        <f t="shared" si="2"/>
        <v>2300.8696000000004</v>
      </c>
      <c r="S40" s="3">
        <f t="shared" si="3"/>
        <v>28.400676992987329</v>
      </c>
    </row>
    <row r="41" spans="1:19" x14ac:dyDescent="0.25">
      <c r="A41">
        <v>38.75</v>
      </c>
      <c r="B41">
        <v>2022.0830000000001</v>
      </c>
      <c r="C41">
        <v>2077.6190000000001</v>
      </c>
      <c r="D41">
        <v>1995.9570000000001</v>
      </c>
      <c r="E41">
        <v>2174.5630000000001</v>
      </c>
      <c r="F41">
        <v>1963.1320000000001</v>
      </c>
      <c r="H41" s="2">
        <f t="shared" si="0"/>
        <v>2046.6708000000003</v>
      </c>
      <c r="I41" s="2">
        <f t="shared" si="1"/>
        <v>37.060347022660224</v>
      </c>
      <c r="K41">
        <v>38.75</v>
      </c>
      <c r="L41">
        <v>2049.3359999999998</v>
      </c>
      <c r="M41">
        <v>2202.078</v>
      </c>
      <c r="N41">
        <v>2116.8090000000002</v>
      </c>
      <c r="O41">
        <v>2185.9879999999998</v>
      </c>
      <c r="P41">
        <v>2160.3739999999998</v>
      </c>
      <c r="R41" s="3">
        <f t="shared" si="2"/>
        <v>2142.9169999999999</v>
      </c>
      <c r="S41" s="3">
        <f t="shared" si="3"/>
        <v>27.476274343513172</v>
      </c>
    </row>
    <row r="42" spans="1:19" x14ac:dyDescent="0.25">
      <c r="A42">
        <v>40</v>
      </c>
      <c r="B42">
        <v>1927.739</v>
      </c>
      <c r="C42">
        <v>1973.4390000000001</v>
      </c>
      <c r="D42">
        <v>1899.5709999999999</v>
      </c>
      <c r="E42">
        <v>2066.7840000000001</v>
      </c>
      <c r="F42">
        <v>1864.653</v>
      </c>
      <c r="H42" s="2">
        <f t="shared" si="0"/>
        <v>1946.4371999999998</v>
      </c>
      <c r="I42" s="2">
        <f t="shared" si="1"/>
        <v>34.962242654612446</v>
      </c>
      <c r="K42">
        <v>40</v>
      </c>
      <c r="L42">
        <v>1945.1990000000001</v>
      </c>
      <c r="M42">
        <v>2080.8000000000002</v>
      </c>
      <c r="N42">
        <v>2013.19</v>
      </c>
      <c r="O42">
        <v>2066.1930000000002</v>
      </c>
      <c r="P42">
        <v>2052.0909999999999</v>
      </c>
      <c r="R42" s="3">
        <f t="shared" si="2"/>
        <v>2031.4946</v>
      </c>
      <c r="S42" s="3">
        <f t="shared" si="3"/>
        <v>24.332285224779046</v>
      </c>
    </row>
    <row r="43" spans="1:19" x14ac:dyDescent="0.25">
      <c r="A43">
        <v>41.25</v>
      </c>
      <c r="B43">
        <v>1884.076</v>
      </c>
      <c r="C43">
        <v>1928.4870000000001</v>
      </c>
      <c r="D43">
        <v>1846.8879999999999</v>
      </c>
      <c r="E43">
        <v>2003.511</v>
      </c>
      <c r="F43">
        <v>1819.768</v>
      </c>
      <c r="H43" s="2">
        <f t="shared" si="0"/>
        <v>1896.5459999999998</v>
      </c>
      <c r="I43" s="2">
        <f t="shared" si="1"/>
        <v>32.386739457685451</v>
      </c>
      <c r="K43">
        <v>41.25</v>
      </c>
      <c r="L43">
        <v>1892.223</v>
      </c>
      <c r="M43">
        <v>2031.825</v>
      </c>
      <c r="N43">
        <v>1963.4290000000001</v>
      </c>
      <c r="O43">
        <v>2004.3710000000001</v>
      </c>
      <c r="P43">
        <v>2006.77</v>
      </c>
      <c r="R43" s="3">
        <f t="shared" si="2"/>
        <v>1979.7236</v>
      </c>
      <c r="S43" s="3">
        <f t="shared" si="3"/>
        <v>24.469804812462247</v>
      </c>
    </row>
    <row r="44" spans="1:19" x14ac:dyDescent="0.25">
      <c r="A44">
        <v>42.5</v>
      </c>
      <c r="B44">
        <v>1861.8219999999999</v>
      </c>
      <c r="C44">
        <v>1911.73</v>
      </c>
      <c r="D44">
        <v>1830.3520000000001</v>
      </c>
      <c r="E44">
        <v>1987.7270000000001</v>
      </c>
      <c r="F44">
        <v>1798.34</v>
      </c>
      <c r="H44" s="2">
        <f t="shared" si="0"/>
        <v>1877.9941999999999</v>
      </c>
      <c r="I44" s="2">
        <f t="shared" si="1"/>
        <v>33.208058094986541</v>
      </c>
      <c r="K44">
        <v>42.5</v>
      </c>
      <c r="L44">
        <v>1868.85</v>
      </c>
      <c r="M44">
        <v>2015.854</v>
      </c>
      <c r="N44">
        <v>1946.7670000000001</v>
      </c>
      <c r="O44">
        <v>1993.5239999999999</v>
      </c>
      <c r="P44">
        <v>1996.319</v>
      </c>
      <c r="R44" s="3">
        <f t="shared" si="2"/>
        <v>1964.2627999999997</v>
      </c>
      <c r="S44" s="3">
        <f t="shared" si="3"/>
        <v>26.415123625302236</v>
      </c>
    </row>
    <row r="45" spans="1:19" x14ac:dyDescent="0.25">
      <c r="A45">
        <v>43.75</v>
      </c>
      <c r="B45">
        <v>1849.481</v>
      </c>
      <c r="C45">
        <v>1919.954</v>
      </c>
      <c r="D45">
        <v>1836.04</v>
      </c>
      <c r="E45">
        <v>1987.3050000000001</v>
      </c>
      <c r="F45">
        <v>1788.4860000000001</v>
      </c>
      <c r="H45" s="2">
        <f t="shared" si="0"/>
        <v>1876.2532000000003</v>
      </c>
      <c r="I45" s="2">
        <f t="shared" si="1"/>
        <v>34.841925712279448</v>
      </c>
      <c r="K45">
        <v>43.75</v>
      </c>
      <c r="L45">
        <v>1862.194</v>
      </c>
      <c r="M45">
        <v>2016.0440000000001</v>
      </c>
      <c r="N45">
        <v>1940.4459999999999</v>
      </c>
      <c r="O45">
        <v>1995.327</v>
      </c>
      <c r="P45">
        <v>1993.7070000000001</v>
      </c>
      <c r="R45" s="3">
        <f t="shared" si="2"/>
        <v>1961.5436000000002</v>
      </c>
      <c r="S45" s="3">
        <f t="shared" si="3"/>
        <v>27.804269241611106</v>
      </c>
    </row>
    <row r="46" spans="1:19" x14ac:dyDescent="0.25">
      <c r="A46">
        <v>45</v>
      </c>
      <c r="B46">
        <v>1866.3140000000001</v>
      </c>
      <c r="C46">
        <v>1944.7349999999999</v>
      </c>
      <c r="D46">
        <v>1867.415</v>
      </c>
      <c r="E46">
        <v>1995.432</v>
      </c>
      <c r="F46">
        <v>1822.952</v>
      </c>
      <c r="H46" s="2">
        <f t="shared" si="0"/>
        <v>1899.3696</v>
      </c>
      <c r="I46" s="2">
        <f t="shared" si="1"/>
        <v>31.015659716665699</v>
      </c>
      <c r="K46">
        <v>45</v>
      </c>
      <c r="L46">
        <v>1881.61</v>
      </c>
      <c r="M46">
        <v>2035.886</v>
      </c>
      <c r="N46">
        <v>1949.7850000000001</v>
      </c>
      <c r="O46">
        <v>2026.0640000000001</v>
      </c>
      <c r="P46">
        <v>2015.155</v>
      </c>
      <c r="R46" s="3">
        <f t="shared" si="2"/>
        <v>1981.7</v>
      </c>
      <c r="S46" s="3">
        <f t="shared" si="3"/>
        <v>29.206248853627212</v>
      </c>
    </row>
    <row r="47" spans="1:19" x14ac:dyDescent="0.25">
      <c r="A47">
        <v>46.25</v>
      </c>
      <c r="B47">
        <v>1920.1220000000001</v>
      </c>
      <c r="C47">
        <v>2004.499</v>
      </c>
      <c r="D47">
        <v>1941.952</v>
      </c>
      <c r="E47">
        <v>2051.585</v>
      </c>
      <c r="F47">
        <v>1889.932</v>
      </c>
      <c r="H47" s="2">
        <f t="shared" si="0"/>
        <v>1961.6179999999999</v>
      </c>
      <c r="I47" s="2">
        <f t="shared" si="1"/>
        <v>29.309037358807945</v>
      </c>
      <c r="K47">
        <v>46.25</v>
      </c>
      <c r="L47">
        <v>1954.567</v>
      </c>
      <c r="M47">
        <v>2104.2440000000001</v>
      </c>
      <c r="N47">
        <v>2005.5450000000001</v>
      </c>
      <c r="O47">
        <v>2104.0540000000001</v>
      </c>
      <c r="P47">
        <v>2082.605</v>
      </c>
      <c r="R47" s="3">
        <f t="shared" si="2"/>
        <v>2050.203</v>
      </c>
      <c r="S47" s="3">
        <f t="shared" si="3"/>
        <v>30.009024430994103</v>
      </c>
    </row>
    <row r="48" spans="1:19" x14ac:dyDescent="0.25">
      <c r="A48">
        <v>47.5</v>
      </c>
      <c r="B48">
        <v>1994.4739999999999</v>
      </c>
      <c r="C48">
        <v>2081.4969999999998</v>
      </c>
      <c r="D48">
        <v>2026.251</v>
      </c>
      <c r="E48">
        <v>2123.1469999999999</v>
      </c>
      <c r="F48">
        <v>1955.037</v>
      </c>
      <c r="H48" s="2">
        <f t="shared" si="0"/>
        <v>2036.0811999999999</v>
      </c>
      <c r="I48" s="2">
        <f t="shared" si="1"/>
        <v>30.032484659781296</v>
      </c>
      <c r="K48">
        <v>47.5</v>
      </c>
      <c r="L48">
        <v>2055.866</v>
      </c>
      <c r="M48">
        <v>2179.203</v>
      </c>
      <c r="N48">
        <v>2096.6419999999998</v>
      </c>
      <c r="O48">
        <v>2191.299</v>
      </c>
      <c r="P48">
        <v>2168.8180000000002</v>
      </c>
      <c r="R48" s="3">
        <f t="shared" si="2"/>
        <v>2138.3655999999996</v>
      </c>
      <c r="S48" s="3">
        <f t="shared" si="3"/>
        <v>26.404573029306896</v>
      </c>
    </row>
    <row r="49" spans="1:19" x14ac:dyDescent="0.25">
      <c r="A49">
        <v>48.75</v>
      </c>
      <c r="B49">
        <v>2069.7779999999998</v>
      </c>
      <c r="C49">
        <v>2166.6640000000002</v>
      </c>
      <c r="D49">
        <v>2101.0079999999998</v>
      </c>
      <c r="E49">
        <v>2175.6619999999998</v>
      </c>
      <c r="F49">
        <v>2039.9549999999999</v>
      </c>
      <c r="H49" s="2">
        <f t="shared" si="0"/>
        <v>2110.6133999999997</v>
      </c>
      <c r="I49" s="2">
        <f t="shared" si="1"/>
        <v>26.575734435006709</v>
      </c>
      <c r="K49">
        <v>48.75</v>
      </c>
      <c r="L49">
        <v>2153.058</v>
      </c>
      <c r="M49">
        <v>2249.058</v>
      </c>
      <c r="N49">
        <v>2174.192</v>
      </c>
      <c r="O49">
        <v>2269.1840000000002</v>
      </c>
      <c r="P49">
        <v>2238.9209999999998</v>
      </c>
      <c r="R49" s="3">
        <f t="shared" si="2"/>
        <v>2216.8825999999999</v>
      </c>
      <c r="S49" s="3">
        <f t="shared" si="3"/>
        <v>22.530480215920846</v>
      </c>
    </row>
    <row r="50" spans="1:19" x14ac:dyDescent="0.25">
      <c r="A50">
        <v>50</v>
      </c>
      <c r="B50">
        <v>2159.5369999999998</v>
      </c>
      <c r="C50">
        <v>2257.6480000000001</v>
      </c>
      <c r="D50">
        <v>2166.9459999999999</v>
      </c>
      <c r="E50">
        <v>2265.0100000000002</v>
      </c>
      <c r="F50">
        <v>2128.8870000000002</v>
      </c>
      <c r="H50" s="2">
        <f t="shared" si="0"/>
        <v>2195.6055999999999</v>
      </c>
      <c r="I50" s="2">
        <f t="shared" si="1"/>
        <v>27.604273492704028</v>
      </c>
      <c r="K50">
        <v>50</v>
      </c>
      <c r="L50">
        <v>2233.8609999999999</v>
      </c>
      <c r="M50">
        <v>2331.877</v>
      </c>
      <c r="N50">
        <v>2253.3710000000001</v>
      </c>
      <c r="O50">
        <v>2347.944</v>
      </c>
      <c r="P50">
        <v>2322.2489999999998</v>
      </c>
      <c r="R50" s="3">
        <f t="shared" si="2"/>
        <v>2297.8604</v>
      </c>
      <c r="S50" s="3">
        <f t="shared" si="3"/>
        <v>22.732718477120141</v>
      </c>
    </row>
    <row r="51" spans="1:19" x14ac:dyDescent="0.25">
      <c r="A51">
        <v>51.25</v>
      </c>
      <c r="B51">
        <v>2243.6590000000001</v>
      </c>
      <c r="C51">
        <v>2317.4319999999998</v>
      </c>
      <c r="D51">
        <v>2198.8409999999999</v>
      </c>
      <c r="E51">
        <v>2361.0790000000002</v>
      </c>
      <c r="F51">
        <v>2167.0169999999998</v>
      </c>
      <c r="H51" s="2">
        <f t="shared" si="0"/>
        <v>2257.6055999999999</v>
      </c>
      <c r="I51" s="2">
        <f t="shared" si="1"/>
        <v>36.152470841700463</v>
      </c>
      <c r="K51">
        <v>51.25</v>
      </c>
      <c r="L51">
        <v>2273.7860000000001</v>
      </c>
      <c r="M51">
        <v>2400.471</v>
      </c>
      <c r="N51">
        <v>2314.3919999999998</v>
      </c>
      <c r="O51">
        <v>2395.424</v>
      </c>
      <c r="P51">
        <v>2387.8440000000001</v>
      </c>
      <c r="R51" s="3">
        <f t="shared" si="2"/>
        <v>2354.3834000000002</v>
      </c>
      <c r="S51" s="3">
        <f t="shared" si="3"/>
        <v>25.517898067043063</v>
      </c>
    </row>
    <row r="52" spans="1:19" x14ac:dyDescent="0.25">
      <c r="A52">
        <v>52.5</v>
      </c>
      <c r="B52">
        <v>2275.8449999999998</v>
      </c>
      <c r="C52">
        <v>2320.9760000000001</v>
      </c>
      <c r="D52">
        <v>2222.1640000000002</v>
      </c>
      <c r="E52">
        <v>2390.252</v>
      </c>
      <c r="F52">
        <v>2182.797</v>
      </c>
      <c r="H52" s="2">
        <f t="shared" si="0"/>
        <v>2278.4068000000002</v>
      </c>
      <c r="I52" s="2">
        <f t="shared" si="1"/>
        <v>36.491461178472946</v>
      </c>
      <c r="K52">
        <v>52.5</v>
      </c>
      <c r="L52">
        <v>2274.2249999999999</v>
      </c>
      <c r="M52">
        <v>2416.607</v>
      </c>
      <c r="N52">
        <v>2326.8939999999998</v>
      </c>
      <c r="O52">
        <v>2414.63</v>
      </c>
      <c r="P52">
        <v>2398.2150000000001</v>
      </c>
      <c r="R52" s="3">
        <f t="shared" si="2"/>
        <v>2366.1142</v>
      </c>
      <c r="S52" s="3">
        <f t="shared" si="3"/>
        <v>28.209587223850026</v>
      </c>
    </row>
    <row r="53" spans="1:19" x14ac:dyDescent="0.25">
      <c r="A53">
        <v>53.75</v>
      </c>
      <c r="B53">
        <v>2250.8249999999998</v>
      </c>
      <c r="C53">
        <v>2301.3589999999999</v>
      </c>
      <c r="D53">
        <v>2248.0419999999999</v>
      </c>
      <c r="E53">
        <v>2362.2869999999998</v>
      </c>
      <c r="F53">
        <v>2215.1379999999999</v>
      </c>
      <c r="H53" s="2">
        <f t="shared" si="0"/>
        <v>2275.5301999999997</v>
      </c>
      <c r="I53" s="2">
        <f t="shared" si="1"/>
        <v>25.697310289989481</v>
      </c>
      <c r="K53">
        <v>53.75</v>
      </c>
      <c r="L53">
        <v>2262.2809999999999</v>
      </c>
      <c r="M53">
        <v>2404.2750000000001</v>
      </c>
      <c r="N53">
        <v>2317.6460000000002</v>
      </c>
      <c r="O53">
        <v>2400.0360000000001</v>
      </c>
      <c r="P53">
        <v>2392.4659999999999</v>
      </c>
      <c r="R53" s="3">
        <f t="shared" si="2"/>
        <v>2355.3408000000004</v>
      </c>
      <c r="S53" s="3">
        <f t="shared" si="3"/>
        <v>28.152727781513462</v>
      </c>
    </row>
    <row r="54" spans="1:19" x14ac:dyDescent="0.25">
      <c r="A54">
        <v>55</v>
      </c>
      <c r="B54">
        <v>2169.4090000000001</v>
      </c>
      <c r="C54">
        <v>2263.83</v>
      </c>
      <c r="D54">
        <v>2233.4899999999998</v>
      </c>
      <c r="E54">
        <v>2310.2330000000002</v>
      </c>
      <c r="F54">
        <v>2208.0210000000002</v>
      </c>
      <c r="H54" s="2">
        <f t="shared" si="0"/>
        <v>2236.9965999999999</v>
      </c>
      <c r="I54" s="2">
        <f t="shared" si="1"/>
        <v>23.98287613402529</v>
      </c>
      <c r="K54">
        <v>55</v>
      </c>
      <c r="L54">
        <v>2226.8440000000001</v>
      </c>
      <c r="M54">
        <v>2364.105</v>
      </c>
      <c r="N54">
        <v>2269.8870000000002</v>
      </c>
      <c r="O54">
        <v>2343.578</v>
      </c>
      <c r="P54">
        <v>2356.2130000000002</v>
      </c>
      <c r="R54" s="3">
        <f t="shared" si="2"/>
        <v>2312.1253999999999</v>
      </c>
      <c r="S54" s="3">
        <f t="shared" si="3"/>
        <v>27.103377056374352</v>
      </c>
    </row>
    <row r="55" spans="1:19" x14ac:dyDescent="0.25">
      <c r="A55">
        <v>56.25</v>
      </c>
      <c r="B55">
        <v>2045.799</v>
      </c>
      <c r="C55">
        <v>2177.7860000000001</v>
      </c>
      <c r="D55">
        <v>2184.116</v>
      </c>
      <c r="E55">
        <v>2203.018</v>
      </c>
      <c r="F55">
        <v>2152.6210000000001</v>
      </c>
      <c r="H55" s="2">
        <f t="shared" si="0"/>
        <v>2152.6680000000001</v>
      </c>
      <c r="I55" s="2">
        <f t="shared" si="1"/>
        <v>27.906987026549469</v>
      </c>
      <c r="K55">
        <v>56.25</v>
      </c>
      <c r="L55">
        <v>2129.527</v>
      </c>
      <c r="M55">
        <v>2267.2910000000002</v>
      </c>
      <c r="N55">
        <v>2174.0320000000002</v>
      </c>
      <c r="O55">
        <v>2243.5120000000002</v>
      </c>
      <c r="P55">
        <v>2240.087</v>
      </c>
      <c r="R55" s="3">
        <f t="shared" si="2"/>
        <v>2210.8897999999999</v>
      </c>
      <c r="S55" s="3">
        <f t="shared" si="3"/>
        <v>25.569691459616802</v>
      </c>
    </row>
    <row r="56" spans="1:19" x14ac:dyDescent="0.25">
      <c r="A56">
        <v>57.5</v>
      </c>
      <c r="B56">
        <v>1924.4069999999999</v>
      </c>
      <c r="C56">
        <v>2064.1680000000001</v>
      </c>
      <c r="D56">
        <v>2091.0680000000002</v>
      </c>
      <c r="E56">
        <v>2076.5790000000002</v>
      </c>
      <c r="F56">
        <v>2069.3939999999998</v>
      </c>
      <c r="H56" s="2">
        <f t="shared" si="0"/>
        <v>2045.1232</v>
      </c>
      <c r="I56" s="2">
        <f t="shared" si="1"/>
        <v>30.516036016167014</v>
      </c>
      <c r="K56">
        <v>57.5</v>
      </c>
      <c r="L56">
        <v>2000.0740000000001</v>
      </c>
      <c r="M56">
        <v>2143.614</v>
      </c>
      <c r="N56">
        <v>2052.7020000000002</v>
      </c>
      <c r="O56">
        <v>2135.8009999999999</v>
      </c>
      <c r="P56">
        <v>2101.0659999999998</v>
      </c>
      <c r="R56" s="3">
        <f t="shared" si="2"/>
        <v>2086.6514000000002</v>
      </c>
      <c r="S56" s="3">
        <f t="shared" si="3"/>
        <v>26.941055680132472</v>
      </c>
    </row>
    <row r="57" spans="1:19" x14ac:dyDescent="0.25">
      <c r="A57">
        <v>58.75</v>
      </c>
      <c r="B57">
        <v>1815.576</v>
      </c>
      <c r="C57">
        <v>1957.451</v>
      </c>
      <c r="D57">
        <v>1993.885</v>
      </c>
      <c r="E57">
        <v>1963.9780000000001</v>
      </c>
      <c r="F57">
        <v>1977.44</v>
      </c>
      <c r="H57" s="2">
        <f t="shared" si="0"/>
        <v>1941.6659999999999</v>
      </c>
      <c r="I57" s="2">
        <f t="shared" si="1"/>
        <v>32.134313985209019</v>
      </c>
      <c r="K57">
        <v>58.75</v>
      </c>
      <c r="L57">
        <v>1905.79</v>
      </c>
      <c r="M57">
        <v>2038.5060000000001</v>
      </c>
      <c r="N57">
        <v>1946.4659999999999</v>
      </c>
      <c r="O57">
        <v>2024.404</v>
      </c>
      <c r="P57">
        <v>1988.845</v>
      </c>
      <c r="R57" s="3">
        <f t="shared" si="2"/>
        <v>1980.8022000000001</v>
      </c>
      <c r="S57" s="3">
        <f t="shared" si="3"/>
        <v>24.598106541764572</v>
      </c>
    </row>
    <row r="58" spans="1:19" x14ac:dyDescent="0.25">
      <c r="A58">
        <v>60</v>
      </c>
      <c r="B58">
        <v>1729.97</v>
      </c>
      <c r="C58">
        <v>1862.7650000000001</v>
      </c>
      <c r="D58">
        <v>1915.85</v>
      </c>
      <c r="E58">
        <v>1871.3810000000001</v>
      </c>
      <c r="F58">
        <v>1906.905</v>
      </c>
      <c r="H58" s="2">
        <f t="shared" si="0"/>
        <v>1857.3742000000002</v>
      </c>
      <c r="I58" s="2">
        <f t="shared" si="1"/>
        <v>33.413919766169293</v>
      </c>
      <c r="K58">
        <v>60</v>
      </c>
      <c r="L58">
        <v>1836.402</v>
      </c>
      <c r="M58">
        <v>1933.489</v>
      </c>
      <c r="N58">
        <v>1856.393</v>
      </c>
      <c r="O58">
        <v>1925.4849999999999</v>
      </c>
      <c r="P58">
        <v>1900.7080000000001</v>
      </c>
      <c r="R58" s="3">
        <f t="shared" si="2"/>
        <v>1890.4953999999998</v>
      </c>
      <c r="S58" s="3">
        <f t="shared" si="3"/>
        <v>19.060546368349453</v>
      </c>
    </row>
    <row r="59" spans="1:19" x14ac:dyDescent="0.25">
      <c r="A59">
        <v>61.25</v>
      </c>
      <c r="B59">
        <v>1666.316</v>
      </c>
      <c r="C59">
        <v>1799.211</v>
      </c>
      <c r="D59">
        <v>1854.539</v>
      </c>
      <c r="E59">
        <v>1784.3230000000001</v>
      </c>
      <c r="F59">
        <v>1841.201</v>
      </c>
      <c r="H59" s="2">
        <f t="shared" si="0"/>
        <v>1789.1179999999999</v>
      </c>
      <c r="I59" s="2">
        <f t="shared" si="1"/>
        <v>33.314965111793221</v>
      </c>
      <c r="K59">
        <v>61.25</v>
      </c>
      <c r="L59">
        <v>1771.402</v>
      </c>
      <c r="M59">
        <v>1858.8489999999999</v>
      </c>
      <c r="N59">
        <v>1794.471</v>
      </c>
      <c r="O59">
        <v>1849.15</v>
      </c>
      <c r="P59">
        <v>1826.894</v>
      </c>
      <c r="R59" s="3">
        <f t="shared" si="2"/>
        <v>1820.1532</v>
      </c>
      <c r="S59" s="3">
        <f t="shared" si="3"/>
        <v>16.461884203820649</v>
      </c>
    </row>
    <row r="60" spans="1:19" x14ac:dyDescent="0.25">
      <c r="A60">
        <v>62.5</v>
      </c>
      <c r="B60">
        <v>1614.018</v>
      </c>
      <c r="C60">
        <v>1745.2909999999999</v>
      </c>
      <c r="D60">
        <v>1807.2339999999999</v>
      </c>
      <c r="E60">
        <v>1739.6790000000001</v>
      </c>
      <c r="F60">
        <v>1786.779</v>
      </c>
      <c r="H60" s="2">
        <f t="shared" si="0"/>
        <v>1738.6002000000001</v>
      </c>
      <c r="I60" s="2">
        <f t="shared" si="1"/>
        <v>33.614320194524225</v>
      </c>
      <c r="K60">
        <v>62.5</v>
      </c>
      <c r="L60">
        <v>1708.856</v>
      </c>
      <c r="M60">
        <v>1804.1759999999999</v>
      </c>
      <c r="N60">
        <v>1740.64</v>
      </c>
      <c r="O60">
        <v>1789.777</v>
      </c>
      <c r="P60">
        <v>1771.972</v>
      </c>
      <c r="R60" s="3">
        <f t="shared" si="2"/>
        <v>1763.0842</v>
      </c>
      <c r="S60" s="3">
        <f t="shared" si="3"/>
        <v>17.211151002765607</v>
      </c>
    </row>
    <row r="61" spans="1:19" x14ac:dyDescent="0.25">
      <c r="A61">
        <v>63.75</v>
      </c>
      <c r="B61">
        <v>1559.3030000000001</v>
      </c>
      <c r="C61">
        <v>1697.32</v>
      </c>
      <c r="D61">
        <v>1759.712</v>
      </c>
      <c r="E61">
        <v>1697.633</v>
      </c>
      <c r="F61">
        <v>1730.289</v>
      </c>
      <c r="H61" s="2">
        <f t="shared" si="0"/>
        <v>1688.8514</v>
      </c>
      <c r="I61" s="2">
        <f t="shared" si="1"/>
        <v>34.40197738008672</v>
      </c>
      <c r="K61">
        <v>63.75</v>
      </c>
      <c r="L61">
        <v>1649.2819999999999</v>
      </c>
      <c r="M61">
        <v>1746.5340000000001</v>
      </c>
      <c r="N61">
        <v>1678.1849999999999</v>
      </c>
      <c r="O61">
        <v>1741.76</v>
      </c>
      <c r="P61">
        <v>1722.9860000000001</v>
      </c>
      <c r="R61" s="3">
        <f t="shared" si="2"/>
        <v>1707.7494000000002</v>
      </c>
      <c r="S61" s="3">
        <f t="shared" si="3"/>
        <v>18.954696910264776</v>
      </c>
    </row>
    <row r="62" spans="1:19" x14ac:dyDescent="0.25">
      <c r="A62">
        <v>65</v>
      </c>
      <c r="B62">
        <v>1517.768</v>
      </c>
      <c r="C62">
        <v>1649.721</v>
      </c>
      <c r="D62">
        <v>1694.2159999999999</v>
      </c>
      <c r="E62">
        <v>1636.672</v>
      </c>
      <c r="F62">
        <v>1659.307</v>
      </c>
      <c r="H62" s="2">
        <f t="shared" si="0"/>
        <v>1631.5368000000001</v>
      </c>
      <c r="I62" s="2">
        <f t="shared" si="1"/>
        <v>30.000201151658949</v>
      </c>
      <c r="K62">
        <v>65</v>
      </c>
      <c r="L62">
        <v>1611.0989999999999</v>
      </c>
      <c r="M62">
        <v>1692.434</v>
      </c>
      <c r="N62">
        <v>1626.8219999999999</v>
      </c>
      <c r="O62">
        <v>1694.1379999999999</v>
      </c>
      <c r="P62">
        <v>1670.547</v>
      </c>
      <c r="R62" s="3">
        <f t="shared" si="2"/>
        <v>1659.0079999999998</v>
      </c>
      <c r="S62" s="3">
        <f t="shared" si="3"/>
        <v>17.052527340543993</v>
      </c>
    </row>
    <row r="63" spans="1:19" x14ac:dyDescent="0.25">
      <c r="A63">
        <v>66.25</v>
      </c>
      <c r="B63">
        <v>1498.095</v>
      </c>
      <c r="C63">
        <v>1594.357</v>
      </c>
      <c r="D63">
        <v>1620.625</v>
      </c>
      <c r="E63">
        <v>1587.143</v>
      </c>
      <c r="F63">
        <v>1588.6759999999999</v>
      </c>
      <c r="H63" s="2">
        <f t="shared" si="0"/>
        <v>1577.7792000000002</v>
      </c>
      <c r="I63" s="2">
        <f t="shared" si="1"/>
        <v>20.816554422862581</v>
      </c>
      <c r="K63">
        <v>66.25</v>
      </c>
      <c r="L63">
        <v>1571.729</v>
      </c>
      <c r="M63">
        <v>1637.462</v>
      </c>
      <c r="N63">
        <v>1581.0619999999999</v>
      </c>
      <c r="O63">
        <v>1655.1510000000001</v>
      </c>
      <c r="P63">
        <v>1635.021</v>
      </c>
      <c r="R63" s="3">
        <f t="shared" si="2"/>
        <v>1616.0849999999998</v>
      </c>
      <c r="S63" s="3">
        <f t="shared" si="3"/>
        <v>16.63695561994442</v>
      </c>
    </row>
    <row r="64" spans="1:19" x14ac:dyDescent="0.25">
      <c r="A64">
        <v>67.5</v>
      </c>
      <c r="B64">
        <v>1480.662</v>
      </c>
      <c r="C64">
        <v>1550.6769999999999</v>
      </c>
      <c r="D64">
        <v>1545.7940000000001</v>
      </c>
      <c r="E64">
        <v>1548.4110000000001</v>
      </c>
      <c r="F64">
        <v>1510.327</v>
      </c>
      <c r="H64" s="2">
        <f t="shared" si="0"/>
        <v>1527.1741999999999</v>
      </c>
      <c r="I64" s="2">
        <f t="shared" si="1"/>
        <v>13.77913845419952</v>
      </c>
      <c r="K64">
        <v>67.5</v>
      </c>
      <c r="L64">
        <v>1529.35</v>
      </c>
      <c r="M64">
        <v>1598.415</v>
      </c>
      <c r="N64">
        <v>1544.9590000000001</v>
      </c>
      <c r="O64">
        <v>1611.277</v>
      </c>
      <c r="P64">
        <v>1605.569</v>
      </c>
      <c r="R64" s="3">
        <f t="shared" si="2"/>
        <v>1577.914</v>
      </c>
      <c r="S64" s="3">
        <f t="shared" si="3"/>
        <v>16.94501979343784</v>
      </c>
    </row>
    <row r="65" spans="1:19" x14ac:dyDescent="0.25">
      <c r="A65">
        <v>68.75</v>
      </c>
      <c r="B65">
        <v>1459.1679999999999</v>
      </c>
      <c r="C65">
        <v>1518.461</v>
      </c>
      <c r="D65">
        <v>1469.5450000000001</v>
      </c>
      <c r="E65">
        <v>1519.4829999999999</v>
      </c>
      <c r="F65">
        <v>1437.7380000000001</v>
      </c>
      <c r="H65" s="2">
        <f t="shared" si="0"/>
        <v>1480.8790000000001</v>
      </c>
      <c r="I65" s="2">
        <f t="shared" si="1"/>
        <v>16.376276283087062</v>
      </c>
      <c r="K65">
        <v>68.75</v>
      </c>
      <c r="L65">
        <v>1496.3119999999999</v>
      </c>
      <c r="M65">
        <v>1559.2639999999999</v>
      </c>
      <c r="N65">
        <v>1512.4749999999999</v>
      </c>
      <c r="O65">
        <v>1562.1320000000001</v>
      </c>
      <c r="P65">
        <v>1558.7819999999999</v>
      </c>
      <c r="R65" s="3">
        <f t="shared" si="2"/>
        <v>1537.7929999999999</v>
      </c>
      <c r="S65" s="3">
        <f t="shared" si="3"/>
        <v>13.884529822792</v>
      </c>
    </row>
    <row r="66" spans="1:19" x14ac:dyDescent="0.25">
      <c r="A66">
        <v>70</v>
      </c>
      <c r="B66">
        <v>1441.1990000000001</v>
      </c>
      <c r="C66">
        <v>1487.1479999999999</v>
      </c>
      <c r="D66">
        <v>1402.0709999999999</v>
      </c>
      <c r="E66">
        <v>1494.6010000000001</v>
      </c>
      <c r="F66">
        <v>1373.23</v>
      </c>
      <c r="H66" s="2">
        <f t="shared" si="0"/>
        <v>1439.6497999999999</v>
      </c>
      <c r="I66" s="2">
        <f t="shared" si="1"/>
        <v>23.560421735189724</v>
      </c>
      <c r="K66">
        <v>70</v>
      </c>
      <c r="L66">
        <v>1464.7370000000001</v>
      </c>
      <c r="M66">
        <v>1533.2149999999999</v>
      </c>
      <c r="N66">
        <v>1494.549</v>
      </c>
      <c r="O66">
        <v>1516.93</v>
      </c>
      <c r="P66">
        <v>1524.35</v>
      </c>
      <c r="R66" s="3">
        <f t="shared" si="2"/>
        <v>1506.7562000000003</v>
      </c>
      <c r="S66" s="3">
        <f t="shared" si="3"/>
        <v>12.303952622633075</v>
      </c>
    </row>
    <row r="67" spans="1:19" x14ac:dyDescent="0.25">
      <c r="A67">
        <v>71.25</v>
      </c>
      <c r="B67">
        <v>1418.038</v>
      </c>
      <c r="C67">
        <v>1462.8140000000001</v>
      </c>
      <c r="D67">
        <v>1364.7619999999999</v>
      </c>
      <c r="E67">
        <v>1485.97</v>
      </c>
      <c r="F67">
        <v>1332.894</v>
      </c>
      <c r="H67" s="2">
        <f t="shared" si="0"/>
        <v>1412.8956000000001</v>
      </c>
      <c r="I67" s="2">
        <f t="shared" si="1"/>
        <v>28.788242672313306</v>
      </c>
      <c r="K67">
        <v>71.25</v>
      </c>
      <c r="L67">
        <v>1442.751</v>
      </c>
      <c r="M67">
        <v>1512.7619999999999</v>
      </c>
      <c r="N67">
        <v>1475.0319999999999</v>
      </c>
      <c r="O67">
        <v>1491.9639999999999</v>
      </c>
      <c r="P67">
        <v>1505.0119999999999</v>
      </c>
      <c r="R67" s="3">
        <f t="shared" si="2"/>
        <v>1485.5041999999999</v>
      </c>
      <c r="S67" s="3">
        <f t="shared" si="3"/>
        <v>12.455468720204786</v>
      </c>
    </row>
    <row r="68" spans="1:19" x14ac:dyDescent="0.25">
      <c r="A68">
        <v>72.5</v>
      </c>
      <c r="B68">
        <v>1418.0309999999999</v>
      </c>
      <c r="C68">
        <v>1451.7429999999999</v>
      </c>
      <c r="D68">
        <v>1352.7239999999999</v>
      </c>
      <c r="E68">
        <v>1463.9079999999999</v>
      </c>
      <c r="F68">
        <v>1328.3969999999999</v>
      </c>
      <c r="H68" s="2">
        <f t="shared" si="0"/>
        <v>1402.9605999999999</v>
      </c>
      <c r="I68" s="2">
        <f t="shared" si="1"/>
        <v>26.837354095737528</v>
      </c>
      <c r="K68">
        <v>72.5</v>
      </c>
      <c r="L68">
        <v>1433.2629999999999</v>
      </c>
      <c r="M68">
        <v>1499.829</v>
      </c>
      <c r="N68">
        <v>1461.326</v>
      </c>
      <c r="O68">
        <v>1483.4960000000001</v>
      </c>
      <c r="P68">
        <v>1504.961</v>
      </c>
      <c r="R68" s="3">
        <f t="shared" si="2"/>
        <v>1476.575</v>
      </c>
      <c r="S68" s="3">
        <f t="shared" si="3"/>
        <v>13.234188864452564</v>
      </c>
    </row>
    <row r="69" spans="1:19" x14ac:dyDescent="0.25">
      <c r="A69">
        <v>73.75</v>
      </c>
      <c r="B69">
        <v>1438.1030000000001</v>
      </c>
      <c r="C69">
        <v>1489.4649999999999</v>
      </c>
      <c r="D69">
        <v>1379.73</v>
      </c>
      <c r="E69">
        <v>1492.5930000000001</v>
      </c>
      <c r="F69">
        <v>1353.559</v>
      </c>
      <c r="H69" s="2">
        <f t="shared" ref="H69:H96" si="4">AVERAGE(B69:F69)</f>
        <v>1430.69</v>
      </c>
      <c r="I69" s="2">
        <f t="shared" ref="I69:I96" si="5">STDEV(B69:F69)/SQRT(COUNT(B69:F69))</f>
        <v>28.184700959917958</v>
      </c>
      <c r="K69">
        <v>73.75</v>
      </c>
      <c r="L69">
        <v>1449.85</v>
      </c>
      <c r="M69">
        <v>1521.943</v>
      </c>
      <c r="N69">
        <v>1479.8109999999999</v>
      </c>
      <c r="O69">
        <v>1521.021</v>
      </c>
      <c r="P69">
        <v>1538.636</v>
      </c>
      <c r="R69" s="3">
        <f t="shared" ref="R69:R96" si="6">AVERAGE(L69:P69)</f>
        <v>1502.2521999999997</v>
      </c>
      <c r="S69" s="3">
        <f t="shared" ref="S69:S96" si="7">STDEV(L69:P69)/SQRT(COUNT(L69:P69))</f>
        <v>16.299347199811422</v>
      </c>
    </row>
    <row r="70" spans="1:19" x14ac:dyDescent="0.25">
      <c r="A70">
        <v>75</v>
      </c>
      <c r="B70">
        <v>1560.383</v>
      </c>
      <c r="C70">
        <v>1619.3710000000001</v>
      </c>
      <c r="D70">
        <v>1496.2750000000001</v>
      </c>
      <c r="E70">
        <v>1608.8820000000001</v>
      </c>
      <c r="F70">
        <v>1464.296</v>
      </c>
      <c r="H70" s="2">
        <f t="shared" si="4"/>
        <v>1549.8414</v>
      </c>
      <c r="I70" s="2">
        <f t="shared" si="5"/>
        <v>30.51119280296987</v>
      </c>
      <c r="K70">
        <v>75</v>
      </c>
      <c r="L70">
        <v>1589.471</v>
      </c>
      <c r="M70">
        <v>1680.06</v>
      </c>
      <c r="N70">
        <v>1608.8579999999999</v>
      </c>
      <c r="O70">
        <v>1670.7439999999999</v>
      </c>
      <c r="P70">
        <v>1683.588</v>
      </c>
      <c r="R70" s="3">
        <f t="shared" si="6"/>
        <v>1646.5441999999998</v>
      </c>
      <c r="S70" s="3">
        <f t="shared" si="7"/>
        <v>19.696169826643949</v>
      </c>
    </row>
    <row r="71" spans="1:19" x14ac:dyDescent="0.25">
      <c r="A71">
        <v>76.25</v>
      </c>
      <c r="B71">
        <v>1753.1379999999999</v>
      </c>
      <c r="C71">
        <v>1813.018</v>
      </c>
      <c r="D71">
        <v>1636.595</v>
      </c>
      <c r="E71">
        <v>1811.816</v>
      </c>
      <c r="F71">
        <v>1621.251</v>
      </c>
      <c r="H71" s="2">
        <f t="shared" si="4"/>
        <v>1727.1635999999999</v>
      </c>
      <c r="I71" s="2">
        <f t="shared" si="5"/>
        <v>41.61239384197934</v>
      </c>
      <c r="K71">
        <v>76.25</v>
      </c>
      <c r="L71">
        <v>1781.498</v>
      </c>
      <c r="M71">
        <v>1878.432</v>
      </c>
      <c r="N71">
        <v>1816.682</v>
      </c>
      <c r="O71">
        <v>1853.712</v>
      </c>
      <c r="P71">
        <v>1872.854</v>
      </c>
      <c r="R71" s="3">
        <f t="shared" si="6"/>
        <v>1840.6356000000001</v>
      </c>
      <c r="S71" s="3">
        <f t="shared" si="7"/>
        <v>18.314770098475162</v>
      </c>
    </row>
    <row r="72" spans="1:19" x14ac:dyDescent="0.25">
      <c r="A72">
        <v>77.5</v>
      </c>
      <c r="B72">
        <v>1830.3420000000001</v>
      </c>
      <c r="C72">
        <v>1884.9469999999999</v>
      </c>
      <c r="D72">
        <v>1682.923</v>
      </c>
      <c r="E72">
        <v>1907.367</v>
      </c>
      <c r="F72">
        <v>1686.348</v>
      </c>
      <c r="H72" s="2">
        <f t="shared" si="4"/>
        <v>1798.3853999999999</v>
      </c>
      <c r="I72" s="2">
        <f t="shared" si="5"/>
        <v>48.10149105235719</v>
      </c>
      <c r="K72">
        <v>77.5</v>
      </c>
      <c r="L72">
        <v>1852.95</v>
      </c>
      <c r="M72">
        <v>1958.11</v>
      </c>
      <c r="N72">
        <v>1912.586</v>
      </c>
      <c r="O72">
        <v>1941.6659999999999</v>
      </c>
      <c r="P72">
        <v>1959.8720000000001</v>
      </c>
      <c r="R72" s="3">
        <f t="shared" si="6"/>
        <v>1925.0367999999999</v>
      </c>
      <c r="S72" s="3">
        <f t="shared" si="7"/>
        <v>19.919070215248489</v>
      </c>
    </row>
    <row r="73" spans="1:19" x14ac:dyDescent="0.25">
      <c r="A73">
        <v>78.75</v>
      </c>
      <c r="B73">
        <v>1786.837</v>
      </c>
      <c r="C73">
        <v>1839.02</v>
      </c>
      <c r="D73">
        <v>1643.0640000000001</v>
      </c>
      <c r="E73">
        <v>1864.8789999999999</v>
      </c>
      <c r="F73">
        <v>1639.9860000000001</v>
      </c>
      <c r="H73" s="2">
        <f t="shared" si="4"/>
        <v>1754.7572</v>
      </c>
      <c r="I73" s="2">
        <f t="shared" si="5"/>
        <v>47.908215966992515</v>
      </c>
      <c r="K73">
        <v>78.75</v>
      </c>
      <c r="L73">
        <v>1803.873</v>
      </c>
      <c r="M73">
        <v>1899.41</v>
      </c>
      <c r="N73">
        <v>1857.2429999999999</v>
      </c>
      <c r="O73">
        <v>1894.0940000000001</v>
      </c>
      <c r="P73">
        <v>1898.396</v>
      </c>
      <c r="R73" s="3">
        <f t="shared" si="6"/>
        <v>1870.6032</v>
      </c>
      <c r="S73" s="3">
        <f t="shared" si="7"/>
        <v>18.419424093602931</v>
      </c>
    </row>
    <row r="74" spans="1:19" x14ac:dyDescent="0.25">
      <c r="A74">
        <v>80</v>
      </c>
      <c r="B74">
        <v>1703.2650000000001</v>
      </c>
      <c r="C74">
        <v>1755.3389999999999</v>
      </c>
      <c r="D74">
        <v>1593.1780000000001</v>
      </c>
      <c r="E74">
        <v>1764.2750000000001</v>
      </c>
      <c r="F74">
        <v>1558.8630000000001</v>
      </c>
      <c r="H74" s="2">
        <f t="shared" si="4"/>
        <v>1674.9839999999999</v>
      </c>
      <c r="I74" s="2">
        <f t="shared" si="5"/>
        <v>42.074892717629105</v>
      </c>
      <c r="K74">
        <v>80</v>
      </c>
      <c r="L74">
        <v>1718.4829999999999</v>
      </c>
      <c r="M74">
        <v>1783.3810000000001</v>
      </c>
      <c r="N74">
        <v>1750.692</v>
      </c>
      <c r="O74">
        <v>1828.5930000000001</v>
      </c>
      <c r="P74">
        <v>1813.9349999999999</v>
      </c>
      <c r="R74" s="3">
        <f t="shared" si="6"/>
        <v>1779.0168000000001</v>
      </c>
      <c r="S74" s="3">
        <f t="shared" si="7"/>
        <v>20.20242779568833</v>
      </c>
    </row>
    <row r="75" spans="1:19" x14ac:dyDescent="0.25">
      <c r="A75">
        <v>81.25</v>
      </c>
      <c r="B75">
        <v>1807.683</v>
      </c>
      <c r="C75">
        <v>1848.527</v>
      </c>
      <c r="D75">
        <v>1724.3340000000001</v>
      </c>
      <c r="E75">
        <v>1828.056</v>
      </c>
      <c r="F75">
        <v>1636.702</v>
      </c>
      <c r="H75" s="2">
        <f t="shared" si="4"/>
        <v>1769.0603999999998</v>
      </c>
      <c r="I75" s="2">
        <f t="shared" si="5"/>
        <v>39.246861959397471</v>
      </c>
      <c r="K75">
        <v>81.25</v>
      </c>
      <c r="L75">
        <v>1810.62</v>
      </c>
      <c r="M75">
        <v>1875.0319999999999</v>
      </c>
      <c r="N75">
        <v>1809.645</v>
      </c>
      <c r="O75">
        <v>2005.059</v>
      </c>
      <c r="P75">
        <v>2014.085</v>
      </c>
      <c r="R75" s="3">
        <f t="shared" si="6"/>
        <v>1902.8882000000001</v>
      </c>
      <c r="S75" s="3">
        <f t="shared" si="7"/>
        <v>45.159320000859189</v>
      </c>
    </row>
    <row r="76" spans="1:19" x14ac:dyDescent="0.25">
      <c r="A76">
        <v>82.5</v>
      </c>
      <c r="B76">
        <v>2493.6439999999998</v>
      </c>
      <c r="C76">
        <v>2452.7199999999998</v>
      </c>
      <c r="D76">
        <v>2207.91</v>
      </c>
      <c r="E76">
        <v>2506.9949999999999</v>
      </c>
      <c r="F76">
        <v>2141.5610000000001</v>
      </c>
      <c r="H76" s="2">
        <f t="shared" si="4"/>
        <v>2360.5659999999998</v>
      </c>
      <c r="I76" s="2">
        <f t="shared" si="5"/>
        <v>77.107266260061337</v>
      </c>
      <c r="K76">
        <v>82.5</v>
      </c>
      <c r="L76">
        <v>2438.616</v>
      </c>
      <c r="M76">
        <v>2598.165</v>
      </c>
      <c r="N76">
        <v>2414.36</v>
      </c>
      <c r="O76">
        <v>2737.05</v>
      </c>
      <c r="P76">
        <v>2775.5940000000001</v>
      </c>
      <c r="R76" s="3">
        <f t="shared" si="6"/>
        <v>2592.7570000000001</v>
      </c>
      <c r="S76" s="3">
        <f t="shared" si="7"/>
        <v>74.116132647352842</v>
      </c>
    </row>
    <row r="77" spans="1:19" x14ac:dyDescent="0.25">
      <c r="A77">
        <v>83.75</v>
      </c>
      <c r="B77">
        <v>3585.123</v>
      </c>
      <c r="C77">
        <v>3401.7269999999999</v>
      </c>
      <c r="D77">
        <v>2874.4169999999999</v>
      </c>
      <c r="E77">
        <v>3652.8420000000001</v>
      </c>
      <c r="F77">
        <v>2898.4029999999998</v>
      </c>
      <c r="H77" s="2">
        <f t="shared" si="4"/>
        <v>3282.5023999999999</v>
      </c>
      <c r="I77" s="2">
        <f t="shared" si="5"/>
        <v>166.88486972928251</v>
      </c>
      <c r="K77">
        <v>83.75</v>
      </c>
      <c r="L77">
        <v>3435.2359999999999</v>
      </c>
      <c r="M77">
        <v>3663.4290000000001</v>
      </c>
      <c r="N77">
        <v>3491.0520000000001</v>
      </c>
      <c r="O77">
        <v>3727.6280000000002</v>
      </c>
      <c r="P77">
        <v>3855.93</v>
      </c>
      <c r="R77" s="3">
        <f t="shared" si="6"/>
        <v>3634.6550000000002</v>
      </c>
      <c r="S77" s="3">
        <f t="shared" si="7"/>
        <v>77.079279511422513</v>
      </c>
    </row>
    <row r="78" spans="1:19" x14ac:dyDescent="0.25">
      <c r="A78">
        <v>85</v>
      </c>
      <c r="B78">
        <v>4562.3720000000003</v>
      </c>
      <c r="C78">
        <v>4216.17</v>
      </c>
      <c r="D78">
        <v>3355.4209999999998</v>
      </c>
      <c r="E78">
        <v>4541.3860000000004</v>
      </c>
      <c r="F78">
        <v>3487.8440000000001</v>
      </c>
      <c r="H78" s="2">
        <f t="shared" si="4"/>
        <v>4032.6386000000007</v>
      </c>
      <c r="I78" s="2">
        <f t="shared" si="5"/>
        <v>257.73532943769715</v>
      </c>
      <c r="K78">
        <v>85</v>
      </c>
      <c r="L78">
        <v>4304.2860000000001</v>
      </c>
      <c r="M78">
        <v>4547.8360000000002</v>
      </c>
      <c r="N78">
        <v>4418.2430000000004</v>
      </c>
      <c r="O78">
        <v>4556.8890000000001</v>
      </c>
      <c r="P78">
        <v>4752.7049999999999</v>
      </c>
      <c r="R78" s="3">
        <f t="shared" si="6"/>
        <v>4515.9918000000007</v>
      </c>
      <c r="S78" s="3">
        <f t="shared" si="7"/>
        <v>75.1977216246609</v>
      </c>
    </row>
    <row r="79" spans="1:19" x14ac:dyDescent="0.25">
      <c r="A79">
        <v>86.25</v>
      </c>
      <c r="B79">
        <v>4821.857</v>
      </c>
      <c r="C79">
        <v>4495.84</v>
      </c>
      <c r="D79">
        <v>3389.9</v>
      </c>
      <c r="E79">
        <v>4810.1019999999999</v>
      </c>
      <c r="F79">
        <v>3528.18</v>
      </c>
      <c r="H79" s="2">
        <f t="shared" si="4"/>
        <v>4209.1758</v>
      </c>
      <c r="I79" s="2">
        <f t="shared" si="5"/>
        <v>312.54079976259112</v>
      </c>
      <c r="K79">
        <v>86.25</v>
      </c>
      <c r="L79">
        <v>4481.3100000000004</v>
      </c>
      <c r="M79">
        <v>4778.5810000000001</v>
      </c>
      <c r="N79">
        <v>4651.5889999999999</v>
      </c>
      <c r="O79">
        <v>4832.8500000000004</v>
      </c>
      <c r="P79">
        <v>4987.1120000000001</v>
      </c>
      <c r="R79" s="3">
        <f t="shared" si="6"/>
        <v>4746.2884000000004</v>
      </c>
      <c r="S79" s="3">
        <f t="shared" si="7"/>
        <v>85.356094613448633</v>
      </c>
    </row>
    <row r="80" spans="1:19" x14ac:dyDescent="0.25">
      <c r="A80">
        <v>87.5</v>
      </c>
      <c r="B80">
        <v>4262.2510000000002</v>
      </c>
      <c r="C80">
        <v>4118.4979999999996</v>
      </c>
      <c r="D80">
        <v>2994.7919999999999</v>
      </c>
      <c r="E80">
        <v>4325.1419999999998</v>
      </c>
      <c r="F80">
        <v>3052.0189999999998</v>
      </c>
      <c r="H80" s="2">
        <f t="shared" si="4"/>
        <v>3750.5403999999994</v>
      </c>
      <c r="I80" s="2">
        <f t="shared" si="5"/>
        <v>298.87249142679741</v>
      </c>
      <c r="K80">
        <v>87.5</v>
      </c>
      <c r="L80">
        <v>3982.9760000000001</v>
      </c>
      <c r="M80">
        <v>4272.1390000000001</v>
      </c>
      <c r="N80">
        <v>4144.9889999999996</v>
      </c>
      <c r="O80">
        <v>4456.0450000000001</v>
      </c>
      <c r="P80">
        <v>4457.4229999999998</v>
      </c>
      <c r="R80" s="3">
        <f t="shared" si="6"/>
        <v>4262.7143999999989</v>
      </c>
      <c r="S80" s="3">
        <f t="shared" si="7"/>
        <v>91.512246485156282</v>
      </c>
    </row>
    <row r="81" spans="1:19" x14ac:dyDescent="0.25">
      <c r="A81">
        <v>88.75</v>
      </c>
      <c r="B81">
        <v>3416.1590000000001</v>
      </c>
      <c r="C81">
        <v>3426.7020000000002</v>
      </c>
      <c r="D81">
        <v>2542.558</v>
      </c>
      <c r="E81">
        <v>3463.6750000000002</v>
      </c>
      <c r="F81">
        <v>2555.299</v>
      </c>
      <c r="H81" s="2">
        <f t="shared" si="4"/>
        <v>3080.8786</v>
      </c>
      <c r="I81" s="2">
        <f t="shared" si="5"/>
        <v>217.32036706038406</v>
      </c>
      <c r="K81">
        <v>88.75</v>
      </c>
      <c r="L81">
        <v>3223.2669999999998</v>
      </c>
      <c r="M81">
        <v>3459.7809999999999</v>
      </c>
      <c r="N81">
        <v>3356.7359999999999</v>
      </c>
      <c r="O81">
        <v>3621.1990000000001</v>
      </c>
      <c r="P81">
        <v>3568.7</v>
      </c>
      <c r="R81" s="3">
        <f t="shared" si="6"/>
        <v>3445.9366</v>
      </c>
      <c r="S81" s="3">
        <f t="shared" si="7"/>
        <v>71.943702451708745</v>
      </c>
    </row>
    <row r="82" spans="1:19" x14ac:dyDescent="0.25">
      <c r="A82">
        <v>90</v>
      </c>
      <c r="B82">
        <v>3102.6280000000002</v>
      </c>
      <c r="C82">
        <v>3042.8470000000002</v>
      </c>
      <c r="D82">
        <v>2414.3429999999998</v>
      </c>
      <c r="E82">
        <v>3112.7559999999999</v>
      </c>
      <c r="F82">
        <v>2415.1379999999999</v>
      </c>
      <c r="H82" s="2">
        <f t="shared" si="4"/>
        <v>2817.5423999999998</v>
      </c>
      <c r="I82" s="2">
        <f t="shared" si="5"/>
        <v>164.87663403787826</v>
      </c>
      <c r="K82">
        <v>90</v>
      </c>
      <c r="L82">
        <v>2967.73</v>
      </c>
      <c r="M82">
        <v>3137.873</v>
      </c>
      <c r="N82">
        <v>2992.2069999999999</v>
      </c>
      <c r="O82">
        <v>3164.9450000000002</v>
      </c>
      <c r="P82">
        <v>3202.7849999999999</v>
      </c>
      <c r="R82" s="3">
        <f t="shared" si="6"/>
        <v>3093.1079999999997</v>
      </c>
      <c r="S82" s="3">
        <f t="shared" si="7"/>
        <v>47.483765019214722</v>
      </c>
    </row>
    <row r="83" spans="1:19" x14ac:dyDescent="0.25">
      <c r="A83">
        <v>91.25</v>
      </c>
      <c r="B83">
        <v>3588.0410000000002</v>
      </c>
      <c r="C83">
        <v>3341.4969999999998</v>
      </c>
      <c r="D83">
        <v>2576.3710000000001</v>
      </c>
      <c r="E83">
        <v>3559.4070000000002</v>
      </c>
      <c r="F83">
        <v>2584.0450000000001</v>
      </c>
      <c r="H83" s="2">
        <f t="shared" si="4"/>
        <v>3129.8721999999998</v>
      </c>
      <c r="I83" s="2">
        <f t="shared" si="5"/>
        <v>228.41790213781513</v>
      </c>
      <c r="K83">
        <v>91.25</v>
      </c>
      <c r="L83">
        <v>3314.15</v>
      </c>
      <c r="M83">
        <v>3505.9760000000001</v>
      </c>
      <c r="N83">
        <v>3390.0940000000001</v>
      </c>
      <c r="O83">
        <v>3452.123</v>
      </c>
      <c r="P83">
        <v>3625.489</v>
      </c>
      <c r="R83" s="3">
        <f t="shared" si="6"/>
        <v>3457.5664000000006</v>
      </c>
      <c r="S83" s="3">
        <f t="shared" si="7"/>
        <v>52.769265731673762</v>
      </c>
    </row>
    <row r="84" spans="1:19" x14ac:dyDescent="0.25">
      <c r="A84">
        <v>92.5</v>
      </c>
      <c r="B84">
        <v>4152.808</v>
      </c>
      <c r="C84">
        <v>3767.0439999999999</v>
      </c>
      <c r="D84">
        <v>2805.9859999999999</v>
      </c>
      <c r="E84">
        <v>4064.6770000000001</v>
      </c>
      <c r="F84">
        <v>2792.9659999999999</v>
      </c>
      <c r="H84" s="2">
        <f t="shared" si="4"/>
        <v>3516.6961999999999</v>
      </c>
      <c r="I84" s="2">
        <f t="shared" si="5"/>
        <v>299.70732315117067</v>
      </c>
      <c r="K84">
        <v>92.5</v>
      </c>
      <c r="L84">
        <v>3725.29</v>
      </c>
      <c r="M84">
        <v>4014.9769999999999</v>
      </c>
      <c r="N84">
        <v>3887.9690000000001</v>
      </c>
      <c r="O84">
        <v>3934.28</v>
      </c>
      <c r="P84">
        <v>4155.0309999999999</v>
      </c>
      <c r="R84" s="3">
        <f t="shared" si="6"/>
        <v>3943.5094000000004</v>
      </c>
      <c r="S84" s="3">
        <f t="shared" si="7"/>
        <v>70.936108403689573</v>
      </c>
    </row>
    <row r="85" spans="1:19" x14ac:dyDescent="0.25">
      <c r="A85">
        <v>93.75</v>
      </c>
      <c r="B85">
        <v>4292.1570000000002</v>
      </c>
      <c r="C85">
        <v>3968.8710000000001</v>
      </c>
      <c r="D85">
        <v>3017.518</v>
      </c>
      <c r="E85">
        <v>4272.5550000000003</v>
      </c>
      <c r="F85">
        <v>2976.7179999999998</v>
      </c>
      <c r="H85" s="2">
        <f t="shared" si="4"/>
        <v>3705.5637999999999</v>
      </c>
      <c r="I85" s="2">
        <f t="shared" si="5"/>
        <v>294.91731958388067</v>
      </c>
      <c r="K85">
        <v>93.75</v>
      </c>
      <c r="L85">
        <v>3871.5619999999999</v>
      </c>
      <c r="M85">
        <v>4232.3329999999996</v>
      </c>
      <c r="N85">
        <v>4141.1419999999998</v>
      </c>
      <c r="O85">
        <v>4201.4750000000004</v>
      </c>
      <c r="P85">
        <v>4393.0129999999999</v>
      </c>
      <c r="R85" s="3">
        <f t="shared" si="6"/>
        <v>4167.9050000000007</v>
      </c>
      <c r="S85" s="3">
        <f t="shared" si="7"/>
        <v>84.996163315175579</v>
      </c>
    </row>
    <row r="86" spans="1:19" x14ac:dyDescent="0.25">
      <c r="A86">
        <v>95</v>
      </c>
      <c r="B86">
        <v>4098.2359999999999</v>
      </c>
      <c r="C86">
        <v>3935.7130000000002</v>
      </c>
      <c r="D86">
        <v>3243.17</v>
      </c>
      <c r="E86">
        <v>4124.2870000000003</v>
      </c>
      <c r="F86">
        <v>3187.172</v>
      </c>
      <c r="H86" s="2">
        <f t="shared" si="4"/>
        <v>3717.7156000000004</v>
      </c>
      <c r="I86" s="2">
        <f t="shared" si="5"/>
        <v>207.88085319494843</v>
      </c>
      <c r="K86">
        <v>95</v>
      </c>
      <c r="L86">
        <v>3757.0479999999998</v>
      </c>
      <c r="M86">
        <v>4118.634</v>
      </c>
      <c r="N86">
        <v>4078.1709999999998</v>
      </c>
      <c r="O86">
        <v>4172.085</v>
      </c>
      <c r="P86">
        <v>4285.9219999999996</v>
      </c>
      <c r="R86" s="3">
        <f t="shared" si="6"/>
        <v>4082.3719999999994</v>
      </c>
      <c r="S86" s="3">
        <f t="shared" si="7"/>
        <v>88.501217757158557</v>
      </c>
    </row>
    <row r="87" spans="1:19" x14ac:dyDescent="0.25">
      <c r="A87">
        <v>96.25</v>
      </c>
      <c r="B87">
        <v>3917.2570000000001</v>
      </c>
      <c r="C87">
        <v>3905.7179999999998</v>
      </c>
      <c r="D87">
        <v>3550.8449999999998</v>
      </c>
      <c r="E87">
        <v>3981.8620000000001</v>
      </c>
      <c r="F87">
        <v>3440.8719999999998</v>
      </c>
      <c r="H87" s="2">
        <f t="shared" si="4"/>
        <v>3759.3108000000002</v>
      </c>
      <c r="I87" s="2">
        <f t="shared" si="5"/>
        <v>109.72063753979927</v>
      </c>
      <c r="K87">
        <v>96.25</v>
      </c>
      <c r="L87">
        <v>3760.9490000000001</v>
      </c>
      <c r="M87">
        <v>4038.0540000000001</v>
      </c>
      <c r="N87">
        <v>4000.0709999999999</v>
      </c>
      <c r="O87">
        <v>4092.2289999999998</v>
      </c>
      <c r="P87">
        <v>4146.3509999999997</v>
      </c>
      <c r="R87" s="3">
        <f t="shared" si="6"/>
        <v>4007.5307999999995</v>
      </c>
      <c r="S87" s="3">
        <f t="shared" si="7"/>
        <v>66.420904637320263</v>
      </c>
    </row>
    <row r="88" spans="1:19" x14ac:dyDescent="0.25">
      <c r="A88">
        <v>97.5</v>
      </c>
      <c r="B88">
        <v>4072.5230000000001</v>
      </c>
      <c r="C88">
        <v>4120.7569999999996</v>
      </c>
      <c r="D88">
        <v>3925.5520000000001</v>
      </c>
      <c r="E88">
        <v>4112.6790000000001</v>
      </c>
      <c r="F88">
        <v>3778.038</v>
      </c>
      <c r="H88" s="2">
        <f t="shared" si="4"/>
        <v>4001.9097999999999</v>
      </c>
      <c r="I88" s="2">
        <f t="shared" si="5"/>
        <v>66.07941929481521</v>
      </c>
      <c r="K88">
        <v>97.5</v>
      </c>
      <c r="L88">
        <v>4023.59</v>
      </c>
      <c r="M88">
        <v>4273.75</v>
      </c>
      <c r="N88">
        <v>4173.723</v>
      </c>
      <c r="O88">
        <v>4291.0940000000001</v>
      </c>
      <c r="P88">
        <v>4271.875</v>
      </c>
      <c r="R88" s="3">
        <f t="shared" si="6"/>
        <v>4206.8063999999995</v>
      </c>
      <c r="S88" s="3">
        <f t="shared" si="7"/>
        <v>50.24068490038723</v>
      </c>
    </row>
    <row r="89" spans="1:19" x14ac:dyDescent="0.25">
      <c r="A89">
        <v>98.75</v>
      </c>
      <c r="B89">
        <v>4421.4949999999999</v>
      </c>
      <c r="C89">
        <v>4415.7389999999996</v>
      </c>
      <c r="D89">
        <v>4188.027</v>
      </c>
      <c r="E89">
        <v>4437.232</v>
      </c>
      <c r="F89">
        <v>4052.02</v>
      </c>
      <c r="H89" s="2">
        <f t="shared" si="4"/>
        <v>4302.9026000000003</v>
      </c>
      <c r="I89" s="2">
        <f t="shared" si="5"/>
        <v>77.775021911022264</v>
      </c>
      <c r="K89">
        <v>98.75</v>
      </c>
      <c r="L89">
        <v>4387.5450000000001</v>
      </c>
      <c r="M89">
        <v>4604.0360000000001</v>
      </c>
      <c r="N89">
        <v>4523.2939999999999</v>
      </c>
      <c r="O89">
        <v>4598.8540000000003</v>
      </c>
      <c r="P89">
        <v>4596.1030000000001</v>
      </c>
      <c r="R89" s="3">
        <f t="shared" si="6"/>
        <v>4541.9663999999993</v>
      </c>
      <c r="S89" s="3">
        <f t="shared" si="7"/>
        <v>41.360750136572733</v>
      </c>
    </row>
    <row r="90" spans="1:19" x14ac:dyDescent="0.25">
      <c r="A90">
        <v>100</v>
      </c>
      <c r="B90">
        <v>4539.7889999999998</v>
      </c>
      <c r="C90">
        <v>4504.0290000000005</v>
      </c>
      <c r="D90">
        <v>4170.643</v>
      </c>
      <c r="E90">
        <v>4619.3370000000004</v>
      </c>
      <c r="F90">
        <v>4102.7349999999997</v>
      </c>
      <c r="H90" s="2">
        <f t="shared" si="4"/>
        <v>4387.3065999999999</v>
      </c>
      <c r="I90" s="2">
        <f t="shared" si="5"/>
        <v>104.55553992668212</v>
      </c>
      <c r="K90">
        <v>100</v>
      </c>
      <c r="L90">
        <v>4505.2</v>
      </c>
      <c r="M90">
        <v>4706.1120000000001</v>
      </c>
      <c r="N90">
        <v>4605.4470000000001</v>
      </c>
      <c r="O90">
        <v>4751.0429999999997</v>
      </c>
      <c r="P90">
        <v>4753.6670000000004</v>
      </c>
      <c r="R90" s="3">
        <f t="shared" si="6"/>
        <v>4664.2938000000004</v>
      </c>
      <c r="S90" s="3">
        <f t="shared" si="7"/>
        <v>47.976836858425784</v>
      </c>
    </row>
    <row r="91" spans="1:19" x14ac:dyDescent="0.25">
      <c r="A91">
        <v>101.25</v>
      </c>
      <c r="B91">
        <v>4411.6170000000002</v>
      </c>
      <c r="C91">
        <v>4328.5230000000001</v>
      </c>
      <c r="D91">
        <v>3923.4079999999999</v>
      </c>
      <c r="E91">
        <v>4506.5169999999998</v>
      </c>
      <c r="F91">
        <v>3924.7629999999999</v>
      </c>
      <c r="H91" s="2">
        <f t="shared" si="4"/>
        <v>4218.9655999999995</v>
      </c>
      <c r="I91" s="2">
        <f t="shared" si="5"/>
        <v>123.63507961399954</v>
      </c>
      <c r="K91">
        <v>101.25</v>
      </c>
      <c r="L91">
        <v>4328.2060000000001</v>
      </c>
      <c r="M91">
        <v>4523.768</v>
      </c>
      <c r="N91">
        <v>4375.3459999999995</v>
      </c>
      <c r="O91">
        <v>4624.9830000000002</v>
      </c>
      <c r="P91">
        <v>4627.8149999999996</v>
      </c>
      <c r="R91" s="3">
        <f t="shared" si="6"/>
        <v>4496.0235999999995</v>
      </c>
      <c r="S91" s="3">
        <f t="shared" si="7"/>
        <v>62.247522723880344</v>
      </c>
    </row>
    <row r="92" spans="1:19" x14ac:dyDescent="0.25">
      <c r="A92">
        <v>102.5</v>
      </c>
      <c r="B92">
        <v>4161.8190000000004</v>
      </c>
      <c r="C92">
        <v>4003.6280000000002</v>
      </c>
      <c r="D92">
        <v>3576.0639999999999</v>
      </c>
      <c r="E92">
        <v>4211.0529999999999</v>
      </c>
      <c r="F92">
        <v>3589.3159999999998</v>
      </c>
      <c r="H92" s="2">
        <f t="shared" si="4"/>
        <v>3908.3760000000002</v>
      </c>
      <c r="I92" s="2">
        <f t="shared" si="5"/>
        <v>137.32265163220529</v>
      </c>
      <c r="K92">
        <v>102.5</v>
      </c>
      <c r="L92">
        <v>3976.922</v>
      </c>
      <c r="M92">
        <v>4184.317</v>
      </c>
      <c r="N92">
        <v>4001.0369999999998</v>
      </c>
      <c r="O92">
        <v>4308.8410000000003</v>
      </c>
      <c r="P92">
        <v>4312.0360000000001</v>
      </c>
      <c r="R92" s="3">
        <f t="shared" si="6"/>
        <v>4156.6305999999995</v>
      </c>
      <c r="S92" s="3">
        <f t="shared" si="7"/>
        <v>72.315257808155593</v>
      </c>
    </row>
    <row r="93" spans="1:19" x14ac:dyDescent="0.25">
      <c r="A93">
        <v>103.75</v>
      </c>
      <c r="B93">
        <v>3840.3980000000001</v>
      </c>
      <c r="C93">
        <v>3607.6219999999998</v>
      </c>
      <c r="D93">
        <v>3191.5740000000001</v>
      </c>
      <c r="E93">
        <v>3788.5540000000001</v>
      </c>
      <c r="F93">
        <v>3181.9940000000001</v>
      </c>
      <c r="H93" s="2">
        <f t="shared" si="4"/>
        <v>3522.0284000000001</v>
      </c>
      <c r="I93" s="2">
        <f t="shared" si="5"/>
        <v>142.22251328168826</v>
      </c>
      <c r="K93">
        <v>103.75</v>
      </c>
      <c r="L93">
        <v>3541.6680000000001</v>
      </c>
      <c r="M93">
        <v>3756.5079999999998</v>
      </c>
      <c r="N93">
        <v>3565.422</v>
      </c>
      <c r="O93">
        <v>3896.3780000000002</v>
      </c>
      <c r="P93">
        <v>3869.3339999999998</v>
      </c>
      <c r="R93" s="3">
        <f t="shared" si="6"/>
        <v>3725.8620000000001</v>
      </c>
      <c r="S93" s="3">
        <f t="shared" si="7"/>
        <v>74.252111617111595</v>
      </c>
    </row>
    <row r="94" spans="1:19" x14ac:dyDescent="0.25">
      <c r="A94">
        <v>105</v>
      </c>
      <c r="B94">
        <v>3512.8939999999998</v>
      </c>
      <c r="C94">
        <v>3234.9560000000001</v>
      </c>
      <c r="D94">
        <v>2886.4270000000001</v>
      </c>
      <c r="E94">
        <v>3392.6709999999998</v>
      </c>
      <c r="F94">
        <v>2839.2869999999998</v>
      </c>
      <c r="H94" s="2">
        <f t="shared" si="4"/>
        <v>3173.2470000000003</v>
      </c>
      <c r="I94" s="2">
        <f t="shared" si="5"/>
        <v>134.37075036368589</v>
      </c>
      <c r="K94">
        <v>105</v>
      </c>
      <c r="L94">
        <v>3171.9549999999999</v>
      </c>
      <c r="M94">
        <v>3357.9969999999998</v>
      </c>
      <c r="N94">
        <v>3190.1619999999998</v>
      </c>
      <c r="O94">
        <v>3482.335</v>
      </c>
      <c r="P94">
        <v>3451.4169999999999</v>
      </c>
      <c r="R94" s="3">
        <f t="shared" si="6"/>
        <v>3330.7732000000005</v>
      </c>
      <c r="S94" s="3">
        <f t="shared" si="7"/>
        <v>64.522000589256393</v>
      </c>
    </row>
    <row r="95" spans="1:19" x14ac:dyDescent="0.25">
      <c r="A95">
        <v>106.25</v>
      </c>
      <c r="B95">
        <v>3278.9670000000001</v>
      </c>
      <c r="C95">
        <v>2955.26</v>
      </c>
      <c r="D95">
        <v>2665.7379999999998</v>
      </c>
      <c r="E95">
        <v>3129.4459999999999</v>
      </c>
      <c r="F95">
        <v>2601.0949999999998</v>
      </c>
      <c r="H95" s="2">
        <f t="shared" si="4"/>
        <v>2926.1012000000001</v>
      </c>
      <c r="I95" s="2">
        <f t="shared" si="5"/>
        <v>130.40928687536027</v>
      </c>
      <c r="K95">
        <v>106.25</v>
      </c>
      <c r="L95">
        <v>2926.837</v>
      </c>
      <c r="M95">
        <v>3068.9879999999998</v>
      </c>
      <c r="N95">
        <v>2929.7869999999998</v>
      </c>
      <c r="O95">
        <v>3172.2130000000002</v>
      </c>
      <c r="P95">
        <v>3144.6860000000001</v>
      </c>
      <c r="R95" s="3">
        <f t="shared" si="6"/>
        <v>3048.5021999999999</v>
      </c>
      <c r="S95" s="3">
        <f t="shared" si="7"/>
        <v>51.899457137238009</v>
      </c>
    </row>
    <row r="96" spans="1:19" x14ac:dyDescent="0.25">
      <c r="A96">
        <v>107.5</v>
      </c>
      <c r="B96">
        <v>3082.3270000000002</v>
      </c>
      <c r="C96">
        <v>2732.502</v>
      </c>
      <c r="D96">
        <v>2457.4490000000001</v>
      </c>
      <c r="E96">
        <v>2898.442</v>
      </c>
      <c r="F96">
        <v>2400.7550000000001</v>
      </c>
      <c r="H96" s="2">
        <f t="shared" si="4"/>
        <v>2714.2950000000005</v>
      </c>
      <c r="I96" s="2">
        <f t="shared" si="5"/>
        <v>129.22197274418929</v>
      </c>
      <c r="K96">
        <v>107.5</v>
      </c>
      <c r="L96">
        <v>2693.4870000000001</v>
      </c>
      <c r="M96">
        <v>2823.43</v>
      </c>
      <c r="N96">
        <v>2688.79</v>
      </c>
      <c r="O96">
        <v>2927.46</v>
      </c>
      <c r="P96">
        <v>2890.431</v>
      </c>
      <c r="R96" s="3">
        <f t="shared" si="6"/>
        <v>2804.7195999999994</v>
      </c>
      <c r="S96" s="3">
        <f t="shared" si="7"/>
        <v>49.281889375915767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BRIGHT!OCT_RAW___\AD11\_dark_profiles_AD11_DARK</vt:lpstr>
      <vt:lpstr>BRIGHT!OCT_RAW___\AD11\_light_profiles_AD11_LIGHT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2019-11-17T02:13:08Z</dcterms:modified>
</cp:coreProperties>
</file>