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YA211\"/>
    </mc:Choice>
  </mc:AlternateContent>
  <xr:revisionPtr revIDLastSave="0" documentId="13_ncr:1_{A3B7B2FB-2480-4672-86C4-D99FD73DAD25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DIM" sheetId="1" r:id="rId1"/>
    <sheet name="BRIGHT" sheetId="2" r:id="rId2"/>
  </sheets>
  <definedNames>
    <definedName name="OCT_RAW___\YA05\_dark_profiles_YA05_DARK" localSheetId="1">BRIGHT!$A$2:$M$96</definedName>
    <definedName name="OCT_RAW___\YA05\_dark_profiles_YA05_DARK_dim" localSheetId="0">DIM!$A$2:$F$96</definedName>
    <definedName name="OCT_RAW___\YA05\_fovea_dark_profiles_YA05_DARK" localSheetId="1">BRIGHT!#REF!</definedName>
    <definedName name="OCT_RAW___\YA05\_fovea_dark_profiles_YA05_DARK_dim" localSheetId="0">DIM!#REF!</definedName>
    <definedName name="OCT_RAW___\YA05\_fovea_light_profiles_YA05_LIGHT" localSheetId="1">BRIGHT!#REF!</definedName>
    <definedName name="OCT_RAW___\YA05\_fovea_light_profiles_YA05_LIGHT_dim" localSheetId="0">DIM!#REF!</definedName>
    <definedName name="OCT_RAW___\YA05\_light_profiles_YA05_LIGHT" localSheetId="1">BRIGHT!$U$2:$AG$96</definedName>
    <definedName name="OCT_RAW___\YA05\_light_profiles_YA05_LIGHT_dim" localSheetId="0">DIM!$K$2:$O$96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96" i="2" l="1"/>
  <c r="AL96" i="2"/>
  <c r="S96" i="2"/>
  <c r="R96" i="2"/>
  <c r="AM95" i="2"/>
  <c r="AL95" i="2"/>
  <c r="S95" i="2"/>
  <c r="R95" i="2"/>
  <c r="AM94" i="2"/>
  <c r="AL94" i="2"/>
  <c r="S94" i="2"/>
  <c r="R94" i="2"/>
  <c r="AM93" i="2"/>
  <c r="AL93" i="2"/>
  <c r="S93" i="2"/>
  <c r="R93" i="2"/>
  <c r="AM92" i="2"/>
  <c r="AL92" i="2"/>
  <c r="S92" i="2"/>
  <c r="R92" i="2"/>
  <c r="AM91" i="2"/>
  <c r="AL91" i="2"/>
  <c r="S91" i="2"/>
  <c r="R91" i="2"/>
  <c r="AM90" i="2"/>
  <c r="AL90" i="2"/>
  <c r="S90" i="2"/>
  <c r="R90" i="2"/>
  <c r="AM89" i="2"/>
  <c r="AL89" i="2"/>
  <c r="S89" i="2"/>
  <c r="R89" i="2"/>
  <c r="AM88" i="2"/>
  <c r="AL88" i="2"/>
  <c r="S88" i="2"/>
  <c r="R88" i="2"/>
  <c r="AM87" i="2"/>
  <c r="AL87" i="2"/>
  <c r="S87" i="2"/>
  <c r="R87" i="2"/>
  <c r="AM86" i="2"/>
  <c r="AL86" i="2"/>
  <c r="S86" i="2"/>
  <c r="R86" i="2"/>
  <c r="AM85" i="2"/>
  <c r="AL85" i="2"/>
  <c r="S85" i="2"/>
  <c r="R85" i="2"/>
  <c r="AM84" i="2"/>
  <c r="AL84" i="2"/>
  <c r="S84" i="2"/>
  <c r="R84" i="2"/>
  <c r="AM83" i="2"/>
  <c r="AL83" i="2"/>
  <c r="S83" i="2"/>
  <c r="R83" i="2"/>
  <c r="AM82" i="2"/>
  <c r="AL82" i="2"/>
  <c r="S82" i="2"/>
  <c r="R82" i="2"/>
  <c r="AM81" i="2"/>
  <c r="AL81" i="2"/>
  <c r="S81" i="2"/>
  <c r="R81" i="2"/>
  <c r="AM80" i="2"/>
  <c r="AL80" i="2"/>
  <c r="S80" i="2"/>
  <c r="R80" i="2"/>
  <c r="AM79" i="2"/>
  <c r="AL79" i="2"/>
  <c r="S79" i="2"/>
  <c r="R79" i="2"/>
  <c r="AM78" i="2"/>
  <c r="AL78" i="2"/>
  <c r="S78" i="2"/>
  <c r="R78" i="2"/>
  <c r="AM77" i="2"/>
  <c r="AL77" i="2"/>
  <c r="S77" i="2"/>
  <c r="R77" i="2"/>
  <c r="AM76" i="2"/>
  <c r="AL76" i="2"/>
  <c r="S76" i="2"/>
  <c r="R76" i="2"/>
  <c r="AM75" i="2"/>
  <c r="AL75" i="2"/>
  <c r="S75" i="2"/>
  <c r="R75" i="2"/>
  <c r="AM74" i="2"/>
  <c r="AL74" i="2"/>
  <c r="S74" i="2"/>
  <c r="R74" i="2"/>
  <c r="AM73" i="2"/>
  <c r="AL73" i="2"/>
  <c r="S73" i="2"/>
  <c r="R73" i="2"/>
  <c r="AM72" i="2"/>
  <c r="AL72" i="2"/>
  <c r="S72" i="2"/>
  <c r="R72" i="2"/>
  <c r="AM71" i="2"/>
  <c r="AL71" i="2"/>
  <c r="S71" i="2"/>
  <c r="R71" i="2"/>
  <c r="AM70" i="2"/>
  <c r="AL70" i="2"/>
  <c r="S70" i="2"/>
  <c r="R70" i="2"/>
  <c r="AM69" i="2"/>
  <c r="AL69" i="2"/>
  <c r="S69" i="2"/>
  <c r="R69" i="2"/>
  <c r="AM68" i="2"/>
  <c r="AL68" i="2"/>
  <c r="S68" i="2"/>
  <c r="R68" i="2"/>
  <c r="AM67" i="2"/>
  <c r="AL67" i="2"/>
  <c r="S67" i="2"/>
  <c r="R67" i="2"/>
  <c r="AM66" i="2"/>
  <c r="AL66" i="2"/>
  <c r="S66" i="2"/>
  <c r="R66" i="2"/>
  <c r="AM65" i="2"/>
  <c r="AL65" i="2"/>
  <c r="S65" i="2"/>
  <c r="R65" i="2"/>
  <c r="AM64" i="2"/>
  <c r="AL64" i="2"/>
  <c r="S64" i="2"/>
  <c r="R64" i="2"/>
  <c r="AM63" i="2"/>
  <c r="AL63" i="2"/>
  <c r="S63" i="2"/>
  <c r="R63" i="2"/>
  <c r="AM62" i="2"/>
  <c r="AL62" i="2"/>
  <c r="S62" i="2"/>
  <c r="R62" i="2"/>
  <c r="AM61" i="2"/>
  <c r="AL61" i="2"/>
  <c r="S61" i="2"/>
  <c r="R61" i="2"/>
  <c r="AM60" i="2"/>
  <c r="AL60" i="2"/>
  <c r="S60" i="2"/>
  <c r="R60" i="2"/>
  <c r="AM59" i="2"/>
  <c r="AL59" i="2"/>
  <c r="S59" i="2"/>
  <c r="R59" i="2"/>
  <c r="AM58" i="2"/>
  <c r="AL58" i="2"/>
  <c r="S58" i="2"/>
  <c r="R58" i="2"/>
  <c r="AM57" i="2"/>
  <c r="AL57" i="2"/>
  <c r="S57" i="2"/>
  <c r="R57" i="2"/>
  <c r="AM56" i="2"/>
  <c r="AL56" i="2"/>
  <c r="S56" i="2"/>
  <c r="R56" i="2"/>
  <c r="AM55" i="2"/>
  <c r="AL55" i="2"/>
  <c r="S55" i="2"/>
  <c r="R55" i="2"/>
  <c r="AM54" i="2"/>
  <c r="AL54" i="2"/>
  <c r="S54" i="2"/>
  <c r="R54" i="2"/>
  <c r="AM53" i="2"/>
  <c r="AL53" i="2"/>
  <c r="S53" i="2"/>
  <c r="R53" i="2"/>
  <c r="AM52" i="2"/>
  <c r="AL52" i="2"/>
  <c r="S52" i="2"/>
  <c r="R52" i="2"/>
  <c r="AM51" i="2"/>
  <c r="AL51" i="2"/>
  <c r="S51" i="2"/>
  <c r="R51" i="2"/>
  <c r="AM50" i="2"/>
  <c r="AL50" i="2"/>
  <c r="S50" i="2"/>
  <c r="R50" i="2"/>
  <c r="AM49" i="2"/>
  <c r="AL49" i="2"/>
  <c r="S49" i="2"/>
  <c r="R49" i="2"/>
  <c r="AM48" i="2"/>
  <c r="AL48" i="2"/>
  <c r="S48" i="2"/>
  <c r="R48" i="2"/>
  <c r="AM47" i="2"/>
  <c r="AL47" i="2"/>
  <c r="S47" i="2"/>
  <c r="R47" i="2"/>
  <c r="AM46" i="2"/>
  <c r="AL46" i="2"/>
  <c r="S46" i="2"/>
  <c r="R46" i="2"/>
  <c r="AM45" i="2"/>
  <c r="AL45" i="2"/>
  <c r="S45" i="2"/>
  <c r="R45" i="2"/>
  <c r="AM44" i="2"/>
  <c r="AL44" i="2"/>
  <c r="S44" i="2"/>
  <c r="R44" i="2"/>
  <c r="AM43" i="2"/>
  <c r="AL43" i="2"/>
  <c r="S43" i="2"/>
  <c r="R43" i="2"/>
  <c r="AM42" i="2"/>
  <c r="AL42" i="2"/>
  <c r="S42" i="2"/>
  <c r="R42" i="2"/>
  <c r="AM41" i="2"/>
  <c r="AL41" i="2"/>
  <c r="S41" i="2"/>
  <c r="R41" i="2"/>
  <c r="AM40" i="2"/>
  <c r="AL40" i="2"/>
  <c r="S40" i="2"/>
  <c r="R40" i="2"/>
  <c r="AM39" i="2"/>
  <c r="AL39" i="2"/>
  <c r="S39" i="2"/>
  <c r="R39" i="2"/>
  <c r="AM38" i="2"/>
  <c r="AL38" i="2"/>
  <c r="S38" i="2"/>
  <c r="R38" i="2"/>
  <c r="AM37" i="2"/>
  <c r="AL37" i="2"/>
  <c r="S37" i="2"/>
  <c r="R37" i="2"/>
  <c r="AM36" i="2"/>
  <c r="AL36" i="2"/>
  <c r="S36" i="2"/>
  <c r="R36" i="2"/>
  <c r="AM35" i="2"/>
  <c r="AL35" i="2"/>
  <c r="S35" i="2"/>
  <c r="R35" i="2"/>
  <c r="AM34" i="2"/>
  <c r="AL34" i="2"/>
  <c r="S34" i="2"/>
  <c r="R34" i="2"/>
  <c r="AM33" i="2"/>
  <c r="AL33" i="2"/>
  <c r="S33" i="2"/>
  <c r="R33" i="2"/>
  <c r="AM32" i="2"/>
  <c r="AL32" i="2"/>
  <c r="S32" i="2"/>
  <c r="R32" i="2"/>
  <c r="AM31" i="2"/>
  <c r="AL31" i="2"/>
  <c r="S31" i="2"/>
  <c r="R31" i="2"/>
  <c r="AM30" i="2"/>
  <c r="AL30" i="2"/>
  <c r="S30" i="2"/>
  <c r="R30" i="2"/>
  <c r="AM29" i="2"/>
  <c r="AL29" i="2"/>
  <c r="S29" i="2"/>
  <c r="R29" i="2"/>
  <c r="AM28" i="2"/>
  <c r="AL28" i="2"/>
  <c r="S28" i="2"/>
  <c r="R28" i="2"/>
  <c r="AM27" i="2"/>
  <c r="AL27" i="2"/>
  <c r="S27" i="2"/>
  <c r="R27" i="2"/>
  <c r="AM26" i="2"/>
  <c r="AL26" i="2"/>
  <c r="S26" i="2"/>
  <c r="R26" i="2"/>
  <c r="AM25" i="2"/>
  <c r="AL25" i="2"/>
  <c r="S25" i="2"/>
  <c r="R25" i="2"/>
  <c r="AM24" i="2"/>
  <c r="AL24" i="2"/>
  <c r="S24" i="2"/>
  <c r="R24" i="2"/>
  <c r="AM23" i="2"/>
  <c r="AL23" i="2"/>
  <c r="S23" i="2"/>
  <c r="R23" i="2"/>
  <c r="AM22" i="2"/>
  <c r="AL22" i="2"/>
  <c r="S22" i="2"/>
  <c r="R22" i="2"/>
  <c r="AM21" i="2"/>
  <c r="AL21" i="2"/>
  <c r="S21" i="2"/>
  <c r="R21" i="2"/>
  <c r="AM20" i="2"/>
  <c r="AL20" i="2"/>
  <c r="S20" i="2"/>
  <c r="R20" i="2"/>
  <c r="AM19" i="2"/>
  <c r="AL19" i="2"/>
  <c r="S19" i="2"/>
  <c r="R19" i="2"/>
  <c r="AM18" i="2"/>
  <c r="AL18" i="2"/>
  <c r="S18" i="2"/>
  <c r="R18" i="2"/>
  <c r="AM17" i="2"/>
  <c r="AL17" i="2"/>
  <c r="S17" i="2"/>
  <c r="R17" i="2"/>
  <c r="AM16" i="2"/>
  <c r="AL16" i="2"/>
  <c r="S16" i="2"/>
  <c r="R16" i="2"/>
  <c r="AM15" i="2"/>
  <c r="AL15" i="2"/>
  <c r="S15" i="2"/>
  <c r="R15" i="2"/>
  <c r="AM14" i="2"/>
  <c r="AL14" i="2"/>
  <c r="S14" i="2"/>
  <c r="R14" i="2"/>
  <c r="AM13" i="2"/>
  <c r="AL13" i="2"/>
  <c r="S13" i="2"/>
  <c r="R13" i="2"/>
  <c r="AM12" i="2"/>
  <c r="AL12" i="2"/>
  <c r="S12" i="2"/>
  <c r="R12" i="2"/>
  <c r="AM11" i="2"/>
  <c r="AL11" i="2"/>
  <c r="S11" i="2"/>
  <c r="R11" i="2"/>
  <c r="AM10" i="2"/>
  <c r="AL10" i="2"/>
  <c r="S10" i="2"/>
  <c r="R10" i="2"/>
  <c r="AM9" i="2"/>
  <c r="AL9" i="2"/>
  <c r="S9" i="2"/>
  <c r="R9" i="2"/>
  <c r="AM8" i="2"/>
  <c r="AL8" i="2"/>
  <c r="S8" i="2"/>
  <c r="R8" i="2"/>
  <c r="AM7" i="2"/>
  <c r="AL7" i="2"/>
  <c r="S7" i="2"/>
  <c r="R7" i="2"/>
  <c r="AM6" i="2"/>
  <c r="AL6" i="2"/>
  <c r="S6" i="2"/>
  <c r="R6" i="2"/>
  <c r="AM5" i="2"/>
  <c r="AL5" i="2"/>
  <c r="S5" i="2"/>
  <c r="R5" i="2"/>
  <c r="AM4" i="2"/>
  <c r="AL4" i="2"/>
  <c r="S4" i="2"/>
  <c r="R4" i="2"/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BB1B91-E9BA-4040-B9C6-E74F0C255FE6}" name="[[[OCT RAW]]]\YA05\_dark_profiles_YA05_DARK" type="6" refreshedVersion="6" background="1" saveData="1">
    <textPr codePage="437" sourceFile="E:\[Documents]\[[[OCT RAW]]]\YA05\_dark_profiles_YA05_DARK.txt" space="1" consecutive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6BCB375C-0905-40D2-B3EC-818C23B8E571}" name="[[[OCT RAW]]]\YA05\_dark_profiles_YA05_DARK-dim" type="6" refreshedVersion="6" background="1" saveData="1">
    <textPr codePage="437" sourceFile="E:\[Documents]\[[[OCT RAW]]]\YA05\_dark_profiles_YA05_DARK-dim.txt" space="1" consecutive="1">
      <textFields count="6">
        <textField/>
        <textField/>
        <textField/>
        <textField/>
        <textField/>
        <textField/>
      </textFields>
    </textPr>
  </connection>
  <connection id="3" xr16:uid="{5CBB2C96-CC4E-47EE-AAE2-242601230E56}" name="[[[OCT RAW]]]\YA05\_light_profiles_YA05_LIGHT" type="6" refreshedVersion="6" background="1" saveData="1">
    <textPr codePage="437" sourceFile="E:\[Documents]\[[[OCT RAW]]]\YA05\_light_profiles_YA05_LIGHT.txt" space="1" consecutive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7539AECC-517E-422F-B6AB-18E033503894}" name="[[[OCT RAW]]]\YA05\_light_profiles_YA05_LIGHT-dim" type="6" refreshedVersion="6" background="1" saveData="1">
    <textPr codePage="437" sourceFile="E:\[Documents]\[[[OCT RAW]]]\YA05\_light_profiles_YA05_LIGHT-dim.txt" space="1" consecutive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<sst xmlns="http://schemas.openxmlformats.org/spreadsheetml/2006/main" count="682" uniqueCount="11">
  <si>
    <t>angle</t>
  </si>
  <si>
    <t>whole</t>
  </si>
  <si>
    <t>RPEtoOLM</t>
  </si>
  <si>
    <t>RNFL</t>
  </si>
  <si>
    <t>DARK 500 microns to 2750 microns</t>
  </si>
  <si>
    <t>LIGHT 500 microns to 2750 microns</t>
  </si>
  <si>
    <t>NA</t>
  </si>
  <si>
    <t>YA211_DARK</t>
  </si>
  <si>
    <t>YA211_LIGHT</t>
  </si>
  <si>
    <t>YA211_DARK-dim</t>
  </si>
  <si>
    <t>YA211_LIGHT-dim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</si>
</sst>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DIM!$A$7:$A$96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DIM!$H$7:$H$96</c:f>
              <c:numCache>
                <c:formatCode>General</c:formatCode>
                <c:ptCount val="90"/>
                <c:pt idx="0">
                  <c:v>1198.9038</c:v>
                </c:pt>
                <c:pt idx="1">
                  <c:v>1351.0726</c:v>
                </c:pt>
                <c:pt idx="2">
                  <c:v>1757.4569999999999</c:v>
                </c:pt>
                <c:pt idx="3">
                  <c:v>2401.6456000000003</c:v>
                </c:pt>
                <c:pt idx="4">
                  <c:v>3057.9791999999998</c:v>
                </c:pt>
                <c:pt idx="5">
                  <c:v>3432.0172000000007</c:v>
                </c:pt>
                <c:pt idx="6">
                  <c:v>3584.7136</c:v>
                </c:pt>
                <c:pt idx="7">
                  <c:v>3638.3262000000004</c:v>
                </c:pt>
                <c:pt idx="8">
                  <c:v>3619.1561999999999</c:v>
                </c:pt>
                <c:pt idx="9">
                  <c:v>3518.1396</c:v>
                </c:pt>
                <c:pt idx="10">
                  <c:v>3306.5672</c:v>
                </c:pt>
                <c:pt idx="11">
                  <c:v>2960.7022000000002</c:v>
                </c:pt>
                <c:pt idx="12">
                  <c:v>2630.7550000000001</c:v>
                </c:pt>
                <c:pt idx="13">
                  <c:v>2466.8792000000003</c:v>
                </c:pt>
                <c:pt idx="14">
                  <c:v>2397.8775999999998</c:v>
                </c:pt>
                <c:pt idx="15">
                  <c:v>2372.9679999999998</c:v>
                </c:pt>
                <c:pt idx="16">
                  <c:v>2366.1156000000001</c:v>
                </c:pt>
                <c:pt idx="17">
                  <c:v>2358.0052000000005</c:v>
                </c:pt>
                <c:pt idx="18">
                  <c:v>2350.9553999999998</c:v>
                </c:pt>
                <c:pt idx="19">
                  <c:v>2347.6666</c:v>
                </c:pt>
                <c:pt idx="20">
                  <c:v>2345.1930000000002</c:v>
                </c:pt>
                <c:pt idx="21">
                  <c:v>2342.3020000000001</c:v>
                </c:pt>
                <c:pt idx="22">
                  <c:v>2351.4477999999999</c:v>
                </c:pt>
                <c:pt idx="23">
                  <c:v>2375.9560000000001</c:v>
                </c:pt>
                <c:pt idx="24">
                  <c:v>2404.8627999999999</c:v>
                </c:pt>
                <c:pt idx="25">
                  <c:v>2420.3867999999998</c:v>
                </c:pt>
                <c:pt idx="26">
                  <c:v>2424.4068000000002</c:v>
                </c:pt>
                <c:pt idx="27">
                  <c:v>2436.9301999999998</c:v>
                </c:pt>
                <c:pt idx="28">
                  <c:v>2452.6109999999999</c:v>
                </c:pt>
                <c:pt idx="29">
                  <c:v>2450.1808000000001</c:v>
                </c:pt>
                <c:pt idx="30">
                  <c:v>2444.5382</c:v>
                </c:pt>
                <c:pt idx="31">
                  <c:v>2420.3844000000004</c:v>
                </c:pt>
                <c:pt idx="32">
                  <c:v>2318.7395999999999</c:v>
                </c:pt>
                <c:pt idx="33">
                  <c:v>2167.1514000000002</c:v>
                </c:pt>
                <c:pt idx="34">
                  <c:v>2030.9476</c:v>
                </c:pt>
                <c:pt idx="35">
                  <c:v>1949.3106</c:v>
                </c:pt>
                <c:pt idx="36">
                  <c:v>1912.0849999999998</c:v>
                </c:pt>
                <c:pt idx="37">
                  <c:v>1893.4849999999999</c:v>
                </c:pt>
                <c:pt idx="38">
                  <c:v>1892.7665999999997</c:v>
                </c:pt>
                <c:pt idx="39">
                  <c:v>1925.3697999999999</c:v>
                </c:pt>
                <c:pt idx="40">
                  <c:v>1984.375</c:v>
                </c:pt>
                <c:pt idx="41">
                  <c:v>2038.9726000000003</c:v>
                </c:pt>
                <c:pt idx="42">
                  <c:v>2083.1755999999996</c:v>
                </c:pt>
                <c:pt idx="43">
                  <c:v>2137.9409999999998</c:v>
                </c:pt>
                <c:pt idx="44">
                  <c:v>2226.1187999999997</c:v>
                </c:pt>
                <c:pt idx="45">
                  <c:v>2300.1978000000004</c:v>
                </c:pt>
                <c:pt idx="46">
                  <c:v>2317.9214000000002</c:v>
                </c:pt>
                <c:pt idx="47">
                  <c:v>2242.9706000000001</c:v>
                </c:pt>
                <c:pt idx="48">
                  <c:v>2103.7842000000001</c:v>
                </c:pt>
                <c:pt idx="49">
                  <c:v>1963.2182</c:v>
                </c:pt>
                <c:pt idx="50">
                  <c:v>1868.7069999999999</c:v>
                </c:pt>
                <c:pt idx="51">
                  <c:v>1794.2212</c:v>
                </c:pt>
                <c:pt idx="52">
                  <c:v>1739.2454000000002</c:v>
                </c:pt>
                <c:pt idx="53">
                  <c:v>1690.6403999999998</c:v>
                </c:pt>
                <c:pt idx="54">
                  <c:v>1645.6718000000001</c:v>
                </c:pt>
                <c:pt idx="55">
                  <c:v>1607.1808000000001</c:v>
                </c:pt>
                <c:pt idx="56">
                  <c:v>1571.5747999999999</c:v>
                </c:pt>
                <c:pt idx="57">
                  <c:v>1537.9308000000001</c:v>
                </c:pt>
                <c:pt idx="58">
                  <c:v>1510.6338000000001</c:v>
                </c:pt>
                <c:pt idx="59">
                  <c:v>1488.8179999999998</c:v>
                </c:pt>
                <c:pt idx="60">
                  <c:v>1473.9418000000001</c:v>
                </c:pt>
                <c:pt idx="61">
                  <c:v>1461.4806000000001</c:v>
                </c:pt>
                <c:pt idx="62">
                  <c:v>1458.1732</c:v>
                </c:pt>
                <c:pt idx="63">
                  <c:v>1510.4784000000002</c:v>
                </c:pt>
                <c:pt idx="64">
                  <c:v>1640.1982</c:v>
                </c:pt>
                <c:pt idx="65">
                  <c:v>1699.2560000000001</c:v>
                </c:pt>
                <c:pt idx="66">
                  <c:v>1654.3874000000001</c:v>
                </c:pt>
                <c:pt idx="67">
                  <c:v>1599.3232</c:v>
                </c:pt>
                <c:pt idx="68">
                  <c:v>1636.3754000000001</c:v>
                </c:pt>
                <c:pt idx="69">
                  <c:v>2001.9983999999999</c:v>
                </c:pt>
                <c:pt idx="70">
                  <c:v>2790.7329999999997</c:v>
                </c:pt>
                <c:pt idx="71">
                  <c:v>3648.9686000000002</c:v>
                </c:pt>
                <c:pt idx="72">
                  <c:v>4060.4618</c:v>
                </c:pt>
                <c:pt idx="73">
                  <c:v>3809.5360000000001</c:v>
                </c:pt>
                <c:pt idx="74">
                  <c:v>3175.212</c:v>
                </c:pt>
                <c:pt idx="75">
                  <c:v>2784.7267999999999</c:v>
                </c:pt>
                <c:pt idx="76">
                  <c:v>2903.2701999999999</c:v>
                </c:pt>
                <c:pt idx="77">
                  <c:v>3183.5672000000004</c:v>
                </c:pt>
                <c:pt idx="78">
                  <c:v>3444.3429999999998</c:v>
                </c:pt>
                <c:pt idx="79">
                  <c:v>3571.4236000000005</c:v>
                </c:pt>
                <c:pt idx="80">
                  <c:v>3584.4468000000002</c:v>
                </c:pt>
                <c:pt idx="81">
                  <c:v>3704.8127999999997</c:v>
                </c:pt>
                <c:pt idx="82">
                  <c:v>3928.4214000000002</c:v>
                </c:pt>
                <c:pt idx="83">
                  <c:v>3991.1879999999996</c:v>
                </c:pt>
                <c:pt idx="84">
                  <c:v>3905.1655999999994</c:v>
                </c:pt>
                <c:pt idx="85">
                  <c:v>3713.2476000000001</c:v>
                </c:pt>
                <c:pt idx="86">
                  <c:v>3378.2302000000004</c:v>
                </c:pt>
                <c:pt idx="87">
                  <c:v>3074.4928</c:v>
                </c:pt>
                <c:pt idx="88">
                  <c:v>2899.8218000000002</c:v>
                </c:pt>
                <c:pt idx="89">
                  <c:v>2767.7528000000002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DIM!$A$7:$A$96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DIM!$R$7:$R$96</c:f>
              <c:numCache>
                <c:formatCode>General</c:formatCode>
                <c:ptCount val="90"/>
                <c:pt idx="0">
                  <c:v>967.57150000000001</c:v>
                </c:pt>
                <c:pt idx="1">
                  <c:v>1135.48875</c:v>
                </c:pt>
                <c:pt idx="2">
                  <c:v>1543.6275000000001</c:v>
                </c:pt>
                <c:pt idx="3">
                  <c:v>2151.5702500000002</c:v>
                </c:pt>
                <c:pt idx="4">
                  <c:v>2782.6265000000003</c:v>
                </c:pt>
                <c:pt idx="5">
                  <c:v>3177.5285000000003</c:v>
                </c:pt>
                <c:pt idx="6">
                  <c:v>3352.5460000000003</c:v>
                </c:pt>
                <c:pt idx="7">
                  <c:v>3401.5319999999997</c:v>
                </c:pt>
                <c:pt idx="8">
                  <c:v>3381.2970000000005</c:v>
                </c:pt>
                <c:pt idx="9">
                  <c:v>3270.6027500000005</c:v>
                </c:pt>
                <c:pt idx="10">
                  <c:v>3074.3307500000001</c:v>
                </c:pt>
                <c:pt idx="11">
                  <c:v>2774.9124999999999</c:v>
                </c:pt>
                <c:pt idx="12">
                  <c:v>2473.424</c:v>
                </c:pt>
                <c:pt idx="13">
                  <c:v>2323.9637499999999</c:v>
                </c:pt>
                <c:pt idx="14">
                  <c:v>2262.0777499999999</c:v>
                </c:pt>
                <c:pt idx="15">
                  <c:v>2238.3360000000002</c:v>
                </c:pt>
                <c:pt idx="16">
                  <c:v>2230.6305000000002</c:v>
                </c:pt>
                <c:pt idx="17">
                  <c:v>2230.8829999999998</c:v>
                </c:pt>
                <c:pt idx="18">
                  <c:v>2226.0307499999999</c:v>
                </c:pt>
                <c:pt idx="19">
                  <c:v>2218.4459999999999</c:v>
                </c:pt>
                <c:pt idx="20">
                  <c:v>2207.4160000000002</c:v>
                </c:pt>
                <c:pt idx="21">
                  <c:v>2195.31</c:v>
                </c:pt>
                <c:pt idx="22">
                  <c:v>2201.0037500000003</c:v>
                </c:pt>
                <c:pt idx="23">
                  <c:v>2226.8089999999997</c:v>
                </c:pt>
                <c:pt idx="24">
                  <c:v>2258.875</c:v>
                </c:pt>
                <c:pt idx="25">
                  <c:v>2278.5149999999999</c:v>
                </c:pt>
                <c:pt idx="26">
                  <c:v>2285.0302499999998</c:v>
                </c:pt>
                <c:pt idx="27">
                  <c:v>2296.808</c:v>
                </c:pt>
                <c:pt idx="28">
                  <c:v>2313.2404999999999</c:v>
                </c:pt>
                <c:pt idx="29">
                  <c:v>2312.1567500000001</c:v>
                </c:pt>
                <c:pt idx="30">
                  <c:v>2300.7089999999998</c:v>
                </c:pt>
                <c:pt idx="31">
                  <c:v>2273.2725</c:v>
                </c:pt>
                <c:pt idx="32">
                  <c:v>2175.0805</c:v>
                </c:pt>
                <c:pt idx="33">
                  <c:v>2035.0637499999998</c:v>
                </c:pt>
                <c:pt idx="34">
                  <c:v>1905.2532500000002</c:v>
                </c:pt>
                <c:pt idx="35">
                  <c:v>1822.607</c:v>
                </c:pt>
                <c:pt idx="36">
                  <c:v>1776.7145</c:v>
                </c:pt>
                <c:pt idx="37">
                  <c:v>1762.9675</c:v>
                </c:pt>
                <c:pt idx="38">
                  <c:v>1772.8292499999998</c:v>
                </c:pt>
                <c:pt idx="39">
                  <c:v>1796.5084999999999</c:v>
                </c:pt>
                <c:pt idx="40">
                  <c:v>1844.7217500000002</c:v>
                </c:pt>
                <c:pt idx="41">
                  <c:v>1909.9344999999998</c:v>
                </c:pt>
                <c:pt idx="42">
                  <c:v>1966.7212500000001</c:v>
                </c:pt>
                <c:pt idx="43">
                  <c:v>2019.0274999999999</c:v>
                </c:pt>
                <c:pt idx="44">
                  <c:v>2085.4155000000001</c:v>
                </c:pt>
                <c:pt idx="45">
                  <c:v>2157.9414999999999</c:v>
                </c:pt>
                <c:pt idx="46">
                  <c:v>2183.0972499999998</c:v>
                </c:pt>
                <c:pt idx="47">
                  <c:v>2123.9870000000001</c:v>
                </c:pt>
                <c:pt idx="48">
                  <c:v>2011.5817500000001</c:v>
                </c:pt>
                <c:pt idx="49">
                  <c:v>1886.7025000000001</c:v>
                </c:pt>
                <c:pt idx="50">
                  <c:v>1800.5682500000003</c:v>
                </c:pt>
                <c:pt idx="51">
                  <c:v>1730.8132499999999</c:v>
                </c:pt>
                <c:pt idx="52">
                  <c:v>1676.0014999999999</c:v>
                </c:pt>
                <c:pt idx="53">
                  <c:v>1629.8112500000002</c:v>
                </c:pt>
                <c:pt idx="54">
                  <c:v>1580.4572499999999</c:v>
                </c:pt>
                <c:pt idx="55">
                  <c:v>1534.402</c:v>
                </c:pt>
                <c:pt idx="56">
                  <c:v>1489.7975000000001</c:v>
                </c:pt>
                <c:pt idx="57">
                  <c:v>1434.1177499999999</c:v>
                </c:pt>
                <c:pt idx="58">
                  <c:v>1378.3119999999999</c:v>
                </c:pt>
                <c:pt idx="59">
                  <c:v>1339.6125</c:v>
                </c:pt>
                <c:pt idx="60">
                  <c:v>1326.17975</c:v>
                </c:pt>
                <c:pt idx="61">
                  <c:v>1313.9175</c:v>
                </c:pt>
                <c:pt idx="62">
                  <c:v>1312.79675</c:v>
                </c:pt>
                <c:pt idx="63">
                  <c:v>1372.57575</c:v>
                </c:pt>
                <c:pt idx="64">
                  <c:v>1504.558</c:v>
                </c:pt>
                <c:pt idx="65">
                  <c:v>1557.4592500000001</c:v>
                </c:pt>
                <c:pt idx="66">
                  <c:v>1515.3177499999999</c:v>
                </c:pt>
                <c:pt idx="67">
                  <c:v>1461.9650000000001</c:v>
                </c:pt>
                <c:pt idx="68">
                  <c:v>1509.7719999999999</c:v>
                </c:pt>
                <c:pt idx="69">
                  <c:v>1870.0472499999998</c:v>
                </c:pt>
                <c:pt idx="70">
                  <c:v>2596.3402499999997</c:v>
                </c:pt>
                <c:pt idx="71">
                  <c:v>3325.4177500000001</c:v>
                </c:pt>
                <c:pt idx="72">
                  <c:v>3636.59175</c:v>
                </c:pt>
                <c:pt idx="73">
                  <c:v>3364.2942500000004</c:v>
                </c:pt>
                <c:pt idx="74">
                  <c:v>2793.1365000000001</c:v>
                </c:pt>
                <c:pt idx="75">
                  <c:v>2499.2890000000002</c:v>
                </c:pt>
                <c:pt idx="76">
                  <c:v>2602.6075000000001</c:v>
                </c:pt>
                <c:pt idx="77">
                  <c:v>2838.8137499999998</c:v>
                </c:pt>
                <c:pt idx="78">
                  <c:v>3075.058</c:v>
                </c:pt>
                <c:pt idx="79">
                  <c:v>3225.6854999999996</c:v>
                </c:pt>
                <c:pt idx="80">
                  <c:v>3296.5985000000001</c:v>
                </c:pt>
                <c:pt idx="81">
                  <c:v>3462.2945</c:v>
                </c:pt>
                <c:pt idx="82">
                  <c:v>3678.0267500000004</c:v>
                </c:pt>
                <c:pt idx="83">
                  <c:v>3719.7362499999999</c:v>
                </c:pt>
                <c:pt idx="84">
                  <c:v>3628.5752499999999</c:v>
                </c:pt>
                <c:pt idx="85">
                  <c:v>3436.4270000000001</c:v>
                </c:pt>
                <c:pt idx="86">
                  <c:v>3105.9904999999999</c:v>
                </c:pt>
                <c:pt idx="87">
                  <c:v>2807.4544999999998</c:v>
                </c:pt>
                <c:pt idx="88">
                  <c:v>2642.7465000000002</c:v>
                </c:pt>
                <c:pt idx="89">
                  <c:v>2520.5872499999996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1221.6181666666669</c:v>
                </c:pt>
                <c:pt idx="1">
                  <c:v>1404.4407499999998</c:v>
                </c:pt>
                <c:pt idx="2">
                  <c:v>1864.3935000000001</c:v>
                </c:pt>
                <c:pt idx="3">
                  <c:v>2558.9907499999995</c:v>
                </c:pt>
                <c:pt idx="4">
                  <c:v>3245.0595833333332</c:v>
                </c:pt>
                <c:pt idx="5">
                  <c:v>3613.6574166666669</c:v>
                </c:pt>
                <c:pt idx="6">
                  <c:v>3738.1951666666669</c:v>
                </c:pt>
                <c:pt idx="7">
                  <c:v>3797.5417499999999</c:v>
                </c:pt>
                <c:pt idx="8">
                  <c:v>3776.5710833333328</c:v>
                </c:pt>
                <c:pt idx="9">
                  <c:v>3656.6751666666664</c:v>
                </c:pt>
                <c:pt idx="10">
                  <c:v>3420.4277499999994</c:v>
                </c:pt>
                <c:pt idx="11">
                  <c:v>3043.7080833333334</c:v>
                </c:pt>
                <c:pt idx="12">
                  <c:v>2710.4823333333334</c:v>
                </c:pt>
                <c:pt idx="13">
                  <c:v>2548.2928333333334</c:v>
                </c:pt>
                <c:pt idx="14">
                  <c:v>2494.3971666666662</c:v>
                </c:pt>
                <c:pt idx="15">
                  <c:v>2476.35925</c:v>
                </c:pt>
                <c:pt idx="16">
                  <c:v>2468.0880000000002</c:v>
                </c:pt>
                <c:pt idx="17">
                  <c:v>2461.7407499999995</c:v>
                </c:pt>
                <c:pt idx="18">
                  <c:v>2456.250583333333</c:v>
                </c:pt>
                <c:pt idx="19">
                  <c:v>2450.2236666666668</c:v>
                </c:pt>
                <c:pt idx="20">
                  <c:v>2443.1660833333335</c:v>
                </c:pt>
                <c:pt idx="21">
                  <c:v>2435.2335833333332</c:v>
                </c:pt>
                <c:pt idx="22">
                  <c:v>2437.1922500000001</c:v>
                </c:pt>
                <c:pt idx="23">
                  <c:v>2462.7093333333337</c:v>
                </c:pt>
                <c:pt idx="24">
                  <c:v>2495.3724999999999</c:v>
                </c:pt>
                <c:pt idx="25">
                  <c:v>2514.1966666666672</c:v>
                </c:pt>
                <c:pt idx="26">
                  <c:v>2517.6275833333334</c:v>
                </c:pt>
                <c:pt idx="27">
                  <c:v>2529.2904166666663</c:v>
                </c:pt>
                <c:pt idx="28">
                  <c:v>2539.0351666666666</c:v>
                </c:pt>
                <c:pt idx="29">
                  <c:v>2535.0966666666668</c:v>
                </c:pt>
                <c:pt idx="30">
                  <c:v>2523.8531666666668</c:v>
                </c:pt>
                <c:pt idx="31">
                  <c:v>2495.5639166666665</c:v>
                </c:pt>
                <c:pt idx="32">
                  <c:v>2399.5528333333336</c:v>
                </c:pt>
                <c:pt idx="33">
                  <c:v>2254.6830833333338</c:v>
                </c:pt>
                <c:pt idx="34">
                  <c:v>2113.8513333333335</c:v>
                </c:pt>
                <c:pt idx="35">
                  <c:v>2022.8739166666664</c:v>
                </c:pt>
                <c:pt idx="36">
                  <c:v>1974.6807500000002</c:v>
                </c:pt>
                <c:pt idx="37">
                  <c:v>1954.9275833333331</c:v>
                </c:pt>
                <c:pt idx="38">
                  <c:v>1955.8327499999998</c:v>
                </c:pt>
                <c:pt idx="39">
                  <c:v>1973.8723333333335</c:v>
                </c:pt>
                <c:pt idx="40">
                  <c:v>2020.7141666666666</c:v>
                </c:pt>
                <c:pt idx="41">
                  <c:v>2079.4909166666671</c:v>
                </c:pt>
                <c:pt idx="42">
                  <c:v>2130.7392500000001</c:v>
                </c:pt>
                <c:pt idx="43">
                  <c:v>2189.1191666666668</c:v>
                </c:pt>
                <c:pt idx="44">
                  <c:v>2261.0717499999996</c:v>
                </c:pt>
                <c:pt idx="45">
                  <c:v>2330.11</c:v>
                </c:pt>
                <c:pt idx="46">
                  <c:v>2379.2261666666668</c:v>
                </c:pt>
                <c:pt idx="47">
                  <c:v>2346.6624166666666</c:v>
                </c:pt>
                <c:pt idx="48">
                  <c:v>2213.9387500000003</c:v>
                </c:pt>
                <c:pt idx="49">
                  <c:v>2056.1476666666663</c:v>
                </c:pt>
                <c:pt idx="50">
                  <c:v>1931.6588333333332</c:v>
                </c:pt>
                <c:pt idx="51">
                  <c:v>1843.9275833333334</c:v>
                </c:pt>
                <c:pt idx="52">
                  <c:v>1782.0359999999998</c:v>
                </c:pt>
                <c:pt idx="53">
                  <c:v>1733.5104166666663</c:v>
                </c:pt>
                <c:pt idx="54">
                  <c:v>1684.0043333333333</c:v>
                </c:pt>
                <c:pt idx="55">
                  <c:v>1634.5514166666665</c:v>
                </c:pt>
                <c:pt idx="56">
                  <c:v>1589.5001666666667</c:v>
                </c:pt>
                <c:pt idx="57">
                  <c:v>1551.2469166666667</c:v>
                </c:pt>
                <c:pt idx="58">
                  <c:v>1520.1731666666667</c:v>
                </c:pt>
                <c:pt idx="59">
                  <c:v>1495.7481666666665</c:v>
                </c:pt>
                <c:pt idx="60">
                  <c:v>1477.0469999999998</c:v>
                </c:pt>
                <c:pt idx="61">
                  <c:v>1459.0574166666665</c:v>
                </c:pt>
                <c:pt idx="62">
                  <c:v>1446.0644166666668</c:v>
                </c:pt>
                <c:pt idx="63">
                  <c:v>1495.863333333333</c:v>
                </c:pt>
                <c:pt idx="64">
                  <c:v>1644.9324166666665</c:v>
                </c:pt>
                <c:pt idx="65">
                  <c:v>1714.6368333333332</c:v>
                </c:pt>
                <c:pt idx="66">
                  <c:v>1670.9217500000002</c:v>
                </c:pt>
                <c:pt idx="67">
                  <c:v>1609.0351666666668</c:v>
                </c:pt>
                <c:pt idx="68">
                  <c:v>1648.8922499999999</c:v>
                </c:pt>
                <c:pt idx="69">
                  <c:v>2029.7621666666666</c:v>
                </c:pt>
                <c:pt idx="70">
                  <c:v>2826.0345000000002</c:v>
                </c:pt>
                <c:pt idx="71">
                  <c:v>3657.8772499999995</c:v>
                </c:pt>
                <c:pt idx="72">
                  <c:v>4032.2809166666661</c:v>
                </c:pt>
                <c:pt idx="73">
                  <c:v>3760.4451666666664</c:v>
                </c:pt>
                <c:pt idx="74">
                  <c:v>3131.9685000000004</c:v>
                </c:pt>
                <c:pt idx="75">
                  <c:v>2767.2906666666663</c:v>
                </c:pt>
                <c:pt idx="76">
                  <c:v>2868.8585833333332</c:v>
                </c:pt>
                <c:pt idx="77">
                  <c:v>3126.2448333333336</c:v>
                </c:pt>
                <c:pt idx="78">
                  <c:v>3395.6187500000001</c:v>
                </c:pt>
                <c:pt idx="79">
                  <c:v>3551.8016666666667</c:v>
                </c:pt>
                <c:pt idx="80">
                  <c:v>3604.2456666666662</c:v>
                </c:pt>
                <c:pt idx="81">
                  <c:v>3756.7736666666665</c:v>
                </c:pt>
                <c:pt idx="82">
                  <c:v>3998.2153333333331</c:v>
                </c:pt>
                <c:pt idx="83">
                  <c:v>4079.7940000000003</c:v>
                </c:pt>
                <c:pt idx="84">
                  <c:v>4006.6890000000003</c:v>
                </c:pt>
                <c:pt idx="85">
                  <c:v>3808.8088333333326</c:v>
                </c:pt>
                <c:pt idx="86">
                  <c:v>3463.584166666667</c:v>
                </c:pt>
                <c:pt idx="87">
                  <c:v>3135.1504999999997</c:v>
                </c:pt>
                <c:pt idx="88">
                  <c:v>2942.2889999999993</c:v>
                </c:pt>
                <c:pt idx="89">
                  <c:v>2798.8455833333337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63-4861-9B5D-17AAE54D677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BRIGHT!$AL$7:$AL$96</c:f>
              <c:numCache>
                <c:formatCode>General</c:formatCode>
                <c:ptCount val="90"/>
                <c:pt idx="0">
                  <c:v>899.57757142857133</c:v>
                </c:pt>
                <c:pt idx="1">
                  <c:v>1113.9215714285715</c:v>
                </c:pt>
                <c:pt idx="2">
                  <c:v>1625.1588571428572</c:v>
                </c:pt>
                <c:pt idx="3">
                  <c:v>2317.6677142857143</c:v>
                </c:pt>
                <c:pt idx="4">
                  <c:v>3028.9761428571428</c:v>
                </c:pt>
                <c:pt idx="5">
                  <c:v>3439.6012857142855</c:v>
                </c:pt>
                <c:pt idx="6">
                  <c:v>3605.1174285714283</c:v>
                </c:pt>
                <c:pt idx="7">
                  <c:v>3659.7378571428571</c:v>
                </c:pt>
                <c:pt idx="8">
                  <c:v>3637.0434285714286</c:v>
                </c:pt>
                <c:pt idx="9">
                  <c:v>3503.5331428571435</c:v>
                </c:pt>
                <c:pt idx="10">
                  <c:v>3264.4674285714286</c:v>
                </c:pt>
                <c:pt idx="11">
                  <c:v>2893.0878571428575</c:v>
                </c:pt>
                <c:pt idx="12">
                  <c:v>2560.955857142857</c:v>
                </c:pt>
                <c:pt idx="13">
                  <c:v>2398.0497142857143</c:v>
                </c:pt>
                <c:pt idx="14">
                  <c:v>2350.6512857142852</c:v>
                </c:pt>
                <c:pt idx="15">
                  <c:v>2332.0577142857142</c:v>
                </c:pt>
                <c:pt idx="16">
                  <c:v>2321.1582857142857</c:v>
                </c:pt>
                <c:pt idx="17">
                  <c:v>2312.8201428571433</c:v>
                </c:pt>
                <c:pt idx="18">
                  <c:v>2304.485285714286</c:v>
                </c:pt>
                <c:pt idx="19">
                  <c:v>2298.1788571428574</c:v>
                </c:pt>
                <c:pt idx="20">
                  <c:v>2301.1644285714283</c:v>
                </c:pt>
                <c:pt idx="21">
                  <c:v>2308.9202857142859</c:v>
                </c:pt>
                <c:pt idx="22">
                  <c:v>2317.8931428571427</c:v>
                </c:pt>
                <c:pt idx="23">
                  <c:v>2337.396285714286</c:v>
                </c:pt>
                <c:pt idx="24">
                  <c:v>2364.7779999999998</c:v>
                </c:pt>
                <c:pt idx="25">
                  <c:v>2380.6361428571431</c:v>
                </c:pt>
                <c:pt idx="26">
                  <c:v>2381.6555714285714</c:v>
                </c:pt>
                <c:pt idx="27">
                  <c:v>2393.4482857142857</c:v>
                </c:pt>
                <c:pt idx="28">
                  <c:v>2407.0749999999998</c:v>
                </c:pt>
                <c:pt idx="29">
                  <c:v>2408.7842857142855</c:v>
                </c:pt>
                <c:pt idx="30">
                  <c:v>2400.4514285714286</c:v>
                </c:pt>
                <c:pt idx="31">
                  <c:v>2376.2479999999996</c:v>
                </c:pt>
                <c:pt idx="32">
                  <c:v>2288.5547142857145</c:v>
                </c:pt>
                <c:pt idx="33">
                  <c:v>2146.4638571428573</c:v>
                </c:pt>
                <c:pt idx="34">
                  <c:v>2006.7651428571426</c:v>
                </c:pt>
                <c:pt idx="35">
                  <c:v>1917.6762857142858</c:v>
                </c:pt>
                <c:pt idx="36">
                  <c:v>1870.7329999999999</c:v>
                </c:pt>
                <c:pt idx="37">
                  <c:v>1851.4672857142855</c:v>
                </c:pt>
                <c:pt idx="38">
                  <c:v>1849.4772857142857</c:v>
                </c:pt>
                <c:pt idx="39">
                  <c:v>1870.2074285714284</c:v>
                </c:pt>
                <c:pt idx="40">
                  <c:v>1916.0584285714287</c:v>
                </c:pt>
                <c:pt idx="41">
                  <c:v>1970.8567142857141</c:v>
                </c:pt>
                <c:pt idx="42">
                  <c:v>2015.6964285714287</c:v>
                </c:pt>
                <c:pt idx="43">
                  <c:v>2056.4961428571428</c:v>
                </c:pt>
                <c:pt idx="44">
                  <c:v>2118.1257142857139</c:v>
                </c:pt>
                <c:pt idx="45">
                  <c:v>2188.8055714285711</c:v>
                </c:pt>
                <c:pt idx="46">
                  <c:v>2242.9320000000002</c:v>
                </c:pt>
                <c:pt idx="47">
                  <c:v>2220.8761428571429</c:v>
                </c:pt>
                <c:pt idx="48">
                  <c:v>2097.1165714285717</c:v>
                </c:pt>
                <c:pt idx="49">
                  <c:v>1943.6142857142859</c:v>
                </c:pt>
                <c:pt idx="50">
                  <c:v>1821.6908571428573</c:v>
                </c:pt>
                <c:pt idx="51">
                  <c:v>1746.1182857142855</c:v>
                </c:pt>
                <c:pt idx="52">
                  <c:v>1686.4240000000002</c:v>
                </c:pt>
                <c:pt idx="53">
                  <c:v>1635.7845714285711</c:v>
                </c:pt>
                <c:pt idx="54">
                  <c:v>1587.434</c:v>
                </c:pt>
                <c:pt idx="55">
                  <c:v>1549.8964285714285</c:v>
                </c:pt>
                <c:pt idx="56">
                  <c:v>1513.7270000000001</c:v>
                </c:pt>
                <c:pt idx="57">
                  <c:v>1479.0434285714286</c:v>
                </c:pt>
                <c:pt idx="58">
                  <c:v>1450.5112857142856</c:v>
                </c:pt>
                <c:pt idx="59">
                  <c:v>1424.1335714285713</c:v>
                </c:pt>
                <c:pt idx="60">
                  <c:v>1407.3954285714285</c:v>
                </c:pt>
                <c:pt idx="61">
                  <c:v>1382.6548571428571</c:v>
                </c:pt>
                <c:pt idx="62">
                  <c:v>1365.3094285714287</c:v>
                </c:pt>
                <c:pt idx="63">
                  <c:v>1417.4365714285716</c:v>
                </c:pt>
                <c:pt idx="64">
                  <c:v>1583.0088571428569</c:v>
                </c:pt>
                <c:pt idx="65">
                  <c:v>1661.5745714285711</c:v>
                </c:pt>
                <c:pt idx="66">
                  <c:v>1614.6878571428572</c:v>
                </c:pt>
                <c:pt idx="67">
                  <c:v>1550.6859999999999</c:v>
                </c:pt>
                <c:pt idx="68">
                  <c:v>1602.616</c:v>
                </c:pt>
                <c:pt idx="69">
                  <c:v>1997.5930000000003</c:v>
                </c:pt>
                <c:pt idx="70">
                  <c:v>2814.790857142857</c:v>
                </c:pt>
                <c:pt idx="71">
                  <c:v>3680.0808571428574</c:v>
                </c:pt>
                <c:pt idx="72">
                  <c:v>4102.0521428571428</c:v>
                </c:pt>
                <c:pt idx="73">
                  <c:v>3863.218142857143</c:v>
                </c:pt>
                <c:pt idx="74">
                  <c:v>3217.79</c:v>
                </c:pt>
                <c:pt idx="75">
                  <c:v>2794.348857142857</c:v>
                </c:pt>
                <c:pt idx="76">
                  <c:v>2888.6897142857147</c:v>
                </c:pt>
                <c:pt idx="77">
                  <c:v>3184.863571428571</c:v>
                </c:pt>
                <c:pt idx="78">
                  <c:v>3470.263428571428</c:v>
                </c:pt>
                <c:pt idx="79">
                  <c:v>3609.0614285714287</c:v>
                </c:pt>
                <c:pt idx="80">
                  <c:v>3592.6267142857141</c:v>
                </c:pt>
                <c:pt idx="81">
                  <c:v>3637.2665714285718</c:v>
                </c:pt>
                <c:pt idx="82">
                  <c:v>3828.3331428571428</c:v>
                </c:pt>
                <c:pt idx="83">
                  <c:v>3931.1204285714289</c:v>
                </c:pt>
                <c:pt idx="84">
                  <c:v>3885.181428571429</c:v>
                </c:pt>
                <c:pt idx="85">
                  <c:v>3711.7018571428571</c:v>
                </c:pt>
                <c:pt idx="86">
                  <c:v>3388.1908571428576</c:v>
                </c:pt>
                <c:pt idx="87">
                  <c:v>3065.136428571429</c:v>
                </c:pt>
                <c:pt idx="88">
                  <c:v>2872.3277142857146</c:v>
                </c:pt>
                <c:pt idx="89">
                  <c:v>2733.982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63-4861-9B5D-17AAE54D6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271462</xdr:colOff>
      <xdr:row>2</xdr:row>
      <xdr:rowOff>66675</xdr:rowOff>
    </xdr:from>
    <xdr:to>
      <xdr:col>19</xdr:col>
      <xdr:colOff>38100</xdr:colOff>
      <xdr:row>30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5CF1A-5DF7-4F7E-A4E6-2945CE766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5\_dark_profiles_YA05_DARK-dim" connectionId="2" xr16:uid="{C4C0DBCA-F22C-4B3B-911B-24A696A968A4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5\_light_profiles_YA05_LIGHT-dim" connectionId="4" xr16:uid="{93AF785F-2526-4660-8964-7F2E47B74111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5\_dark_profiles_YA05_DARK" connectionId="1" xr16:uid="{21B6129F-7F0C-4600-9F3C-C0E7ADB42EA1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5\_light_profiles_YA05_LIGHT" connectionId="3" xr16:uid="{4835CE7C-6019-4DD4-8983-13EFD1F85CE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3" sqref="K3"/>
    </sheetView>
  </sheetViews>
  <sheetFormatPr defaultRowHeight="15" x14ac:dyDescent="0.25"/>
  <cols>
    <col min="1" max="1" width="15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5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8" t="s">
        <v>4</v>
      </c>
      <c r="B1" s="8"/>
      <c r="C1" s="8"/>
      <c r="D1" s="8"/>
      <c r="E1" s="8"/>
      <c r="F1" s="8"/>
      <c r="K1" s="9" t="s">
        <v>5</v>
      </c>
      <c r="L1" s="9"/>
      <c r="M1" s="9"/>
      <c r="N1" s="9"/>
      <c r="O1" s="9"/>
      <c r="P1" s="9"/>
    </row>
    <row r="2" spans="1:19" x14ac:dyDescent="0.25">
      <c r="A2" t="s">
        <v>9</v>
      </c>
      <c r="B2">
        <v>1</v>
      </c>
      <c r="C2">
        <v>2</v>
      </c>
      <c r="D2">
        <v>3</v>
      </c>
      <c r="E2">
        <v>4</v>
      </c>
      <c r="F2">
        <v>5</v>
      </c>
      <c r="K2" t="s">
        <v>10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-2.3079999999999998</v>
      </c>
      <c r="C3">
        <v>-4.5250000000000004</v>
      </c>
      <c r="D3">
        <v>-3.5779999999999998</v>
      </c>
      <c r="E3">
        <v>-0.32500000000000001</v>
      </c>
      <c r="F3">
        <v>0.79500000000000004</v>
      </c>
      <c r="K3" t="s">
        <v>0</v>
      </c>
      <c r="L3" t="s">
        <v>6</v>
      </c>
      <c r="M3">
        <v>-3.6960000000000002</v>
      </c>
      <c r="N3">
        <v>-2.2429999999999999</v>
      </c>
      <c r="O3">
        <v>-1.41</v>
      </c>
      <c r="P3">
        <v>-6.1230000000000002</v>
      </c>
    </row>
    <row r="4" spans="1:19" x14ac:dyDescent="0.25">
      <c r="A4" t="s">
        <v>1</v>
      </c>
      <c r="B4">
        <v>354.25599999999997</v>
      </c>
      <c r="C4">
        <v>351.77800000000002</v>
      </c>
      <c r="D4">
        <v>353.88499999999999</v>
      </c>
      <c r="E4">
        <v>353.49700000000001</v>
      </c>
      <c r="F4">
        <v>352.88099999999997</v>
      </c>
      <c r="H4" s="2">
        <f>AVERAGE(B4:F4)</f>
        <v>353.25940000000003</v>
      </c>
      <c r="I4" s="2">
        <f>STDEV(B4:F4)/SQRT(COUNT(B4:F4))</f>
        <v>0.43467074895832941</v>
      </c>
      <c r="K4" t="s">
        <v>1</v>
      </c>
      <c r="L4" t="s">
        <v>6</v>
      </c>
      <c r="M4">
        <v>354.04700000000003</v>
      </c>
      <c r="N4">
        <v>353.15899999999999</v>
      </c>
      <c r="O4">
        <v>353.37099999999998</v>
      </c>
      <c r="P4">
        <v>354.83199999999999</v>
      </c>
      <c r="R4" s="3">
        <f>AVERAGE(L4:P4)</f>
        <v>353.85225000000003</v>
      </c>
      <c r="S4" s="3">
        <f>STDEV(L4:P4)/SQRT(COUNT(L4:P4))</f>
        <v>0.37749555736900481</v>
      </c>
    </row>
    <row r="5" spans="1:19" x14ac:dyDescent="0.25">
      <c r="A5" t="s">
        <v>2</v>
      </c>
      <c r="B5">
        <v>73.549000000000007</v>
      </c>
      <c r="C5">
        <v>73.266000000000005</v>
      </c>
      <c r="D5">
        <v>73.864999999999995</v>
      </c>
      <c r="E5">
        <v>72.421000000000006</v>
      </c>
      <c r="F5">
        <v>72.587000000000003</v>
      </c>
      <c r="H5" s="2">
        <f t="shared" ref="H5:H68" si="0">AVERAGE(B5:F5)</f>
        <v>73.137599999999992</v>
      </c>
      <c r="I5" s="2">
        <f t="shared" ref="I5:I68" si="1">STDEV(B5:F5)/SQRT(COUNT(B5:F5))</f>
        <v>0.27672397799973769</v>
      </c>
      <c r="K5" t="s">
        <v>2</v>
      </c>
      <c r="L5" t="s">
        <v>6</v>
      </c>
      <c r="M5">
        <v>73.561000000000007</v>
      </c>
      <c r="N5">
        <v>73.457999999999998</v>
      </c>
      <c r="O5">
        <v>72.528999999999996</v>
      </c>
      <c r="P5">
        <v>73.156999999999996</v>
      </c>
      <c r="R5" s="3">
        <f t="shared" ref="R5:R68" si="2">AVERAGE(L5:P5)</f>
        <v>73.176249999999996</v>
      </c>
      <c r="S5" s="3">
        <f t="shared" ref="S5:S68" si="3">STDEV(L5:P5)/SQRT(COUNT(L5:P5))</f>
        <v>0.23214915284503507</v>
      </c>
    </row>
    <row r="6" spans="1:19" x14ac:dyDescent="0.25">
      <c r="A6" t="s">
        <v>3</v>
      </c>
      <c r="B6">
        <v>33.994999999999997</v>
      </c>
      <c r="C6">
        <v>33.140999999999998</v>
      </c>
      <c r="D6">
        <v>34.113999999999997</v>
      </c>
      <c r="E6">
        <v>35.808</v>
      </c>
      <c r="F6">
        <v>35.511000000000003</v>
      </c>
      <c r="H6" s="2">
        <f t="shared" si="0"/>
        <v>34.513799999999996</v>
      </c>
      <c r="I6" s="2">
        <f t="shared" si="1"/>
        <v>0.4991460107022801</v>
      </c>
      <c r="K6" t="s">
        <v>3</v>
      </c>
      <c r="L6" t="s">
        <v>6</v>
      </c>
      <c r="M6">
        <v>35.337000000000003</v>
      </c>
      <c r="N6">
        <v>33.999000000000002</v>
      </c>
      <c r="O6">
        <v>35.506999999999998</v>
      </c>
      <c r="P6">
        <v>35.106999999999999</v>
      </c>
      <c r="R6" s="3">
        <f t="shared" si="2"/>
        <v>34.987500000000004</v>
      </c>
      <c r="S6" s="3">
        <f t="shared" si="3"/>
        <v>0.33953927117001692</v>
      </c>
    </row>
    <row r="7" spans="1:19" x14ac:dyDescent="0.25">
      <c r="A7">
        <v>-3.75</v>
      </c>
      <c r="B7">
        <v>1256.4929999999999</v>
      </c>
      <c r="C7">
        <v>1494.3430000000001</v>
      </c>
      <c r="D7">
        <v>1165.329</v>
      </c>
      <c r="E7">
        <v>1190.2180000000001</v>
      </c>
      <c r="F7">
        <v>888.13599999999997</v>
      </c>
      <c r="H7" s="2">
        <f t="shared" si="0"/>
        <v>1198.9038</v>
      </c>
      <c r="I7" s="2">
        <f t="shared" si="1"/>
        <v>97.05157718625685</v>
      </c>
      <c r="K7">
        <v>-3.75</v>
      </c>
      <c r="L7" t="s">
        <v>6</v>
      </c>
      <c r="M7">
        <v>936.09299999999996</v>
      </c>
      <c r="N7">
        <v>1231.7329999999999</v>
      </c>
      <c r="O7">
        <v>943.38400000000001</v>
      </c>
      <c r="P7">
        <v>759.07600000000002</v>
      </c>
      <c r="R7" s="3">
        <f t="shared" si="2"/>
        <v>967.57150000000001</v>
      </c>
      <c r="S7" s="3">
        <f t="shared" si="3"/>
        <v>97.821096361759487</v>
      </c>
    </row>
    <row r="8" spans="1:19" x14ac:dyDescent="0.25">
      <c r="A8">
        <v>-2.5</v>
      </c>
      <c r="B8">
        <v>1451.1759999999999</v>
      </c>
      <c r="C8">
        <v>1621.1479999999999</v>
      </c>
      <c r="D8">
        <v>1299.4639999999999</v>
      </c>
      <c r="E8">
        <v>1361.3440000000001</v>
      </c>
      <c r="F8">
        <v>1022.231</v>
      </c>
      <c r="H8" s="2">
        <f t="shared" si="0"/>
        <v>1351.0726</v>
      </c>
      <c r="I8" s="2">
        <f t="shared" si="1"/>
        <v>98.454852475436965</v>
      </c>
      <c r="K8">
        <v>-2.5</v>
      </c>
      <c r="L8" t="s">
        <v>6</v>
      </c>
      <c r="M8">
        <v>1077.712</v>
      </c>
      <c r="N8">
        <v>1364.615</v>
      </c>
      <c r="O8">
        <v>1127.1759999999999</v>
      </c>
      <c r="P8">
        <v>972.452</v>
      </c>
      <c r="R8" s="3">
        <f t="shared" si="2"/>
        <v>1135.48875</v>
      </c>
      <c r="S8" s="3">
        <f t="shared" si="3"/>
        <v>82.909124418823197</v>
      </c>
    </row>
    <row r="9" spans="1:19" x14ac:dyDescent="0.25">
      <c r="A9">
        <v>-1.25</v>
      </c>
      <c r="B9">
        <v>1899.9090000000001</v>
      </c>
      <c r="C9">
        <v>2013.079</v>
      </c>
      <c r="D9">
        <v>1654.942</v>
      </c>
      <c r="E9">
        <v>1807.1790000000001</v>
      </c>
      <c r="F9">
        <v>1412.1759999999999</v>
      </c>
      <c r="H9" s="2">
        <f t="shared" si="0"/>
        <v>1757.4569999999999</v>
      </c>
      <c r="I9" s="2">
        <f t="shared" si="1"/>
        <v>104.36372709375605</v>
      </c>
      <c r="K9">
        <v>-1.25</v>
      </c>
      <c r="L9" t="s">
        <v>6</v>
      </c>
      <c r="M9">
        <v>1438.482</v>
      </c>
      <c r="N9">
        <v>1764.56</v>
      </c>
      <c r="O9">
        <v>1577.461</v>
      </c>
      <c r="P9">
        <v>1394.0070000000001</v>
      </c>
      <c r="R9" s="3">
        <f t="shared" si="2"/>
        <v>1543.6275000000001</v>
      </c>
      <c r="S9" s="3">
        <f t="shared" si="3"/>
        <v>83.365533180185835</v>
      </c>
    </row>
    <row r="10" spans="1:19" x14ac:dyDescent="0.25">
      <c r="A10">
        <v>0</v>
      </c>
      <c r="B10">
        <v>2577.239</v>
      </c>
      <c r="C10">
        <v>2640.6390000000001</v>
      </c>
      <c r="D10">
        <v>2265.0169999999998</v>
      </c>
      <c r="E10">
        <v>2501.3240000000001</v>
      </c>
      <c r="F10">
        <v>2024.009</v>
      </c>
      <c r="H10" s="2">
        <f t="shared" si="0"/>
        <v>2401.6456000000003</v>
      </c>
      <c r="I10" s="2">
        <f t="shared" si="1"/>
        <v>113.8339683027874</v>
      </c>
      <c r="K10">
        <v>0</v>
      </c>
      <c r="L10" t="s">
        <v>6</v>
      </c>
      <c r="M10">
        <v>1980.4059999999999</v>
      </c>
      <c r="N10">
        <v>2408.0590000000002</v>
      </c>
      <c r="O10">
        <v>2247.3589999999999</v>
      </c>
      <c r="P10">
        <v>1970.4570000000001</v>
      </c>
      <c r="R10" s="3">
        <f t="shared" si="2"/>
        <v>2151.5702500000002</v>
      </c>
      <c r="S10" s="3">
        <f t="shared" si="3"/>
        <v>106.87265525956194</v>
      </c>
    </row>
    <row r="11" spans="1:19" x14ac:dyDescent="0.25">
      <c r="A11">
        <v>1.25</v>
      </c>
      <c r="B11">
        <v>3302.848</v>
      </c>
      <c r="C11">
        <v>3193.6590000000001</v>
      </c>
      <c r="D11">
        <v>2889.9380000000001</v>
      </c>
      <c r="E11">
        <v>3220.337</v>
      </c>
      <c r="F11">
        <v>2683.114</v>
      </c>
      <c r="H11" s="2">
        <f t="shared" si="0"/>
        <v>3057.9791999999998</v>
      </c>
      <c r="I11" s="2">
        <f t="shared" si="1"/>
        <v>116.93835034555599</v>
      </c>
      <c r="K11">
        <v>1.25</v>
      </c>
      <c r="L11" t="s">
        <v>6</v>
      </c>
      <c r="M11">
        <v>2564.16</v>
      </c>
      <c r="N11">
        <v>3006.4180000000001</v>
      </c>
      <c r="O11">
        <v>3008.2460000000001</v>
      </c>
      <c r="P11">
        <v>2551.6819999999998</v>
      </c>
      <c r="R11" s="3">
        <f t="shared" si="2"/>
        <v>2782.6265000000003</v>
      </c>
      <c r="S11" s="3">
        <f t="shared" si="3"/>
        <v>129.75931821228366</v>
      </c>
    </row>
    <row r="12" spans="1:19" x14ac:dyDescent="0.25">
      <c r="A12">
        <v>2.5</v>
      </c>
      <c r="B12">
        <v>3698.4609999999998</v>
      </c>
      <c r="C12">
        <v>3554.38</v>
      </c>
      <c r="D12">
        <v>3200.0529999999999</v>
      </c>
      <c r="E12">
        <v>3660.45</v>
      </c>
      <c r="F12">
        <v>3046.7420000000002</v>
      </c>
      <c r="H12" s="2">
        <f t="shared" si="0"/>
        <v>3432.0172000000007</v>
      </c>
      <c r="I12" s="2">
        <f t="shared" si="1"/>
        <v>130.45897196337239</v>
      </c>
      <c r="K12">
        <v>2.5</v>
      </c>
      <c r="L12" t="s">
        <v>6</v>
      </c>
      <c r="M12">
        <v>2936.123</v>
      </c>
      <c r="N12">
        <v>3332.5160000000001</v>
      </c>
      <c r="O12">
        <v>3465.0990000000002</v>
      </c>
      <c r="P12">
        <v>2976.3760000000002</v>
      </c>
      <c r="R12" s="3">
        <f t="shared" si="2"/>
        <v>3177.5285000000003</v>
      </c>
      <c r="S12" s="3">
        <f t="shared" si="3"/>
        <v>130.84878719123333</v>
      </c>
    </row>
    <row r="13" spans="1:19" x14ac:dyDescent="0.25">
      <c r="A13">
        <v>3.75</v>
      </c>
      <c r="B13">
        <v>3875.7469999999998</v>
      </c>
      <c r="C13">
        <v>3678.0610000000001</v>
      </c>
      <c r="D13">
        <v>3367.1129999999998</v>
      </c>
      <c r="E13">
        <v>3802.8049999999998</v>
      </c>
      <c r="F13">
        <v>3199.8420000000001</v>
      </c>
      <c r="H13" s="2">
        <f t="shared" si="0"/>
        <v>3584.7136</v>
      </c>
      <c r="I13" s="2">
        <f t="shared" si="1"/>
        <v>129.70239114280039</v>
      </c>
      <c r="K13">
        <v>3.75</v>
      </c>
      <c r="L13" t="s">
        <v>6</v>
      </c>
      <c r="M13">
        <v>3110.9180000000001</v>
      </c>
      <c r="N13">
        <v>3458.1640000000002</v>
      </c>
      <c r="O13">
        <v>3642.5390000000002</v>
      </c>
      <c r="P13">
        <v>3198.5630000000001</v>
      </c>
      <c r="R13" s="3">
        <f t="shared" si="2"/>
        <v>3352.5460000000003</v>
      </c>
      <c r="S13" s="3">
        <f t="shared" si="3"/>
        <v>121.56821015586273</v>
      </c>
    </row>
    <row r="14" spans="1:19" x14ac:dyDescent="0.25">
      <c r="A14">
        <v>5</v>
      </c>
      <c r="B14">
        <v>3965.355</v>
      </c>
      <c r="C14">
        <v>3718.5639999999999</v>
      </c>
      <c r="D14">
        <v>3356.3510000000001</v>
      </c>
      <c r="E14">
        <v>3882.636</v>
      </c>
      <c r="F14">
        <v>3268.7249999999999</v>
      </c>
      <c r="H14" s="2">
        <f t="shared" si="0"/>
        <v>3638.3262000000004</v>
      </c>
      <c r="I14" s="2">
        <f t="shared" si="1"/>
        <v>139.49700344645399</v>
      </c>
      <c r="K14">
        <v>5</v>
      </c>
      <c r="L14" t="s">
        <v>6</v>
      </c>
      <c r="M14">
        <v>3162.8789999999999</v>
      </c>
      <c r="N14">
        <v>3485.84</v>
      </c>
      <c r="O14">
        <v>3708.723</v>
      </c>
      <c r="P14">
        <v>3248.6860000000001</v>
      </c>
      <c r="R14" s="3">
        <f t="shared" si="2"/>
        <v>3401.5319999999997</v>
      </c>
      <c r="S14" s="3">
        <f t="shared" si="3"/>
        <v>123.08239227918293</v>
      </c>
    </row>
    <row r="15" spans="1:19" x14ac:dyDescent="0.25">
      <c r="A15">
        <v>6.25</v>
      </c>
      <c r="B15">
        <v>3943.212</v>
      </c>
      <c r="C15">
        <v>3662.1320000000001</v>
      </c>
      <c r="D15">
        <v>3282.6309999999999</v>
      </c>
      <c r="E15">
        <v>3898.5079999999998</v>
      </c>
      <c r="F15">
        <v>3309.2979999999998</v>
      </c>
      <c r="H15" s="2">
        <f t="shared" si="0"/>
        <v>3619.1561999999999</v>
      </c>
      <c r="I15" s="2">
        <f t="shared" si="1"/>
        <v>140.38479679167543</v>
      </c>
      <c r="K15">
        <v>6.25</v>
      </c>
      <c r="L15" t="s">
        <v>6</v>
      </c>
      <c r="M15">
        <v>3131.201</v>
      </c>
      <c r="N15">
        <v>3458.5610000000001</v>
      </c>
      <c r="O15">
        <v>3722.431</v>
      </c>
      <c r="P15">
        <v>3212.9949999999999</v>
      </c>
      <c r="R15" s="3">
        <f t="shared" si="2"/>
        <v>3381.2970000000005</v>
      </c>
      <c r="S15" s="3">
        <f t="shared" si="3"/>
        <v>133.29656912063919</v>
      </c>
    </row>
    <row r="16" spans="1:19" x14ac:dyDescent="0.25">
      <c r="A16">
        <v>7.5</v>
      </c>
      <c r="B16">
        <v>3833.875</v>
      </c>
      <c r="C16">
        <v>3543.9169999999999</v>
      </c>
      <c r="D16">
        <v>3151.7260000000001</v>
      </c>
      <c r="E16">
        <v>3811.3580000000002</v>
      </c>
      <c r="F16">
        <v>3249.8220000000001</v>
      </c>
      <c r="H16" s="2">
        <f t="shared" si="0"/>
        <v>3518.1396</v>
      </c>
      <c r="I16" s="2">
        <f t="shared" si="1"/>
        <v>140.10417695365115</v>
      </c>
      <c r="K16">
        <v>7.5</v>
      </c>
      <c r="L16" t="s">
        <v>6</v>
      </c>
      <c r="M16">
        <v>3019.509</v>
      </c>
      <c r="N16">
        <v>3323.5639999999999</v>
      </c>
      <c r="O16">
        <v>3630.38</v>
      </c>
      <c r="P16">
        <v>3108.9580000000001</v>
      </c>
      <c r="R16" s="3">
        <f t="shared" si="2"/>
        <v>3270.6027500000005</v>
      </c>
      <c r="S16" s="3">
        <f t="shared" si="3"/>
        <v>135.83742124035322</v>
      </c>
    </row>
    <row r="17" spans="1:19" x14ac:dyDescent="0.25">
      <c r="A17">
        <v>8.75</v>
      </c>
      <c r="B17">
        <v>3584.0610000000001</v>
      </c>
      <c r="C17">
        <v>3324.3339999999998</v>
      </c>
      <c r="D17">
        <v>2963.43</v>
      </c>
      <c r="E17">
        <v>3598.57</v>
      </c>
      <c r="F17">
        <v>3062.4409999999998</v>
      </c>
      <c r="H17" s="2">
        <f t="shared" si="0"/>
        <v>3306.5672</v>
      </c>
      <c r="I17" s="2">
        <f t="shared" si="1"/>
        <v>130.36963660661181</v>
      </c>
      <c r="K17">
        <v>8.75</v>
      </c>
      <c r="L17" t="s">
        <v>6</v>
      </c>
      <c r="M17">
        <v>2839.7779999999998</v>
      </c>
      <c r="N17">
        <v>3110.971</v>
      </c>
      <c r="O17">
        <v>3428.9349999999999</v>
      </c>
      <c r="P17">
        <v>2917.6390000000001</v>
      </c>
      <c r="R17" s="3">
        <f t="shared" si="2"/>
        <v>3074.3307500000001</v>
      </c>
      <c r="S17" s="3">
        <f t="shared" si="3"/>
        <v>131.22943619501876</v>
      </c>
    </row>
    <row r="18" spans="1:19" x14ac:dyDescent="0.25">
      <c r="A18">
        <v>10</v>
      </c>
      <c r="B18">
        <v>3214.377</v>
      </c>
      <c r="C18">
        <v>3024.482</v>
      </c>
      <c r="D18">
        <v>2636.0259999999998</v>
      </c>
      <c r="E18">
        <v>3203.511</v>
      </c>
      <c r="F18">
        <v>2725.1149999999998</v>
      </c>
      <c r="H18" s="2">
        <f t="shared" si="0"/>
        <v>2960.7022000000002</v>
      </c>
      <c r="I18" s="2">
        <f t="shared" si="1"/>
        <v>120.06057722058479</v>
      </c>
      <c r="K18">
        <v>10</v>
      </c>
      <c r="L18" t="s">
        <v>6</v>
      </c>
      <c r="M18">
        <v>2569.08</v>
      </c>
      <c r="N18">
        <v>2813.07</v>
      </c>
      <c r="O18">
        <v>3045.7890000000002</v>
      </c>
      <c r="P18">
        <v>2671.7109999999998</v>
      </c>
      <c r="R18" s="3">
        <f t="shared" si="2"/>
        <v>2774.9124999999999</v>
      </c>
      <c r="S18" s="3">
        <f t="shared" si="3"/>
        <v>103.21807041284011</v>
      </c>
    </row>
    <row r="19" spans="1:19" x14ac:dyDescent="0.25">
      <c r="A19">
        <v>11.25</v>
      </c>
      <c r="B19">
        <v>2868.41</v>
      </c>
      <c r="C19">
        <v>2704.0810000000001</v>
      </c>
      <c r="D19">
        <v>2330.692</v>
      </c>
      <c r="E19">
        <v>2828.1849999999999</v>
      </c>
      <c r="F19">
        <v>2422.4070000000002</v>
      </c>
      <c r="H19" s="2">
        <f t="shared" si="0"/>
        <v>2630.7550000000001</v>
      </c>
      <c r="I19" s="2">
        <f t="shared" si="1"/>
        <v>108.23167264576479</v>
      </c>
      <c r="K19">
        <v>11.25</v>
      </c>
      <c r="L19" t="s">
        <v>6</v>
      </c>
      <c r="M19">
        <v>2297.9879999999998</v>
      </c>
      <c r="N19">
        <v>2483.9639999999999</v>
      </c>
      <c r="O19">
        <v>2699.6819999999998</v>
      </c>
      <c r="P19">
        <v>2412.0619999999999</v>
      </c>
      <c r="R19" s="3">
        <f t="shared" si="2"/>
        <v>2473.424</v>
      </c>
      <c r="S19" s="3">
        <f t="shared" si="3"/>
        <v>84.58075988071991</v>
      </c>
    </row>
    <row r="20" spans="1:19" x14ac:dyDescent="0.25">
      <c r="A20">
        <v>12.5</v>
      </c>
      <c r="B20">
        <v>2705.7179999999998</v>
      </c>
      <c r="C20">
        <v>2551.5239999999999</v>
      </c>
      <c r="D20">
        <v>2180.8470000000002</v>
      </c>
      <c r="E20">
        <v>2647.68</v>
      </c>
      <c r="F20">
        <v>2248.627</v>
      </c>
      <c r="H20" s="2">
        <f t="shared" si="0"/>
        <v>2466.8792000000003</v>
      </c>
      <c r="I20" s="2">
        <f t="shared" si="1"/>
        <v>106.38281958916104</v>
      </c>
      <c r="K20">
        <v>12.5</v>
      </c>
      <c r="L20" t="s">
        <v>6</v>
      </c>
      <c r="M20">
        <v>2154.1179999999999</v>
      </c>
      <c r="N20">
        <v>2320.21</v>
      </c>
      <c r="O20">
        <v>2524.5419999999999</v>
      </c>
      <c r="P20">
        <v>2296.9850000000001</v>
      </c>
      <c r="R20" s="3">
        <f t="shared" si="2"/>
        <v>2323.9637499999999</v>
      </c>
      <c r="S20" s="3">
        <f t="shared" si="3"/>
        <v>76.278632196239357</v>
      </c>
    </row>
    <row r="21" spans="1:19" x14ac:dyDescent="0.25">
      <c r="A21">
        <v>13.75</v>
      </c>
      <c r="B21">
        <v>2650.71</v>
      </c>
      <c r="C21">
        <v>2485.9029999999998</v>
      </c>
      <c r="D21">
        <v>2133.4119999999998</v>
      </c>
      <c r="E21">
        <v>2565.4749999999999</v>
      </c>
      <c r="F21">
        <v>2153.8879999999999</v>
      </c>
      <c r="H21" s="2">
        <f t="shared" si="0"/>
        <v>2397.8775999999998</v>
      </c>
      <c r="I21" s="2">
        <f t="shared" si="1"/>
        <v>107.0594602343016</v>
      </c>
      <c r="K21">
        <v>13.75</v>
      </c>
      <c r="L21" t="s">
        <v>6</v>
      </c>
      <c r="M21">
        <v>2100.203</v>
      </c>
      <c r="N21">
        <v>2243.19</v>
      </c>
      <c r="O21">
        <v>2458.6950000000002</v>
      </c>
      <c r="P21">
        <v>2246.223</v>
      </c>
      <c r="R21" s="3">
        <f t="shared" si="2"/>
        <v>2262.0777499999999</v>
      </c>
      <c r="S21" s="3">
        <f t="shared" si="3"/>
        <v>73.86355544896621</v>
      </c>
    </row>
    <row r="22" spans="1:19" x14ac:dyDescent="0.25">
      <c r="A22">
        <v>15</v>
      </c>
      <c r="B22">
        <v>2632.9009999999998</v>
      </c>
      <c r="C22">
        <v>2471.5680000000002</v>
      </c>
      <c r="D22">
        <v>2113.7159999999999</v>
      </c>
      <c r="E22">
        <v>2533.7330000000002</v>
      </c>
      <c r="F22">
        <v>2112.922</v>
      </c>
      <c r="H22" s="2">
        <f t="shared" si="0"/>
        <v>2372.9679999999998</v>
      </c>
      <c r="I22" s="2">
        <f t="shared" si="1"/>
        <v>109.07979449329743</v>
      </c>
      <c r="K22">
        <v>15</v>
      </c>
      <c r="L22" t="s">
        <v>6</v>
      </c>
      <c r="M22">
        <v>2069.09</v>
      </c>
      <c r="N22">
        <v>2215.6819999999998</v>
      </c>
      <c r="O22">
        <v>2444.09</v>
      </c>
      <c r="P22">
        <v>2224.482</v>
      </c>
      <c r="R22" s="3">
        <f t="shared" si="2"/>
        <v>2238.3360000000002</v>
      </c>
      <c r="S22" s="3">
        <f t="shared" si="3"/>
        <v>77.28952821695836</v>
      </c>
    </row>
    <row r="23" spans="1:19" x14ac:dyDescent="0.25">
      <c r="A23">
        <v>16.25</v>
      </c>
      <c r="B23">
        <v>2633.7020000000002</v>
      </c>
      <c r="C23">
        <v>2464.7979999999998</v>
      </c>
      <c r="D23">
        <v>2106.8359999999998</v>
      </c>
      <c r="E23">
        <v>2526.0569999999998</v>
      </c>
      <c r="F23">
        <v>2099.1849999999999</v>
      </c>
      <c r="H23" s="2">
        <f t="shared" si="0"/>
        <v>2366.1156000000001</v>
      </c>
      <c r="I23" s="2">
        <f t="shared" si="1"/>
        <v>110.76998807465858</v>
      </c>
      <c r="K23">
        <v>16.25</v>
      </c>
      <c r="L23" t="s">
        <v>6</v>
      </c>
      <c r="M23">
        <v>2059.143</v>
      </c>
      <c r="N23">
        <v>2204.3589999999999</v>
      </c>
      <c r="O23">
        <v>2440.848</v>
      </c>
      <c r="P23">
        <v>2218.172</v>
      </c>
      <c r="R23" s="3">
        <f t="shared" si="2"/>
        <v>2230.6305000000002</v>
      </c>
      <c r="S23" s="3">
        <f t="shared" si="3"/>
        <v>78.763763822056291</v>
      </c>
    </row>
    <row r="24" spans="1:19" x14ac:dyDescent="0.25">
      <c r="A24">
        <v>17.5</v>
      </c>
      <c r="B24">
        <v>2628.0050000000001</v>
      </c>
      <c r="C24">
        <v>2446.9409999999998</v>
      </c>
      <c r="D24">
        <v>2092.7260000000001</v>
      </c>
      <c r="E24">
        <v>2527.1179999999999</v>
      </c>
      <c r="F24">
        <v>2095.2359999999999</v>
      </c>
      <c r="H24" s="2">
        <f t="shared" si="0"/>
        <v>2358.0052000000005</v>
      </c>
      <c r="I24" s="2">
        <f t="shared" si="1"/>
        <v>111.54131836830689</v>
      </c>
      <c r="K24">
        <v>17.5</v>
      </c>
      <c r="L24" t="s">
        <v>6</v>
      </c>
      <c r="M24">
        <v>2064.0129999999999</v>
      </c>
      <c r="N24">
        <v>2200.761</v>
      </c>
      <c r="O24">
        <v>2435.893</v>
      </c>
      <c r="P24">
        <v>2222.8649999999998</v>
      </c>
      <c r="R24" s="3">
        <f t="shared" si="2"/>
        <v>2230.8829999999998</v>
      </c>
      <c r="S24" s="3">
        <f t="shared" si="3"/>
        <v>76.836579942975959</v>
      </c>
    </row>
    <row r="25" spans="1:19" x14ac:dyDescent="0.25">
      <c r="A25">
        <v>18.75</v>
      </c>
      <c r="B25">
        <v>2627.5369999999998</v>
      </c>
      <c r="C25">
        <v>2433.067</v>
      </c>
      <c r="D25">
        <v>2081.462</v>
      </c>
      <c r="E25">
        <v>2525.7890000000002</v>
      </c>
      <c r="F25">
        <v>2086.922</v>
      </c>
      <c r="H25" s="2">
        <f t="shared" si="0"/>
        <v>2350.9553999999998</v>
      </c>
      <c r="I25" s="2">
        <f t="shared" si="1"/>
        <v>113.1695217276277</v>
      </c>
      <c r="K25">
        <v>18.75</v>
      </c>
      <c r="L25" t="s">
        <v>6</v>
      </c>
      <c r="M25">
        <v>2057.0129999999999</v>
      </c>
      <c r="N25">
        <v>2197.0030000000002</v>
      </c>
      <c r="O25">
        <v>2437.1120000000001</v>
      </c>
      <c r="P25">
        <v>2212.9949999999999</v>
      </c>
      <c r="R25" s="3">
        <f t="shared" si="2"/>
        <v>2226.0307499999999</v>
      </c>
      <c r="S25" s="3">
        <f t="shared" si="3"/>
        <v>78.599636854944634</v>
      </c>
    </row>
    <row r="26" spans="1:19" x14ac:dyDescent="0.25">
      <c r="A26">
        <v>20</v>
      </c>
      <c r="B26">
        <v>2635.9079999999999</v>
      </c>
      <c r="C26">
        <v>2431.2530000000002</v>
      </c>
      <c r="D26">
        <v>2071.0230000000001</v>
      </c>
      <c r="E26">
        <v>2519.5770000000002</v>
      </c>
      <c r="F26">
        <v>2080.5720000000001</v>
      </c>
      <c r="H26" s="2">
        <f t="shared" si="0"/>
        <v>2347.6666</v>
      </c>
      <c r="I26" s="2">
        <f t="shared" si="1"/>
        <v>115.64907767405668</v>
      </c>
      <c r="K26">
        <v>20</v>
      </c>
      <c r="L26" t="s">
        <v>6</v>
      </c>
      <c r="M26">
        <v>2040.143</v>
      </c>
      <c r="N26">
        <v>2201.4949999999999</v>
      </c>
      <c r="O26">
        <v>2433.2570000000001</v>
      </c>
      <c r="P26">
        <v>2198.8890000000001</v>
      </c>
      <c r="R26" s="3">
        <f t="shared" si="2"/>
        <v>2218.4459999999999</v>
      </c>
      <c r="S26" s="3">
        <f t="shared" si="3"/>
        <v>80.934921480162075</v>
      </c>
    </row>
    <row r="27" spans="1:19" x14ac:dyDescent="0.25">
      <c r="A27">
        <v>21.25</v>
      </c>
      <c r="B27">
        <v>2638.9969999999998</v>
      </c>
      <c r="C27">
        <v>2429.7190000000001</v>
      </c>
      <c r="D27">
        <v>2069.9760000000001</v>
      </c>
      <c r="E27">
        <v>2510.8110000000001</v>
      </c>
      <c r="F27">
        <v>2076.462</v>
      </c>
      <c r="H27" s="2">
        <f t="shared" si="0"/>
        <v>2345.1930000000002</v>
      </c>
      <c r="I27" s="2">
        <f t="shared" si="1"/>
        <v>115.94298263931282</v>
      </c>
      <c r="K27">
        <v>21.25</v>
      </c>
      <c r="L27" t="s">
        <v>6</v>
      </c>
      <c r="M27">
        <v>2023.4880000000001</v>
      </c>
      <c r="N27">
        <v>2197.971</v>
      </c>
      <c r="O27">
        <v>2425.221</v>
      </c>
      <c r="P27">
        <v>2182.9839999999999</v>
      </c>
      <c r="R27" s="3">
        <f t="shared" si="2"/>
        <v>2207.4160000000002</v>
      </c>
      <c r="S27" s="3">
        <f t="shared" si="3"/>
        <v>82.641120645233258</v>
      </c>
    </row>
    <row r="28" spans="1:19" x14ac:dyDescent="0.25">
      <c r="A28">
        <v>22.5</v>
      </c>
      <c r="B28">
        <v>2639.5329999999999</v>
      </c>
      <c r="C28">
        <v>2427.1390000000001</v>
      </c>
      <c r="D28">
        <v>2076.2759999999998</v>
      </c>
      <c r="E28">
        <v>2504.777</v>
      </c>
      <c r="F28">
        <v>2063.7849999999999</v>
      </c>
      <c r="H28" s="2">
        <f t="shared" si="0"/>
        <v>2342.3020000000001</v>
      </c>
      <c r="I28" s="2">
        <f t="shared" si="1"/>
        <v>116.25043258414139</v>
      </c>
      <c r="K28">
        <v>22.5</v>
      </c>
      <c r="L28" t="s">
        <v>6</v>
      </c>
      <c r="M28">
        <v>2011.6579999999999</v>
      </c>
      <c r="N28">
        <v>2185.9229999999998</v>
      </c>
      <c r="O28">
        <v>2416.1439999999998</v>
      </c>
      <c r="P28">
        <v>2167.5149999999999</v>
      </c>
      <c r="R28" s="3">
        <f t="shared" si="2"/>
        <v>2195.31</v>
      </c>
      <c r="S28" s="3">
        <f t="shared" si="3"/>
        <v>83.344861096330717</v>
      </c>
    </row>
    <row r="29" spans="1:19" x14ac:dyDescent="0.25">
      <c r="A29">
        <v>23.75</v>
      </c>
      <c r="B29">
        <v>2657.1950000000002</v>
      </c>
      <c r="C29">
        <v>2425.0619999999999</v>
      </c>
      <c r="D29">
        <v>2088.0619999999999</v>
      </c>
      <c r="E29">
        <v>2520.0700000000002</v>
      </c>
      <c r="F29">
        <v>2066.85</v>
      </c>
      <c r="H29" s="2">
        <f t="shared" si="0"/>
        <v>2351.4477999999999</v>
      </c>
      <c r="I29" s="2">
        <f t="shared" si="1"/>
        <v>117.83501909211883</v>
      </c>
      <c r="K29">
        <v>23.75</v>
      </c>
      <c r="L29" t="s">
        <v>6</v>
      </c>
      <c r="M29">
        <v>2017.4580000000001</v>
      </c>
      <c r="N29">
        <v>2184.8850000000002</v>
      </c>
      <c r="O29">
        <v>2428.4059999999999</v>
      </c>
      <c r="P29">
        <v>2173.2660000000001</v>
      </c>
      <c r="R29" s="3">
        <f t="shared" si="2"/>
        <v>2201.0037500000003</v>
      </c>
      <c r="S29" s="3">
        <f t="shared" si="3"/>
        <v>84.867554913892121</v>
      </c>
    </row>
    <row r="30" spans="1:19" x14ac:dyDescent="0.25">
      <c r="A30">
        <v>25</v>
      </c>
      <c r="B30">
        <v>2685.5140000000001</v>
      </c>
      <c r="C30">
        <v>2446.2109999999998</v>
      </c>
      <c r="D30">
        <v>2101.34</v>
      </c>
      <c r="E30">
        <v>2552.7579999999998</v>
      </c>
      <c r="F30">
        <v>2093.9569999999999</v>
      </c>
      <c r="H30" s="2">
        <f t="shared" si="0"/>
        <v>2375.9560000000001</v>
      </c>
      <c r="I30" s="2">
        <f t="shared" si="1"/>
        <v>119.78277235270349</v>
      </c>
      <c r="K30">
        <v>25</v>
      </c>
      <c r="L30" t="s">
        <v>6</v>
      </c>
      <c r="M30">
        <v>2048.259</v>
      </c>
      <c r="N30">
        <v>2207.1770000000001</v>
      </c>
      <c r="O30">
        <v>2455.8119999999999</v>
      </c>
      <c r="P30">
        <v>2195.9879999999998</v>
      </c>
      <c r="R30" s="3">
        <f t="shared" si="2"/>
        <v>2226.8089999999997</v>
      </c>
      <c r="S30" s="3">
        <f t="shared" si="3"/>
        <v>84.487585860290721</v>
      </c>
    </row>
    <row r="31" spans="1:19" x14ac:dyDescent="0.25">
      <c r="A31">
        <v>26.25</v>
      </c>
      <c r="B31">
        <v>2707.835</v>
      </c>
      <c r="C31">
        <v>2478.1709999999998</v>
      </c>
      <c r="D31">
        <v>2116.7109999999998</v>
      </c>
      <c r="E31">
        <v>2590.317</v>
      </c>
      <c r="F31">
        <v>2131.2800000000002</v>
      </c>
      <c r="H31" s="2">
        <f t="shared" si="0"/>
        <v>2404.8627999999999</v>
      </c>
      <c r="I31" s="2">
        <f t="shared" si="1"/>
        <v>120.29931727919322</v>
      </c>
      <c r="K31">
        <v>26.25</v>
      </c>
      <c r="L31" t="s">
        <v>6</v>
      </c>
      <c r="M31">
        <v>2078.2310000000002</v>
      </c>
      <c r="N31">
        <v>2252.7669999999998</v>
      </c>
      <c r="O31">
        <v>2479.5340000000001</v>
      </c>
      <c r="P31">
        <v>2224.9679999999998</v>
      </c>
      <c r="R31" s="3">
        <f t="shared" si="2"/>
        <v>2258.875</v>
      </c>
      <c r="S31" s="3">
        <f t="shared" si="3"/>
        <v>82.920464567962142</v>
      </c>
    </row>
    <row r="32" spans="1:19" x14ac:dyDescent="0.25">
      <c r="A32">
        <v>27.5</v>
      </c>
      <c r="B32">
        <v>2721.4569999999999</v>
      </c>
      <c r="C32">
        <v>2494.1410000000001</v>
      </c>
      <c r="D32">
        <v>2119.8330000000001</v>
      </c>
      <c r="E32">
        <v>2607.692</v>
      </c>
      <c r="F32">
        <v>2158.8110000000001</v>
      </c>
      <c r="H32" s="2">
        <f t="shared" si="0"/>
        <v>2420.3867999999998</v>
      </c>
      <c r="I32" s="2">
        <f t="shared" si="1"/>
        <v>120.39947490184494</v>
      </c>
      <c r="K32">
        <v>27.5</v>
      </c>
      <c r="L32" t="s">
        <v>6</v>
      </c>
      <c r="M32">
        <v>2092.7170000000001</v>
      </c>
      <c r="N32">
        <v>2274.826</v>
      </c>
      <c r="O32">
        <v>2502.3490000000002</v>
      </c>
      <c r="P32">
        <v>2244.1680000000001</v>
      </c>
      <c r="R32" s="3">
        <f t="shared" si="2"/>
        <v>2278.5149999999999</v>
      </c>
      <c r="S32" s="3">
        <f t="shared" si="3"/>
        <v>84.565498032590114</v>
      </c>
    </row>
    <row r="33" spans="1:19" x14ac:dyDescent="0.25">
      <c r="A33">
        <v>28.75</v>
      </c>
      <c r="B33">
        <v>2716.931</v>
      </c>
      <c r="C33">
        <v>2493.797</v>
      </c>
      <c r="D33">
        <v>2123.694</v>
      </c>
      <c r="E33">
        <v>2622.0120000000002</v>
      </c>
      <c r="F33">
        <v>2165.6</v>
      </c>
      <c r="H33" s="2">
        <f t="shared" si="0"/>
        <v>2424.4068000000002</v>
      </c>
      <c r="I33" s="2">
        <f t="shared" si="1"/>
        <v>119.75858431001933</v>
      </c>
      <c r="K33">
        <v>28.75</v>
      </c>
      <c r="L33" t="s">
        <v>6</v>
      </c>
      <c r="M33">
        <v>2090.3389999999999</v>
      </c>
      <c r="N33">
        <v>2275.6660000000002</v>
      </c>
      <c r="O33">
        <v>2522.11</v>
      </c>
      <c r="P33">
        <v>2252.0059999999999</v>
      </c>
      <c r="R33" s="3">
        <f t="shared" si="2"/>
        <v>2285.0302499999998</v>
      </c>
      <c r="S33" s="3">
        <f t="shared" si="3"/>
        <v>89.111251138090523</v>
      </c>
    </row>
    <row r="34" spans="1:19" x14ac:dyDescent="0.25">
      <c r="A34">
        <v>30</v>
      </c>
      <c r="B34">
        <v>2718.26</v>
      </c>
      <c r="C34">
        <v>2509.1590000000001</v>
      </c>
      <c r="D34">
        <v>2142.7199999999998</v>
      </c>
      <c r="E34">
        <v>2634.7109999999998</v>
      </c>
      <c r="F34">
        <v>2179.8009999999999</v>
      </c>
      <c r="H34" s="2">
        <f t="shared" si="0"/>
        <v>2436.9301999999998</v>
      </c>
      <c r="I34" s="2">
        <f t="shared" si="1"/>
        <v>117.50654620973255</v>
      </c>
      <c r="K34">
        <v>30</v>
      </c>
      <c r="L34" t="s">
        <v>6</v>
      </c>
      <c r="M34">
        <v>2089.7280000000001</v>
      </c>
      <c r="N34">
        <v>2292.0819999999999</v>
      </c>
      <c r="O34">
        <v>2546.627</v>
      </c>
      <c r="P34">
        <v>2258.7950000000001</v>
      </c>
      <c r="R34" s="3">
        <f t="shared" si="2"/>
        <v>2296.808</v>
      </c>
      <c r="S34" s="3">
        <f t="shared" si="3"/>
        <v>94.321693513033694</v>
      </c>
    </row>
    <row r="35" spans="1:19" x14ac:dyDescent="0.25">
      <c r="A35">
        <v>31.25</v>
      </c>
      <c r="B35">
        <v>2726.5340000000001</v>
      </c>
      <c r="C35">
        <v>2519.2820000000002</v>
      </c>
      <c r="D35">
        <v>2168.4850000000001</v>
      </c>
      <c r="E35">
        <v>2646.5340000000001</v>
      </c>
      <c r="F35">
        <v>2202.2199999999998</v>
      </c>
      <c r="H35" s="2">
        <f t="shared" si="0"/>
        <v>2452.6109999999999</v>
      </c>
      <c r="I35" s="2">
        <f t="shared" si="1"/>
        <v>114.12891808301701</v>
      </c>
      <c r="K35">
        <v>31.25</v>
      </c>
      <c r="L35" t="s">
        <v>6</v>
      </c>
      <c r="M35">
        <v>2106.3980000000001</v>
      </c>
      <c r="N35">
        <v>2304.8890000000001</v>
      </c>
      <c r="O35">
        <v>2579.2910000000002</v>
      </c>
      <c r="P35">
        <v>2262.384</v>
      </c>
      <c r="R35" s="3">
        <f t="shared" si="2"/>
        <v>2313.2404999999999</v>
      </c>
      <c r="S35" s="3">
        <f t="shared" si="3"/>
        <v>98.413591329737926</v>
      </c>
    </row>
    <row r="36" spans="1:19" x14ac:dyDescent="0.25">
      <c r="A36">
        <v>32.5</v>
      </c>
      <c r="B36">
        <v>2727.154</v>
      </c>
      <c r="C36">
        <v>2518.6129999999998</v>
      </c>
      <c r="D36">
        <v>2164.5749999999998</v>
      </c>
      <c r="E36">
        <v>2647.4630000000002</v>
      </c>
      <c r="F36">
        <v>2193.0990000000002</v>
      </c>
      <c r="H36" s="2">
        <f t="shared" si="0"/>
        <v>2450.1808000000001</v>
      </c>
      <c r="I36" s="2">
        <f t="shared" si="1"/>
        <v>115.75385756785819</v>
      </c>
      <c r="K36">
        <v>32.5</v>
      </c>
      <c r="L36" t="s">
        <v>6</v>
      </c>
      <c r="M36">
        <v>2111.3789999999999</v>
      </c>
      <c r="N36">
        <v>2300.623</v>
      </c>
      <c r="O36">
        <v>2576.3049999999998</v>
      </c>
      <c r="P36">
        <v>2260.3200000000002</v>
      </c>
      <c r="R36" s="3">
        <f t="shared" si="2"/>
        <v>2312.1567500000001</v>
      </c>
      <c r="S36" s="3">
        <f t="shared" si="3"/>
        <v>96.999174787189958</v>
      </c>
    </row>
    <row r="37" spans="1:19" x14ac:dyDescent="0.25">
      <c r="A37">
        <v>33.75</v>
      </c>
      <c r="B37">
        <v>2741.1570000000002</v>
      </c>
      <c r="C37">
        <v>2511.663</v>
      </c>
      <c r="D37">
        <v>2150.6410000000001</v>
      </c>
      <c r="E37">
        <v>2630.7809999999999</v>
      </c>
      <c r="F37">
        <v>2188.4490000000001</v>
      </c>
      <c r="H37" s="2">
        <f t="shared" si="0"/>
        <v>2444.5382</v>
      </c>
      <c r="I37" s="2">
        <f t="shared" si="1"/>
        <v>118.13807057100601</v>
      </c>
      <c r="K37">
        <v>33.75</v>
      </c>
      <c r="L37" t="s">
        <v>6</v>
      </c>
      <c r="M37">
        <v>2104.6729999999998</v>
      </c>
      <c r="N37">
        <v>2285.1419999999998</v>
      </c>
      <c r="O37">
        <v>2564.4859999999999</v>
      </c>
      <c r="P37">
        <v>2248.5349999999999</v>
      </c>
      <c r="R37" s="3">
        <f t="shared" si="2"/>
        <v>2300.7089999999998</v>
      </c>
      <c r="S37" s="3">
        <f t="shared" si="3"/>
        <v>96.165169019245241</v>
      </c>
    </row>
    <row r="38" spans="1:19" x14ac:dyDescent="0.25">
      <c r="A38">
        <v>35</v>
      </c>
      <c r="B38">
        <v>2729.5439999999999</v>
      </c>
      <c r="C38">
        <v>2480.0639999999999</v>
      </c>
      <c r="D38">
        <v>2122.9110000000001</v>
      </c>
      <c r="E38">
        <v>2596.6480000000001</v>
      </c>
      <c r="F38">
        <v>2172.7550000000001</v>
      </c>
      <c r="H38" s="2">
        <f t="shared" si="0"/>
        <v>2420.3844000000004</v>
      </c>
      <c r="I38" s="2">
        <f t="shared" si="1"/>
        <v>118.32601427099617</v>
      </c>
      <c r="K38">
        <v>35</v>
      </c>
      <c r="L38" t="s">
        <v>6</v>
      </c>
      <c r="M38">
        <v>2076.837</v>
      </c>
      <c r="N38">
        <v>2256.8029999999999</v>
      </c>
      <c r="O38">
        <v>2534.6709999999998</v>
      </c>
      <c r="P38">
        <v>2224.779</v>
      </c>
      <c r="R38" s="3">
        <f t="shared" si="2"/>
        <v>2273.2725</v>
      </c>
      <c r="S38" s="3">
        <f t="shared" si="3"/>
        <v>95.541851839477445</v>
      </c>
    </row>
    <row r="39" spans="1:19" x14ac:dyDescent="0.25">
      <c r="A39">
        <v>36.25</v>
      </c>
      <c r="B39">
        <v>2620.1889999999999</v>
      </c>
      <c r="C39">
        <v>2371.4760000000001</v>
      </c>
      <c r="D39">
        <v>2036.8119999999999</v>
      </c>
      <c r="E39">
        <v>2492.6320000000001</v>
      </c>
      <c r="F39">
        <v>2072.5889999999999</v>
      </c>
      <c r="H39" s="2">
        <f t="shared" si="0"/>
        <v>2318.7395999999999</v>
      </c>
      <c r="I39" s="2">
        <f t="shared" si="1"/>
        <v>114.883576925773</v>
      </c>
      <c r="K39">
        <v>36.25</v>
      </c>
      <c r="L39" t="s">
        <v>6</v>
      </c>
      <c r="M39">
        <v>1982.1030000000001</v>
      </c>
      <c r="N39">
        <v>2163.529</v>
      </c>
      <c r="O39">
        <v>2423.739</v>
      </c>
      <c r="P39">
        <v>2130.951</v>
      </c>
      <c r="R39" s="3">
        <f t="shared" si="2"/>
        <v>2175.0805</v>
      </c>
      <c r="S39" s="3">
        <f t="shared" si="3"/>
        <v>91.811498486028412</v>
      </c>
    </row>
    <row r="40" spans="1:19" x14ac:dyDescent="0.25">
      <c r="A40">
        <v>37.5</v>
      </c>
      <c r="B40">
        <v>2444.0329999999999</v>
      </c>
      <c r="C40">
        <v>2223.9349999999999</v>
      </c>
      <c r="D40">
        <v>1900.992</v>
      </c>
      <c r="E40">
        <v>2335.848</v>
      </c>
      <c r="F40">
        <v>1930.9490000000001</v>
      </c>
      <c r="H40" s="2">
        <f t="shared" si="0"/>
        <v>2167.1514000000002</v>
      </c>
      <c r="I40" s="2">
        <f t="shared" si="1"/>
        <v>108.39251368826167</v>
      </c>
      <c r="K40">
        <v>37.5</v>
      </c>
      <c r="L40" t="s">
        <v>6</v>
      </c>
      <c r="M40">
        <v>1854.796</v>
      </c>
      <c r="N40">
        <v>2025.953</v>
      </c>
      <c r="O40">
        <v>2276.3609999999999</v>
      </c>
      <c r="P40">
        <v>1983.145</v>
      </c>
      <c r="R40" s="3">
        <f t="shared" si="2"/>
        <v>2035.0637499999998</v>
      </c>
      <c r="S40" s="3">
        <f t="shared" si="3"/>
        <v>88.270128448015527</v>
      </c>
    </row>
    <row r="41" spans="1:19" x14ac:dyDescent="0.25">
      <c r="A41">
        <v>38.75</v>
      </c>
      <c r="B41">
        <v>2282.9</v>
      </c>
      <c r="C41">
        <v>2082.4050000000002</v>
      </c>
      <c r="D41">
        <v>1773.1089999999999</v>
      </c>
      <c r="E41">
        <v>2205.62</v>
      </c>
      <c r="F41">
        <v>1810.704</v>
      </c>
      <c r="H41" s="2">
        <f t="shared" si="0"/>
        <v>2030.9476</v>
      </c>
      <c r="I41" s="2">
        <f t="shared" si="1"/>
        <v>102.86552148149626</v>
      </c>
      <c r="K41">
        <v>38.75</v>
      </c>
      <c r="L41" t="s">
        <v>6</v>
      </c>
      <c r="M41">
        <v>1737.2139999999999</v>
      </c>
      <c r="N41">
        <v>1894.9880000000001</v>
      </c>
      <c r="O41">
        <v>2139.6170000000002</v>
      </c>
      <c r="P41">
        <v>1849.194</v>
      </c>
      <c r="R41" s="3">
        <f t="shared" si="2"/>
        <v>1905.2532500000002</v>
      </c>
      <c r="S41" s="3">
        <f t="shared" si="3"/>
        <v>84.858495804658105</v>
      </c>
    </row>
    <row r="42" spans="1:19" x14ac:dyDescent="0.25">
      <c r="A42">
        <v>40</v>
      </c>
      <c r="B42">
        <v>2204.3420000000001</v>
      </c>
      <c r="C42">
        <v>1994.588</v>
      </c>
      <c r="D42">
        <v>1693.579</v>
      </c>
      <c r="E42">
        <v>2118.0369999999998</v>
      </c>
      <c r="F42">
        <v>1736.0070000000001</v>
      </c>
      <c r="H42" s="2">
        <f t="shared" si="0"/>
        <v>1949.3106</v>
      </c>
      <c r="I42" s="2">
        <f t="shared" si="1"/>
        <v>101.60136145869387</v>
      </c>
      <c r="K42">
        <v>40</v>
      </c>
      <c r="L42" t="s">
        <v>6</v>
      </c>
      <c r="M42">
        <v>1664.0889999999999</v>
      </c>
      <c r="N42">
        <v>1807.336</v>
      </c>
      <c r="O42">
        <v>2045.07</v>
      </c>
      <c r="P42">
        <v>1773.933</v>
      </c>
      <c r="R42" s="3">
        <f t="shared" si="2"/>
        <v>1822.607</v>
      </c>
      <c r="S42" s="3">
        <f t="shared" si="3"/>
        <v>80.218505974826869</v>
      </c>
    </row>
    <row r="43" spans="1:19" x14ac:dyDescent="0.25">
      <c r="A43">
        <v>41.25</v>
      </c>
      <c r="B43">
        <v>2171.2919999999999</v>
      </c>
      <c r="C43">
        <v>1957.8510000000001</v>
      </c>
      <c r="D43">
        <v>1666.4179999999999</v>
      </c>
      <c r="E43">
        <v>2067.8409999999999</v>
      </c>
      <c r="F43">
        <v>1697.0229999999999</v>
      </c>
      <c r="H43" s="2">
        <f t="shared" si="0"/>
        <v>1912.0849999999998</v>
      </c>
      <c r="I43" s="2">
        <f t="shared" si="1"/>
        <v>100.03665974881331</v>
      </c>
      <c r="K43">
        <v>41.25</v>
      </c>
      <c r="L43" t="s">
        <v>6</v>
      </c>
      <c r="M43">
        <v>1614.8119999999999</v>
      </c>
      <c r="N43">
        <v>1772.5160000000001</v>
      </c>
      <c r="O43">
        <v>1988.1120000000001</v>
      </c>
      <c r="P43">
        <v>1731.4179999999999</v>
      </c>
      <c r="R43" s="3">
        <f t="shared" si="2"/>
        <v>1776.7145</v>
      </c>
      <c r="S43" s="3">
        <f t="shared" si="3"/>
        <v>77.980084437737517</v>
      </c>
    </row>
    <row r="44" spans="1:19" x14ac:dyDescent="0.25">
      <c r="A44">
        <v>42.5</v>
      </c>
      <c r="B44">
        <v>2154.8270000000002</v>
      </c>
      <c r="C44">
        <v>1937.521</v>
      </c>
      <c r="D44">
        <v>1647.3130000000001</v>
      </c>
      <c r="E44">
        <v>2051.9270000000001</v>
      </c>
      <c r="F44">
        <v>1675.837</v>
      </c>
      <c r="H44" s="2">
        <f t="shared" si="0"/>
        <v>1893.4849999999999</v>
      </c>
      <c r="I44" s="2">
        <f t="shared" si="1"/>
        <v>100.8250918948273</v>
      </c>
      <c r="K44">
        <v>42.5</v>
      </c>
      <c r="L44" t="s">
        <v>6</v>
      </c>
      <c r="M44">
        <v>1598.15</v>
      </c>
      <c r="N44">
        <v>1761.211</v>
      </c>
      <c r="O44">
        <v>1967.7629999999999</v>
      </c>
      <c r="P44">
        <v>1724.7460000000001</v>
      </c>
      <c r="R44" s="3">
        <f t="shared" si="2"/>
        <v>1762.9675</v>
      </c>
      <c r="S44" s="3">
        <f t="shared" si="3"/>
        <v>76.686577204988495</v>
      </c>
    </row>
    <row r="45" spans="1:19" x14ac:dyDescent="0.25">
      <c r="A45">
        <v>43.75</v>
      </c>
      <c r="B45">
        <v>2157.0529999999999</v>
      </c>
      <c r="C45">
        <v>1943.6949999999999</v>
      </c>
      <c r="D45">
        <v>1647.566</v>
      </c>
      <c r="E45">
        <v>2047.356</v>
      </c>
      <c r="F45">
        <v>1668.163</v>
      </c>
      <c r="H45" s="2">
        <f t="shared" si="0"/>
        <v>1892.7665999999997</v>
      </c>
      <c r="I45" s="2">
        <f t="shared" si="1"/>
        <v>101.71258455009456</v>
      </c>
      <c r="K45">
        <v>43.75</v>
      </c>
      <c r="L45" t="s">
        <v>6</v>
      </c>
      <c r="M45">
        <v>1609.9079999999999</v>
      </c>
      <c r="N45">
        <v>1763.3720000000001</v>
      </c>
      <c r="O45">
        <v>1980.1189999999999</v>
      </c>
      <c r="P45">
        <v>1737.9179999999999</v>
      </c>
      <c r="R45" s="3">
        <f t="shared" si="2"/>
        <v>1772.8292499999998</v>
      </c>
      <c r="S45" s="3">
        <f t="shared" si="3"/>
        <v>76.822636155600875</v>
      </c>
    </row>
    <row r="46" spans="1:19" x14ac:dyDescent="0.25">
      <c r="A46">
        <v>45</v>
      </c>
      <c r="B46">
        <v>2207.3020000000001</v>
      </c>
      <c r="C46">
        <v>1987.6189999999999</v>
      </c>
      <c r="D46">
        <v>1679.645</v>
      </c>
      <c r="E46">
        <v>2068.09</v>
      </c>
      <c r="F46">
        <v>1684.193</v>
      </c>
      <c r="H46" s="2">
        <f t="shared" si="0"/>
        <v>1925.3697999999999</v>
      </c>
      <c r="I46" s="2">
        <f t="shared" si="1"/>
        <v>105.42217745303796</v>
      </c>
      <c r="K46">
        <v>45</v>
      </c>
      <c r="L46" t="s">
        <v>6</v>
      </c>
      <c r="M46">
        <v>1629.691</v>
      </c>
      <c r="N46">
        <v>1779.6189999999999</v>
      </c>
      <c r="O46">
        <v>2004.527</v>
      </c>
      <c r="P46">
        <v>1772.1969999999999</v>
      </c>
      <c r="R46" s="3">
        <f t="shared" si="2"/>
        <v>1796.5084999999999</v>
      </c>
      <c r="S46" s="3">
        <f t="shared" si="3"/>
        <v>77.446798347317113</v>
      </c>
    </row>
    <row r="47" spans="1:19" x14ac:dyDescent="0.25">
      <c r="A47">
        <v>46.25</v>
      </c>
      <c r="B47">
        <v>2287.1010000000001</v>
      </c>
      <c r="C47">
        <v>2040.2180000000001</v>
      </c>
      <c r="D47">
        <v>1735.8710000000001</v>
      </c>
      <c r="E47">
        <v>2124.0659999999998</v>
      </c>
      <c r="F47">
        <v>1734.6189999999999</v>
      </c>
      <c r="H47" s="2">
        <f t="shared" si="0"/>
        <v>1984.375</v>
      </c>
      <c r="I47" s="2">
        <f t="shared" si="1"/>
        <v>109.18043431815066</v>
      </c>
      <c r="K47">
        <v>46.25</v>
      </c>
      <c r="L47" t="s">
        <v>6</v>
      </c>
      <c r="M47">
        <v>1672.3389999999999</v>
      </c>
      <c r="N47">
        <v>1826.4860000000001</v>
      </c>
      <c r="O47">
        <v>2060.6039999999998</v>
      </c>
      <c r="P47">
        <v>1819.4580000000001</v>
      </c>
      <c r="R47" s="3">
        <f t="shared" si="2"/>
        <v>1844.7217500000002</v>
      </c>
      <c r="S47" s="3">
        <f t="shared" si="3"/>
        <v>80.255715271431981</v>
      </c>
    </row>
    <row r="48" spans="1:19" x14ac:dyDescent="0.25">
      <c r="A48">
        <v>47.5</v>
      </c>
      <c r="B48">
        <v>2344.527</v>
      </c>
      <c r="C48">
        <v>2085.73</v>
      </c>
      <c r="D48">
        <v>1779.354</v>
      </c>
      <c r="E48">
        <v>2193.1320000000001</v>
      </c>
      <c r="F48">
        <v>1792.12</v>
      </c>
      <c r="H48" s="2">
        <f t="shared" si="0"/>
        <v>2038.9726000000003</v>
      </c>
      <c r="I48" s="2">
        <f t="shared" si="1"/>
        <v>111.27733147752954</v>
      </c>
      <c r="K48">
        <v>47.5</v>
      </c>
      <c r="L48" t="s">
        <v>6</v>
      </c>
      <c r="M48">
        <v>1733.37</v>
      </c>
      <c r="N48">
        <v>1885.9659999999999</v>
      </c>
      <c r="O48">
        <v>2144.65</v>
      </c>
      <c r="P48">
        <v>1875.752</v>
      </c>
      <c r="R48" s="3">
        <f t="shared" si="2"/>
        <v>1909.9344999999998</v>
      </c>
      <c r="S48" s="3">
        <f t="shared" si="3"/>
        <v>85.639418931451615</v>
      </c>
    </row>
    <row r="49" spans="1:19" x14ac:dyDescent="0.25">
      <c r="A49">
        <v>48.75</v>
      </c>
      <c r="B49">
        <v>2367.2600000000002</v>
      </c>
      <c r="C49">
        <v>2141.328</v>
      </c>
      <c r="D49">
        <v>1820.866</v>
      </c>
      <c r="E49">
        <v>2248.5149999999999</v>
      </c>
      <c r="F49">
        <v>1837.9090000000001</v>
      </c>
      <c r="H49" s="2">
        <f t="shared" si="0"/>
        <v>2083.1755999999996</v>
      </c>
      <c r="I49" s="2">
        <f t="shared" si="1"/>
        <v>109.63229370701131</v>
      </c>
      <c r="K49">
        <v>48.75</v>
      </c>
      <c r="L49" t="s">
        <v>6</v>
      </c>
      <c r="M49">
        <v>1780.3589999999999</v>
      </c>
      <c r="N49">
        <v>1939.848</v>
      </c>
      <c r="O49">
        <v>2211.8679999999999</v>
      </c>
      <c r="P49">
        <v>1934.81</v>
      </c>
      <c r="R49" s="3">
        <f t="shared" si="2"/>
        <v>1966.7212500000001</v>
      </c>
      <c r="S49" s="3">
        <f t="shared" si="3"/>
        <v>89.707077341919714</v>
      </c>
    </row>
    <row r="50" spans="1:19" x14ac:dyDescent="0.25">
      <c r="A50">
        <v>50</v>
      </c>
      <c r="B50">
        <v>2420.9090000000001</v>
      </c>
      <c r="C50">
        <v>2208.6869999999999</v>
      </c>
      <c r="D50">
        <v>1880.8520000000001</v>
      </c>
      <c r="E50">
        <v>2309.4679999999998</v>
      </c>
      <c r="F50">
        <v>1869.789</v>
      </c>
      <c r="H50" s="2">
        <f t="shared" si="0"/>
        <v>2137.9409999999998</v>
      </c>
      <c r="I50" s="2">
        <f t="shared" si="1"/>
        <v>112.36050157728948</v>
      </c>
      <c r="K50">
        <v>50</v>
      </c>
      <c r="L50" t="s">
        <v>6</v>
      </c>
      <c r="M50">
        <v>1824.577</v>
      </c>
      <c r="N50">
        <v>1991.163</v>
      </c>
      <c r="O50">
        <v>2261.9</v>
      </c>
      <c r="P50">
        <v>1998.47</v>
      </c>
      <c r="R50" s="3">
        <f t="shared" si="2"/>
        <v>2019.0274999999999</v>
      </c>
      <c r="S50" s="3">
        <f t="shared" si="3"/>
        <v>90.368269400363474</v>
      </c>
    </row>
    <row r="51" spans="1:19" x14ac:dyDescent="0.25">
      <c r="A51">
        <v>51.25</v>
      </c>
      <c r="B51">
        <v>2525.989</v>
      </c>
      <c r="C51">
        <v>2327.5259999999998</v>
      </c>
      <c r="D51">
        <v>1970.068</v>
      </c>
      <c r="E51">
        <v>2374.9290000000001</v>
      </c>
      <c r="F51">
        <v>1932.0820000000001</v>
      </c>
      <c r="H51" s="2">
        <f t="shared" si="0"/>
        <v>2226.1187999999997</v>
      </c>
      <c r="I51" s="2">
        <f t="shared" si="1"/>
        <v>117.12593321267596</v>
      </c>
      <c r="K51">
        <v>51.25</v>
      </c>
      <c r="L51" t="s">
        <v>6</v>
      </c>
      <c r="M51">
        <v>1896.404</v>
      </c>
      <c r="N51">
        <v>2044.7909999999999</v>
      </c>
      <c r="O51">
        <v>2315.9540000000002</v>
      </c>
      <c r="P51">
        <v>2084.5129999999999</v>
      </c>
      <c r="R51" s="3">
        <f t="shared" si="2"/>
        <v>2085.4155000000001</v>
      </c>
      <c r="S51" s="3">
        <f t="shared" si="3"/>
        <v>86.854529540778742</v>
      </c>
    </row>
    <row r="52" spans="1:19" x14ac:dyDescent="0.25">
      <c r="A52">
        <v>52.5</v>
      </c>
      <c r="B52">
        <v>2635.3040000000001</v>
      </c>
      <c r="C52">
        <v>2412.7469999999998</v>
      </c>
      <c r="D52">
        <v>2053.154</v>
      </c>
      <c r="E52">
        <v>2425.8420000000001</v>
      </c>
      <c r="F52">
        <v>1973.942</v>
      </c>
      <c r="H52" s="2">
        <f t="shared" si="0"/>
        <v>2300.1978000000004</v>
      </c>
      <c r="I52" s="2">
        <f t="shared" si="1"/>
        <v>124.14174133723037</v>
      </c>
      <c r="K52">
        <v>52.5</v>
      </c>
      <c r="L52" t="s">
        <v>6</v>
      </c>
      <c r="M52">
        <v>1974.346</v>
      </c>
      <c r="N52">
        <v>2126.6790000000001</v>
      </c>
      <c r="O52">
        <v>2381.489</v>
      </c>
      <c r="P52">
        <v>2149.252</v>
      </c>
      <c r="R52" s="3">
        <f t="shared" si="2"/>
        <v>2157.9414999999999</v>
      </c>
      <c r="S52" s="3">
        <f t="shared" si="3"/>
        <v>84.030571665416318</v>
      </c>
    </row>
    <row r="53" spans="1:19" x14ac:dyDescent="0.25">
      <c r="A53">
        <v>53.75</v>
      </c>
      <c r="B53">
        <v>2672.4070000000002</v>
      </c>
      <c r="C53">
        <v>2418.4250000000002</v>
      </c>
      <c r="D53">
        <v>2063.6280000000002</v>
      </c>
      <c r="E53">
        <v>2447.94</v>
      </c>
      <c r="F53">
        <v>1987.2070000000001</v>
      </c>
      <c r="H53" s="2">
        <f t="shared" si="0"/>
        <v>2317.9214000000002</v>
      </c>
      <c r="I53" s="2">
        <f t="shared" si="1"/>
        <v>127.80903689043257</v>
      </c>
      <c r="K53">
        <v>53.75</v>
      </c>
      <c r="L53" t="s">
        <v>6</v>
      </c>
      <c r="M53">
        <v>1989.875</v>
      </c>
      <c r="N53">
        <v>2155.8090000000002</v>
      </c>
      <c r="O53">
        <v>2421.2669999999998</v>
      </c>
      <c r="P53">
        <v>2165.4380000000001</v>
      </c>
      <c r="R53" s="3">
        <f t="shared" si="2"/>
        <v>2183.0972499999998</v>
      </c>
      <c r="S53" s="3">
        <f t="shared" si="3"/>
        <v>89.030034917413261</v>
      </c>
    </row>
    <row r="54" spans="1:19" x14ac:dyDescent="0.25">
      <c r="A54">
        <v>55</v>
      </c>
      <c r="B54">
        <v>2572.1</v>
      </c>
      <c r="C54">
        <v>2344.6329999999998</v>
      </c>
      <c r="D54">
        <v>1988.4190000000001</v>
      </c>
      <c r="E54">
        <v>2376.1529999999998</v>
      </c>
      <c r="F54">
        <v>1933.548</v>
      </c>
      <c r="H54" s="2">
        <f t="shared" si="0"/>
        <v>2242.9706000000001</v>
      </c>
      <c r="I54" s="2">
        <f t="shared" si="1"/>
        <v>121.84781894666632</v>
      </c>
      <c r="K54">
        <v>55</v>
      </c>
      <c r="L54" t="s">
        <v>6</v>
      </c>
      <c r="M54">
        <v>1924.848</v>
      </c>
      <c r="N54">
        <v>2085.4169999999999</v>
      </c>
      <c r="O54">
        <v>2348.299</v>
      </c>
      <c r="P54">
        <v>2137.384</v>
      </c>
      <c r="R54" s="3">
        <f t="shared" si="2"/>
        <v>2123.9870000000001</v>
      </c>
      <c r="S54" s="3">
        <f t="shared" si="3"/>
        <v>87.387708505449069</v>
      </c>
    </row>
    <row r="55" spans="1:19" x14ac:dyDescent="0.25">
      <c r="A55">
        <v>56.25</v>
      </c>
      <c r="B55">
        <v>2408.7979999999998</v>
      </c>
      <c r="C55">
        <v>2228.7139999999999</v>
      </c>
      <c r="D55">
        <v>1889.867</v>
      </c>
      <c r="E55">
        <v>2219.8240000000001</v>
      </c>
      <c r="F55">
        <v>1771.7180000000001</v>
      </c>
      <c r="H55" s="2">
        <f t="shared" si="0"/>
        <v>2103.7842000000001</v>
      </c>
      <c r="I55" s="2">
        <f t="shared" si="1"/>
        <v>117.9268073723693</v>
      </c>
      <c r="K55">
        <v>56.25</v>
      </c>
      <c r="L55" t="s">
        <v>6</v>
      </c>
      <c r="M55">
        <v>1820.4590000000001</v>
      </c>
      <c r="N55">
        <v>1952.998</v>
      </c>
      <c r="O55">
        <v>2207.9899999999998</v>
      </c>
      <c r="P55">
        <v>2064.88</v>
      </c>
      <c r="R55" s="3">
        <f t="shared" si="2"/>
        <v>2011.5817500000001</v>
      </c>
      <c r="S55" s="3">
        <f t="shared" si="3"/>
        <v>82.349289337527537</v>
      </c>
    </row>
    <row r="56" spans="1:19" x14ac:dyDescent="0.25">
      <c r="A56">
        <v>57.5</v>
      </c>
      <c r="B56">
        <v>2273.71</v>
      </c>
      <c r="C56">
        <v>2101.5889999999999</v>
      </c>
      <c r="D56">
        <v>1768.4480000000001</v>
      </c>
      <c r="E56">
        <v>2058.71</v>
      </c>
      <c r="F56">
        <v>1613.634</v>
      </c>
      <c r="H56" s="2">
        <f t="shared" si="0"/>
        <v>1963.2182</v>
      </c>
      <c r="I56" s="2">
        <f t="shared" si="1"/>
        <v>119.33458503820215</v>
      </c>
      <c r="K56">
        <v>57.5</v>
      </c>
      <c r="L56" t="s">
        <v>6</v>
      </c>
      <c r="M56">
        <v>1702.13</v>
      </c>
      <c r="N56">
        <v>1833.77</v>
      </c>
      <c r="O56">
        <v>2037.0340000000001</v>
      </c>
      <c r="P56">
        <v>1973.876</v>
      </c>
      <c r="R56" s="3">
        <f t="shared" si="2"/>
        <v>1886.7025000000001</v>
      </c>
      <c r="S56" s="3">
        <f t="shared" si="3"/>
        <v>74.759412064635697</v>
      </c>
    </row>
    <row r="57" spans="1:19" x14ac:dyDescent="0.25">
      <c r="A57">
        <v>58.75</v>
      </c>
      <c r="B57">
        <v>2179.2559999999999</v>
      </c>
      <c r="C57">
        <v>2006.6010000000001</v>
      </c>
      <c r="D57">
        <v>1682.22</v>
      </c>
      <c r="E57">
        <v>1939.67</v>
      </c>
      <c r="F57">
        <v>1535.788</v>
      </c>
      <c r="H57" s="2">
        <f t="shared" si="0"/>
        <v>1868.7069999999999</v>
      </c>
      <c r="I57" s="2">
        <f t="shared" si="1"/>
        <v>115.34809182123423</v>
      </c>
      <c r="K57">
        <v>58.75</v>
      </c>
      <c r="L57" t="s">
        <v>6</v>
      </c>
      <c r="M57">
        <v>1622.9880000000001</v>
      </c>
      <c r="N57">
        <v>1751.83</v>
      </c>
      <c r="O57">
        <v>1915.2919999999999</v>
      </c>
      <c r="P57">
        <v>1912.163</v>
      </c>
      <c r="R57" s="3">
        <f t="shared" si="2"/>
        <v>1800.5682500000003</v>
      </c>
      <c r="S57" s="3">
        <f t="shared" si="3"/>
        <v>70.430278316425557</v>
      </c>
    </row>
    <row r="58" spans="1:19" x14ac:dyDescent="0.25">
      <c r="A58">
        <v>60</v>
      </c>
      <c r="B58">
        <v>2095.7109999999998</v>
      </c>
      <c r="C58">
        <v>1917.9570000000001</v>
      </c>
      <c r="D58">
        <v>1598.0820000000001</v>
      </c>
      <c r="E58">
        <v>1875.61</v>
      </c>
      <c r="F58">
        <v>1483.7460000000001</v>
      </c>
      <c r="H58" s="2">
        <f t="shared" si="0"/>
        <v>1794.2212</v>
      </c>
      <c r="I58" s="2">
        <f t="shared" si="1"/>
        <v>111.2870657495294</v>
      </c>
      <c r="K58">
        <v>60</v>
      </c>
      <c r="L58" t="s">
        <v>6</v>
      </c>
      <c r="M58">
        <v>1555.5229999999999</v>
      </c>
      <c r="N58">
        <v>1674.146</v>
      </c>
      <c r="O58">
        <v>1832.933</v>
      </c>
      <c r="P58">
        <v>1860.6510000000001</v>
      </c>
      <c r="R58" s="3">
        <f t="shared" si="2"/>
        <v>1730.8132499999999</v>
      </c>
      <c r="S58" s="3">
        <f t="shared" si="3"/>
        <v>71.428363666421092</v>
      </c>
    </row>
    <row r="59" spans="1:19" x14ac:dyDescent="0.25">
      <c r="A59">
        <v>61.25</v>
      </c>
      <c r="B59">
        <v>2031.0730000000001</v>
      </c>
      <c r="C59">
        <v>1844.674</v>
      </c>
      <c r="D59">
        <v>1541.489</v>
      </c>
      <c r="E59">
        <v>1834.6320000000001</v>
      </c>
      <c r="F59">
        <v>1444.3589999999999</v>
      </c>
      <c r="H59" s="2">
        <f t="shared" si="0"/>
        <v>1739.2454000000002</v>
      </c>
      <c r="I59" s="2">
        <f t="shared" si="1"/>
        <v>107.57386390875747</v>
      </c>
      <c r="K59">
        <v>61.25</v>
      </c>
      <c r="L59" t="s">
        <v>6</v>
      </c>
      <c r="M59">
        <v>1500.992</v>
      </c>
      <c r="N59">
        <v>1618.69</v>
      </c>
      <c r="O59">
        <v>1783.761</v>
      </c>
      <c r="P59">
        <v>1800.5630000000001</v>
      </c>
      <c r="R59" s="3">
        <f t="shared" si="2"/>
        <v>1676.0014999999999</v>
      </c>
      <c r="S59" s="3">
        <f t="shared" si="3"/>
        <v>71.321227698467638</v>
      </c>
    </row>
    <row r="60" spans="1:19" x14ac:dyDescent="0.25">
      <c r="A60">
        <v>62.5</v>
      </c>
      <c r="B60">
        <v>1972.421</v>
      </c>
      <c r="C60">
        <v>1787.16</v>
      </c>
      <c r="D60">
        <v>1495.1759999999999</v>
      </c>
      <c r="E60">
        <v>1778.857</v>
      </c>
      <c r="F60">
        <v>1419.588</v>
      </c>
      <c r="H60" s="2">
        <f t="shared" si="0"/>
        <v>1690.6403999999998</v>
      </c>
      <c r="I60" s="2">
        <f t="shared" si="1"/>
        <v>102.02309626971771</v>
      </c>
      <c r="K60">
        <v>62.5</v>
      </c>
      <c r="L60" t="s">
        <v>6</v>
      </c>
      <c r="M60">
        <v>1448.9290000000001</v>
      </c>
      <c r="N60">
        <v>1572.866</v>
      </c>
      <c r="O60">
        <v>1740.3230000000001</v>
      </c>
      <c r="P60">
        <v>1757.127</v>
      </c>
      <c r="R60" s="3">
        <f t="shared" si="2"/>
        <v>1629.8112500000002</v>
      </c>
      <c r="S60" s="3">
        <f t="shared" si="3"/>
        <v>73.248035780689477</v>
      </c>
    </row>
    <row r="61" spans="1:19" x14ac:dyDescent="0.25">
      <c r="A61">
        <v>63.75</v>
      </c>
      <c r="B61">
        <v>1926.9739999999999</v>
      </c>
      <c r="C61">
        <v>1743.107</v>
      </c>
      <c r="D61">
        <v>1451.38</v>
      </c>
      <c r="E61">
        <v>1720.5619999999999</v>
      </c>
      <c r="F61">
        <v>1386.336</v>
      </c>
      <c r="H61" s="2">
        <f t="shared" si="0"/>
        <v>1645.6718000000001</v>
      </c>
      <c r="I61" s="2">
        <f t="shared" si="1"/>
        <v>99.809180111049784</v>
      </c>
      <c r="K61">
        <v>63.75</v>
      </c>
      <c r="L61" t="s">
        <v>6</v>
      </c>
      <c r="M61">
        <v>1395.203</v>
      </c>
      <c r="N61">
        <v>1521.2470000000001</v>
      </c>
      <c r="O61">
        <v>1683.5820000000001</v>
      </c>
      <c r="P61">
        <v>1721.797</v>
      </c>
      <c r="R61" s="3">
        <f t="shared" si="2"/>
        <v>1580.4572499999999</v>
      </c>
      <c r="S61" s="3">
        <f t="shared" si="3"/>
        <v>75.518557234160454</v>
      </c>
    </row>
    <row r="62" spans="1:19" x14ac:dyDescent="0.25">
      <c r="A62">
        <v>65</v>
      </c>
      <c r="B62">
        <v>1881.624</v>
      </c>
      <c r="C62">
        <v>1693.768</v>
      </c>
      <c r="D62">
        <v>1410.5619999999999</v>
      </c>
      <c r="E62">
        <v>1689.422</v>
      </c>
      <c r="F62">
        <v>1360.528</v>
      </c>
      <c r="H62" s="2">
        <f t="shared" si="0"/>
        <v>1607.1808000000001</v>
      </c>
      <c r="I62" s="2">
        <f t="shared" si="1"/>
        <v>97.230803881485215</v>
      </c>
      <c r="K62">
        <v>65</v>
      </c>
      <c r="L62" t="s">
        <v>6</v>
      </c>
      <c r="M62">
        <v>1352.8150000000001</v>
      </c>
      <c r="N62">
        <v>1476.847</v>
      </c>
      <c r="O62">
        <v>1629.4829999999999</v>
      </c>
      <c r="P62">
        <v>1678.463</v>
      </c>
      <c r="R62" s="3">
        <f t="shared" si="2"/>
        <v>1534.402</v>
      </c>
      <c r="S62" s="3">
        <f t="shared" si="3"/>
        <v>74.207134021377371</v>
      </c>
    </row>
    <row r="63" spans="1:19" x14ac:dyDescent="0.25">
      <c r="A63">
        <v>66.25</v>
      </c>
      <c r="B63">
        <v>1837.395</v>
      </c>
      <c r="C63">
        <v>1637.509</v>
      </c>
      <c r="D63">
        <v>1365.336</v>
      </c>
      <c r="E63">
        <v>1670.6849999999999</v>
      </c>
      <c r="F63">
        <v>1346.9490000000001</v>
      </c>
      <c r="H63" s="2">
        <f t="shared" si="0"/>
        <v>1571.5747999999999</v>
      </c>
      <c r="I63" s="2">
        <f t="shared" si="1"/>
        <v>94.292555870758363</v>
      </c>
      <c r="K63">
        <v>66.25</v>
      </c>
      <c r="L63" t="s">
        <v>6</v>
      </c>
      <c r="M63">
        <v>1324.47</v>
      </c>
      <c r="N63">
        <v>1443.288</v>
      </c>
      <c r="O63">
        <v>1602.645</v>
      </c>
      <c r="P63">
        <v>1588.787</v>
      </c>
      <c r="R63" s="3">
        <f t="shared" si="2"/>
        <v>1489.7975000000001</v>
      </c>
      <c r="S63" s="3">
        <f t="shared" si="3"/>
        <v>65.846915400419476</v>
      </c>
    </row>
    <row r="64" spans="1:19" x14ac:dyDescent="0.25">
      <c r="A64">
        <v>67.5</v>
      </c>
      <c r="B64">
        <v>1804.249</v>
      </c>
      <c r="C64">
        <v>1569.47</v>
      </c>
      <c r="D64">
        <v>1318.9739999999999</v>
      </c>
      <c r="E64">
        <v>1655.951</v>
      </c>
      <c r="F64">
        <v>1341.01</v>
      </c>
      <c r="H64" s="2">
        <f t="shared" si="0"/>
        <v>1537.9308000000001</v>
      </c>
      <c r="I64" s="2">
        <f t="shared" si="1"/>
        <v>92.889384252130853</v>
      </c>
      <c r="K64">
        <v>67.5</v>
      </c>
      <c r="L64" t="s">
        <v>6</v>
      </c>
      <c r="M64">
        <v>1279.5519999999999</v>
      </c>
      <c r="N64">
        <v>1406.5029999999999</v>
      </c>
      <c r="O64">
        <v>1584.3140000000001</v>
      </c>
      <c r="P64">
        <v>1466.1020000000001</v>
      </c>
      <c r="R64" s="3">
        <f t="shared" si="2"/>
        <v>1434.1177499999999</v>
      </c>
      <c r="S64" s="3">
        <f t="shared" si="3"/>
        <v>63.400217699908872</v>
      </c>
    </row>
    <row r="65" spans="1:19" x14ac:dyDescent="0.25">
      <c r="A65">
        <v>68.75</v>
      </c>
      <c r="B65">
        <v>1780.6579999999999</v>
      </c>
      <c r="C65">
        <v>1512.7</v>
      </c>
      <c r="D65">
        <v>1275.798</v>
      </c>
      <c r="E65">
        <v>1645.568</v>
      </c>
      <c r="F65">
        <v>1338.4449999999999</v>
      </c>
      <c r="H65" s="2">
        <f t="shared" si="0"/>
        <v>1510.6338000000001</v>
      </c>
      <c r="I65" s="2">
        <f t="shared" si="1"/>
        <v>93.787369060230816</v>
      </c>
      <c r="K65">
        <v>68.75</v>
      </c>
      <c r="L65" t="s">
        <v>6</v>
      </c>
      <c r="M65">
        <v>1230.665</v>
      </c>
      <c r="N65">
        <v>1378.6780000000001</v>
      </c>
      <c r="O65">
        <v>1560.797</v>
      </c>
      <c r="P65">
        <v>1343.1079999999999</v>
      </c>
      <c r="R65" s="3">
        <f t="shared" si="2"/>
        <v>1378.3119999999999</v>
      </c>
      <c r="S65" s="3">
        <f t="shared" si="3"/>
        <v>68.519989422795462</v>
      </c>
    </row>
    <row r="66" spans="1:19" x14ac:dyDescent="0.25">
      <c r="A66">
        <v>70</v>
      </c>
      <c r="B66">
        <v>1757.3389999999999</v>
      </c>
      <c r="C66">
        <v>1473.924</v>
      </c>
      <c r="D66">
        <v>1250.3520000000001</v>
      </c>
      <c r="E66">
        <v>1627.65</v>
      </c>
      <c r="F66">
        <v>1334.825</v>
      </c>
      <c r="H66" s="2">
        <f t="shared" si="0"/>
        <v>1488.8179999999998</v>
      </c>
      <c r="I66" s="2">
        <f t="shared" si="1"/>
        <v>92.78457848856182</v>
      </c>
      <c r="K66">
        <v>70</v>
      </c>
      <c r="L66" t="s">
        <v>6</v>
      </c>
      <c r="M66">
        <v>1200.376</v>
      </c>
      <c r="N66">
        <v>1349.47</v>
      </c>
      <c r="O66">
        <v>1532.7950000000001</v>
      </c>
      <c r="P66">
        <v>1275.809</v>
      </c>
      <c r="R66" s="3">
        <f t="shared" si="2"/>
        <v>1339.6125</v>
      </c>
      <c r="S66" s="3">
        <f t="shared" si="3"/>
        <v>71.224023426673497</v>
      </c>
    </row>
    <row r="67" spans="1:19" x14ac:dyDescent="0.25">
      <c r="A67">
        <v>71.25</v>
      </c>
      <c r="B67">
        <v>1739.691</v>
      </c>
      <c r="C67">
        <v>1454.4680000000001</v>
      </c>
      <c r="D67">
        <v>1235.154</v>
      </c>
      <c r="E67">
        <v>1613.33</v>
      </c>
      <c r="F67">
        <v>1327.066</v>
      </c>
      <c r="H67" s="2">
        <f t="shared" si="0"/>
        <v>1473.9418000000001</v>
      </c>
      <c r="I67" s="2">
        <f t="shared" si="1"/>
        <v>91.930150261162765</v>
      </c>
      <c r="K67">
        <v>71.25</v>
      </c>
      <c r="L67" t="s">
        <v>6</v>
      </c>
      <c r="M67">
        <v>1193.8520000000001</v>
      </c>
      <c r="N67">
        <v>1337.4690000000001</v>
      </c>
      <c r="O67">
        <v>1520.8430000000001</v>
      </c>
      <c r="P67">
        <v>1252.5550000000001</v>
      </c>
      <c r="R67" s="3">
        <f t="shared" si="2"/>
        <v>1326.17975</v>
      </c>
      <c r="S67" s="3">
        <f t="shared" si="3"/>
        <v>71.269713821715087</v>
      </c>
    </row>
    <row r="68" spans="1:19" x14ac:dyDescent="0.25">
      <c r="A68">
        <v>72.5</v>
      </c>
      <c r="B68">
        <v>1726.6759999999999</v>
      </c>
      <c r="C68">
        <v>1448.325</v>
      </c>
      <c r="D68">
        <v>1222.6890000000001</v>
      </c>
      <c r="E68">
        <v>1595.2139999999999</v>
      </c>
      <c r="F68">
        <v>1314.499</v>
      </c>
      <c r="H68" s="2">
        <f t="shared" si="0"/>
        <v>1461.4806000000001</v>
      </c>
      <c r="I68" s="2">
        <f t="shared" si="1"/>
        <v>91.38142897689859</v>
      </c>
      <c r="K68">
        <v>72.5</v>
      </c>
      <c r="L68" t="s">
        <v>6</v>
      </c>
      <c r="M68">
        <v>1178.808</v>
      </c>
      <c r="N68">
        <v>1321.385</v>
      </c>
      <c r="O68">
        <v>1509.1659999999999</v>
      </c>
      <c r="P68">
        <v>1246.3109999999999</v>
      </c>
      <c r="R68" s="3">
        <f t="shared" si="2"/>
        <v>1313.9175</v>
      </c>
      <c r="S68" s="3">
        <f t="shared" si="3"/>
        <v>71.299226352160829</v>
      </c>
    </row>
    <row r="69" spans="1:19" x14ac:dyDescent="0.25">
      <c r="A69">
        <v>73.75</v>
      </c>
      <c r="B69">
        <v>1729.2629999999999</v>
      </c>
      <c r="C69">
        <v>1454.3009999999999</v>
      </c>
      <c r="D69">
        <v>1219.2070000000001</v>
      </c>
      <c r="E69">
        <v>1585.74</v>
      </c>
      <c r="F69">
        <v>1302.355</v>
      </c>
      <c r="H69" s="2">
        <f t="shared" ref="H69:H96" si="4">AVERAGE(B69:F69)</f>
        <v>1458.1732</v>
      </c>
      <c r="I69" s="2">
        <f t="shared" ref="I69:I96" si="5">STDEV(B69:F69)/SQRT(COUNT(B69:F69))</f>
        <v>92.510031416273691</v>
      </c>
      <c r="K69">
        <v>73.75</v>
      </c>
      <c r="L69" t="s">
        <v>6</v>
      </c>
      <c r="M69">
        <v>1176.393</v>
      </c>
      <c r="N69">
        <v>1312.511</v>
      </c>
      <c r="O69">
        <v>1510.4559999999999</v>
      </c>
      <c r="P69">
        <v>1251.827</v>
      </c>
      <c r="R69" s="3">
        <f t="shared" ref="R69:R96" si="6">AVERAGE(L69:P69)</f>
        <v>1312.79675</v>
      </c>
      <c r="S69" s="3">
        <f t="shared" ref="S69:S96" si="7">STDEV(L69:P69)/SQRT(COUNT(L69:P69))</f>
        <v>71.526541806025847</v>
      </c>
    </row>
    <row r="70" spans="1:19" x14ac:dyDescent="0.25">
      <c r="A70">
        <v>75</v>
      </c>
      <c r="B70">
        <v>1788.384</v>
      </c>
      <c r="C70">
        <v>1511.4</v>
      </c>
      <c r="D70">
        <v>1274.5840000000001</v>
      </c>
      <c r="E70">
        <v>1637.145</v>
      </c>
      <c r="F70">
        <v>1340.8789999999999</v>
      </c>
      <c r="H70" s="2">
        <f t="shared" si="4"/>
        <v>1510.4784000000002</v>
      </c>
      <c r="I70" s="2">
        <f t="shared" si="5"/>
        <v>94.256809792501997</v>
      </c>
      <c r="K70">
        <v>75</v>
      </c>
      <c r="L70" t="s">
        <v>6</v>
      </c>
      <c r="M70">
        <v>1225.1669999999999</v>
      </c>
      <c r="N70">
        <v>1370.5930000000001</v>
      </c>
      <c r="O70">
        <v>1576.5930000000001</v>
      </c>
      <c r="P70">
        <v>1317.95</v>
      </c>
      <c r="R70" s="3">
        <f t="shared" si="6"/>
        <v>1372.57575</v>
      </c>
      <c r="S70" s="3">
        <f t="shared" si="7"/>
        <v>74.352920663745095</v>
      </c>
    </row>
    <row r="71" spans="1:19" x14ac:dyDescent="0.25">
      <c r="A71">
        <v>76.25</v>
      </c>
      <c r="B71">
        <v>1899.3009999999999</v>
      </c>
      <c r="C71">
        <v>1636.3589999999999</v>
      </c>
      <c r="D71">
        <v>1388.278</v>
      </c>
      <c r="E71">
        <v>1798.9059999999999</v>
      </c>
      <c r="F71">
        <v>1478.1469999999999</v>
      </c>
      <c r="H71" s="2">
        <f t="shared" si="4"/>
        <v>1640.1982</v>
      </c>
      <c r="I71" s="2">
        <f t="shared" si="5"/>
        <v>95.410047897168013</v>
      </c>
      <c r="K71">
        <v>76.25</v>
      </c>
      <c r="L71" t="s">
        <v>6</v>
      </c>
      <c r="M71">
        <v>1340.654</v>
      </c>
      <c r="N71">
        <v>1507.749</v>
      </c>
      <c r="O71">
        <v>1732.8630000000001</v>
      </c>
      <c r="P71">
        <v>1436.9659999999999</v>
      </c>
      <c r="R71" s="3">
        <f t="shared" si="6"/>
        <v>1504.558</v>
      </c>
      <c r="S71" s="3">
        <f t="shared" si="7"/>
        <v>83.449862784988071</v>
      </c>
    </row>
    <row r="72" spans="1:19" x14ac:dyDescent="0.25">
      <c r="A72">
        <v>77.5</v>
      </c>
      <c r="B72">
        <v>1951.893</v>
      </c>
      <c r="C72">
        <v>1693.143</v>
      </c>
      <c r="D72">
        <v>1433.3240000000001</v>
      </c>
      <c r="E72">
        <v>1871.817</v>
      </c>
      <c r="F72">
        <v>1546.1030000000001</v>
      </c>
      <c r="H72" s="2">
        <f t="shared" si="4"/>
        <v>1699.2560000000001</v>
      </c>
      <c r="I72" s="2">
        <f t="shared" si="5"/>
        <v>96.906086313502655</v>
      </c>
      <c r="K72">
        <v>77.5</v>
      </c>
      <c r="L72" t="s">
        <v>6</v>
      </c>
      <c r="M72">
        <v>1390.56</v>
      </c>
      <c r="N72">
        <v>1560.529</v>
      </c>
      <c r="O72">
        <v>1802.136</v>
      </c>
      <c r="P72">
        <v>1476.6120000000001</v>
      </c>
      <c r="R72" s="3">
        <f t="shared" si="6"/>
        <v>1557.4592500000001</v>
      </c>
      <c r="S72" s="3">
        <f t="shared" si="7"/>
        <v>88.632092024065983</v>
      </c>
    </row>
    <row r="73" spans="1:19" x14ac:dyDescent="0.25">
      <c r="A73">
        <v>78.75</v>
      </c>
      <c r="B73">
        <v>1908.6990000000001</v>
      </c>
      <c r="C73">
        <v>1646.5360000000001</v>
      </c>
      <c r="D73">
        <v>1398.943</v>
      </c>
      <c r="E73">
        <v>1814.7360000000001</v>
      </c>
      <c r="F73">
        <v>1503.0229999999999</v>
      </c>
      <c r="H73" s="2">
        <f t="shared" si="4"/>
        <v>1654.3874000000001</v>
      </c>
      <c r="I73" s="2">
        <f t="shared" si="5"/>
        <v>94.50151611937288</v>
      </c>
      <c r="K73">
        <v>78.75</v>
      </c>
      <c r="L73" t="s">
        <v>6</v>
      </c>
      <c r="M73">
        <v>1349.915</v>
      </c>
      <c r="N73">
        <v>1522.0239999999999</v>
      </c>
      <c r="O73">
        <v>1753.992</v>
      </c>
      <c r="P73">
        <v>1435.34</v>
      </c>
      <c r="R73" s="3">
        <f t="shared" si="6"/>
        <v>1515.3177499999999</v>
      </c>
      <c r="S73" s="3">
        <f t="shared" si="7"/>
        <v>86.969765629954225</v>
      </c>
    </row>
    <row r="74" spans="1:19" x14ac:dyDescent="0.25">
      <c r="A74">
        <v>80</v>
      </c>
      <c r="B74">
        <v>1857.903</v>
      </c>
      <c r="C74">
        <v>1590.6559999999999</v>
      </c>
      <c r="D74">
        <v>1350.374</v>
      </c>
      <c r="E74">
        <v>1745.3810000000001</v>
      </c>
      <c r="F74">
        <v>1452.3019999999999</v>
      </c>
      <c r="H74" s="2">
        <f t="shared" si="4"/>
        <v>1599.3232</v>
      </c>
      <c r="I74" s="2">
        <f t="shared" si="5"/>
        <v>92.69909700067241</v>
      </c>
      <c r="K74">
        <v>80</v>
      </c>
      <c r="L74" t="s">
        <v>6</v>
      </c>
      <c r="M74">
        <v>1304.077</v>
      </c>
      <c r="N74">
        <v>1463.5820000000001</v>
      </c>
      <c r="O74">
        <v>1692.4770000000001</v>
      </c>
      <c r="P74">
        <v>1387.7239999999999</v>
      </c>
      <c r="R74" s="3">
        <f t="shared" si="6"/>
        <v>1461.9650000000001</v>
      </c>
      <c r="S74" s="3">
        <f t="shared" si="7"/>
        <v>83.455948189249341</v>
      </c>
    </row>
    <row r="75" spans="1:19" x14ac:dyDescent="0.25">
      <c r="A75">
        <v>81.25</v>
      </c>
      <c r="B75">
        <v>1891.2950000000001</v>
      </c>
      <c r="C75">
        <v>1632.7719999999999</v>
      </c>
      <c r="D75">
        <v>1373.066</v>
      </c>
      <c r="E75">
        <v>1793.3679999999999</v>
      </c>
      <c r="F75">
        <v>1491.376</v>
      </c>
      <c r="H75" s="2">
        <f t="shared" si="4"/>
        <v>1636.3754000000001</v>
      </c>
      <c r="I75" s="2">
        <f t="shared" si="5"/>
        <v>94.868416646214911</v>
      </c>
      <c r="K75">
        <v>81.25</v>
      </c>
      <c r="L75" t="s">
        <v>6</v>
      </c>
      <c r="M75">
        <v>1332.472</v>
      </c>
      <c r="N75">
        <v>1499.2539999999999</v>
      </c>
      <c r="O75">
        <v>1782.903</v>
      </c>
      <c r="P75">
        <v>1424.4590000000001</v>
      </c>
      <c r="R75" s="3">
        <f t="shared" si="6"/>
        <v>1509.7719999999999</v>
      </c>
      <c r="S75" s="3">
        <f t="shared" si="7"/>
        <v>97.221726590132903</v>
      </c>
    </row>
    <row r="76" spans="1:19" x14ac:dyDescent="0.25">
      <c r="A76">
        <v>82.5</v>
      </c>
      <c r="B76">
        <v>2256.5859999999998</v>
      </c>
      <c r="C76">
        <v>1930.7850000000001</v>
      </c>
      <c r="D76">
        <v>1643.0350000000001</v>
      </c>
      <c r="E76">
        <v>2274.7280000000001</v>
      </c>
      <c r="F76">
        <v>1904.8579999999999</v>
      </c>
      <c r="H76" s="2">
        <f t="shared" si="4"/>
        <v>2001.9983999999999</v>
      </c>
      <c r="I76" s="2">
        <f t="shared" si="5"/>
        <v>118.86097109253228</v>
      </c>
      <c r="K76">
        <v>82.5</v>
      </c>
      <c r="L76" t="s">
        <v>6</v>
      </c>
      <c r="M76">
        <v>1623.3409999999999</v>
      </c>
      <c r="N76">
        <v>1874.336</v>
      </c>
      <c r="O76">
        <v>2301.2759999999998</v>
      </c>
      <c r="P76">
        <v>1681.2360000000001</v>
      </c>
      <c r="R76" s="3">
        <f t="shared" si="6"/>
        <v>1870.0472499999998</v>
      </c>
      <c r="S76" s="3">
        <f t="shared" si="7"/>
        <v>153.4303017982302</v>
      </c>
    </row>
    <row r="77" spans="1:19" x14ac:dyDescent="0.25">
      <c r="A77">
        <v>83.75</v>
      </c>
      <c r="B77">
        <v>3032.64</v>
      </c>
      <c r="C77">
        <v>2550.2959999999998</v>
      </c>
      <c r="D77">
        <v>2265.087</v>
      </c>
      <c r="E77">
        <v>3273.0360000000001</v>
      </c>
      <c r="F77">
        <v>2832.6060000000002</v>
      </c>
      <c r="H77" s="2">
        <f t="shared" si="4"/>
        <v>2790.7329999999997</v>
      </c>
      <c r="I77" s="2">
        <f t="shared" si="5"/>
        <v>177.05962228469869</v>
      </c>
      <c r="K77">
        <v>83.75</v>
      </c>
      <c r="L77" t="s">
        <v>6</v>
      </c>
      <c r="M77">
        <v>2239.942</v>
      </c>
      <c r="N77">
        <v>2648.5279999999998</v>
      </c>
      <c r="O77">
        <v>3310.7849999999999</v>
      </c>
      <c r="P77">
        <v>2186.1060000000002</v>
      </c>
      <c r="R77" s="3">
        <f t="shared" si="6"/>
        <v>2596.3402499999997</v>
      </c>
      <c r="S77" s="3">
        <f t="shared" si="7"/>
        <v>259.56160388379772</v>
      </c>
    </row>
    <row r="78" spans="1:19" x14ac:dyDescent="0.25">
      <c r="A78">
        <v>85</v>
      </c>
      <c r="B78">
        <v>3893.433</v>
      </c>
      <c r="C78">
        <v>3241.4929999999999</v>
      </c>
      <c r="D78">
        <v>2920.3040000000001</v>
      </c>
      <c r="E78">
        <v>4375.3980000000001</v>
      </c>
      <c r="F78">
        <v>3814.2150000000001</v>
      </c>
      <c r="H78" s="2">
        <f t="shared" si="4"/>
        <v>3648.9686000000002</v>
      </c>
      <c r="I78" s="2">
        <f t="shared" si="5"/>
        <v>256.10128393403244</v>
      </c>
      <c r="K78">
        <v>85</v>
      </c>
      <c r="L78" t="s">
        <v>6</v>
      </c>
      <c r="M78">
        <v>2872.65</v>
      </c>
      <c r="N78">
        <v>3466.0520000000001</v>
      </c>
      <c r="O78">
        <v>4308.4219999999996</v>
      </c>
      <c r="P78">
        <v>2654.547</v>
      </c>
      <c r="R78" s="3">
        <f t="shared" si="6"/>
        <v>3325.4177500000001</v>
      </c>
      <c r="S78" s="3">
        <f t="shared" si="7"/>
        <v>369.81319005194473</v>
      </c>
    </row>
    <row r="79" spans="1:19" x14ac:dyDescent="0.25">
      <c r="A79">
        <v>86.25</v>
      </c>
      <c r="B79">
        <v>4289.4170000000004</v>
      </c>
      <c r="C79">
        <v>3536.5770000000002</v>
      </c>
      <c r="D79">
        <v>3202.971</v>
      </c>
      <c r="E79">
        <v>4976.9459999999999</v>
      </c>
      <c r="F79">
        <v>4296.3980000000001</v>
      </c>
      <c r="H79" s="2">
        <f t="shared" si="4"/>
        <v>4060.4618</v>
      </c>
      <c r="I79" s="2">
        <f t="shared" si="5"/>
        <v>312.87181230360136</v>
      </c>
      <c r="K79">
        <v>86.25</v>
      </c>
      <c r="L79" t="s">
        <v>6</v>
      </c>
      <c r="M79">
        <v>3158.6120000000001</v>
      </c>
      <c r="N79">
        <v>3862.3009999999999</v>
      </c>
      <c r="O79">
        <v>4740.3010000000004</v>
      </c>
      <c r="P79">
        <v>2785.1529999999998</v>
      </c>
      <c r="R79" s="3">
        <f t="shared" si="6"/>
        <v>3636.59175</v>
      </c>
      <c r="S79" s="3">
        <f t="shared" si="7"/>
        <v>430.36141405439292</v>
      </c>
    </row>
    <row r="80" spans="1:19" x14ac:dyDescent="0.25">
      <c r="A80">
        <v>87.5</v>
      </c>
      <c r="B80">
        <v>4003.703</v>
      </c>
      <c r="C80">
        <v>3296.837</v>
      </c>
      <c r="D80">
        <v>2959.154</v>
      </c>
      <c r="E80">
        <v>4775.9470000000001</v>
      </c>
      <c r="F80">
        <v>4012.0390000000002</v>
      </c>
      <c r="H80" s="2">
        <f t="shared" si="4"/>
        <v>3809.5360000000001</v>
      </c>
      <c r="I80" s="2">
        <f t="shared" si="5"/>
        <v>316.12246996567529</v>
      </c>
      <c r="K80">
        <v>87.5</v>
      </c>
      <c r="L80" t="s">
        <v>6</v>
      </c>
      <c r="M80">
        <v>2938.6619999999998</v>
      </c>
      <c r="N80">
        <v>3562.9290000000001</v>
      </c>
      <c r="O80">
        <v>4427.4309999999996</v>
      </c>
      <c r="P80">
        <v>2528.1550000000002</v>
      </c>
      <c r="R80" s="3">
        <f t="shared" si="6"/>
        <v>3364.2942500000004</v>
      </c>
      <c r="S80" s="3">
        <f t="shared" si="7"/>
        <v>413.32061513417779</v>
      </c>
    </row>
    <row r="81" spans="1:19" x14ac:dyDescent="0.25">
      <c r="A81">
        <v>88.75</v>
      </c>
      <c r="B81">
        <v>3353.9470000000001</v>
      </c>
      <c r="C81">
        <v>2780.4549999999999</v>
      </c>
      <c r="D81">
        <v>2468.5329999999999</v>
      </c>
      <c r="E81">
        <v>4013.1880000000001</v>
      </c>
      <c r="F81">
        <v>3259.9369999999999</v>
      </c>
      <c r="H81" s="2">
        <f t="shared" si="4"/>
        <v>3175.212</v>
      </c>
      <c r="I81" s="2">
        <f t="shared" si="5"/>
        <v>264.24956012413782</v>
      </c>
      <c r="K81">
        <v>88.75</v>
      </c>
      <c r="L81" t="s">
        <v>6</v>
      </c>
      <c r="M81">
        <v>2451.902</v>
      </c>
      <c r="N81">
        <v>2941.7539999999999</v>
      </c>
      <c r="O81">
        <v>3655.1849999999999</v>
      </c>
      <c r="P81">
        <v>2123.7049999999999</v>
      </c>
      <c r="R81" s="3">
        <f t="shared" si="6"/>
        <v>2793.1365000000001</v>
      </c>
      <c r="S81" s="3">
        <f t="shared" si="7"/>
        <v>332.89065958171597</v>
      </c>
    </row>
    <row r="82" spans="1:19" x14ac:dyDescent="0.25">
      <c r="A82">
        <v>90</v>
      </c>
      <c r="B82">
        <v>2927.3629999999998</v>
      </c>
      <c r="C82">
        <v>2486.165</v>
      </c>
      <c r="D82">
        <v>2206.4920000000002</v>
      </c>
      <c r="E82">
        <v>3429.1390000000001</v>
      </c>
      <c r="F82">
        <v>2874.4749999999999</v>
      </c>
      <c r="H82" s="2">
        <f t="shared" si="4"/>
        <v>2784.7267999999999</v>
      </c>
      <c r="I82" s="2">
        <f t="shared" si="5"/>
        <v>208.2260239274618</v>
      </c>
      <c r="K82">
        <v>90</v>
      </c>
      <c r="L82" t="s">
        <v>6</v>
      </c>
      <c r="M82">
        <v>2196.759</v>
      </c>
      <c r="N82">
        <v>2651.3789999999999</v>
      </c>
      <c r="O82">
        <v>3229.8560000000002</v>
      </c>
      <c r="P82">
        <v>1919.162</v>
      </c>
      <c r="R82" s="3">
        <f t="shared" si="6"/>
        <v>2499.2890000000002</v>
      </c>
      <c r="S82" s="3">
        <f t="shared" si="7"/>
        <v>286.49189148182404</v>
      </c>
    </row>
    <row r="83" spans="1:19" x14ac:dyDescent="0.25">
      <c r="A83">
        <v>91.25</v>
      </c>
      <c r="B83">
        <v>3010.4810000000002</v>
      </c>
      <c r="C83">
        <v>2500.348</v>
      </c>
      <c r="D83">
        <v>2256.308</v>
      </c>
      <c r="E83">
        <v>3605.0819999999999</v>
      </c>
      <c r="F83">
        <v>3144.1320000000001</v>
      </c>
      <c r="H83" s="2">
        <f t="shared" si="4"/>
        <v>2903.2701999999999</v>
      </c>
      <c r="I83" s="2">
        <f t="shared" si="5"/>
        <v>239.05592990310961</v>
      </c>
      <c r="K83">
        <v>91.25</v>
      </c>
      <c r="L83" t="s">
        <v>6</v>
      </c>
      <c r="M83">
        <v>2251.0070000000001</v>
      </c>
      <c r="N83">
        <v>2792.819</v>
      </c>
      <c r="O83">
        <v>3419.95</v>
      </c>
      <c r="P83">
        <v>1946.654</v>
      </c>
      <c r="R83" s="3">
        <f t="shared" si="6"/>
        <v>2602.6075000000001</v>
      </c>
      <c r="S83" s="3">
        <f t="shared" si="7"/>
        <v>323.79611419340665</v>
      </c>
    </row>
    <row r="84" spans="1:19" x14ac:dyDescent="0.25">
      <c r="A84">
        <v>92.5</v>
      </c>
      <c r="B84">
        <v>3270.2890000000002</v>
      </c>
      <c r="C84">
        <v>2662.422</v>
      </c>
      <c r="D84">
        <v>2435.8850000000002</v>
      </c>
      <c r="E84">
        <v>4039.4859999999999</v>
      </c>
      <c r="F84">
        <v>3509.7539999999999</v>
      </c>
      <c r="H84" s="2">
        <f t="shared" si="4"/>
        <v>3183.5672000000004</v>
      </c>
      <c r="I84" s="2">
        <f t="shared" si="5"/>
        <v>289.5804277711789</v>
      </c>
      <c r="K84">
        <v>92.5</v>
      </c>
      <c r="L84" t="s">
        <v>6</v>
      </c>
      <c r="M84">
        <v>2411.6790000000001</v>
      </c>
      <c r="N84">
        <v>3061.0810000000001</v>
      </c>
      <c r="O84">
        <v>3749.7910000000002</v>
      </c>
      <c r="P84">
        <v>2132.7040000000002</v>
      </c>
      <c r="R84" s="3">
        <f t="shared" si="6"/>
        <v>2838.8137499999998</v>
      </c>
      <c r="S84" s="3">
        <f t="shared" si="7"/>
        <v>360.59179993250393</v>
      </c>
    </row>
    <row r="85" spans="1:19" x14ac:dyDescent="0.25">
      <c r="A85">
        <v>93.75</v>
      </c>
      <c r="B85">
        <v>3531.6689999999999</v>
      </c>
      <c r="C85">
        <v>2932.5</v>
      </c>
      <c r="D85">
        <v>2681.4229999999998</v>
      </c>
      <c r="E85">
        <v>4351.8770000000004</v>
      </c>
      <c r="F85">
        <v>3724.2460000000001</v>
      </c>
      <c r="H85" s="2">
        <f t="shared" si="4"/>
        <v>3444.3429999999998</v>
      </c>
      <c r="I85" s="2">
        <f t="shared" si="5"/>
        <v>296.10974856377186</v>
      </c>
      <c r="K85">
        <v>93.75</v>
      </c>
      <c r="L85" t="s">
        <v>6</v>
      </c>
      <c r="M85">
        <v>2599.9079999999999</v>
      </c>
      <c r="N85">
        <v>3270.806</v>
      </c>
      <c r="O85">
        <v>3983.64</v>
      </c>
      <c r="P85">
        <v>2445.8780000000002</v>
      </c>
      <c r="R85" s="3">
        <f t="shared" si="6"/>
        <v>3075.058</v>
      </c>
      <c r="S85" s="3">
        <f t="shared" si="7"/>
        <v>351.83726412552335</v>
      </c>
    </row>
    <row r="86" spans="1:19" x14ac:dyDescent="0.25">
      <c r="A86">
        <v>95</v>
      </c>
      <c r="B86">
        <v>3712.3580000000002</v>
      </c>
      <c r="C86">
        <v>3199.43</v>
      </c>
      <c r="D86">
        <v>2868.3719999999998</v>
      </c>
      <c r="E86">
        <v>4422.9340000000002</v>
      </c>
      <c r="F86">
        <v>3654.0239999999999</v>
      </c>
      <c r="H86" s="2">
        <f t="shared" si="4"/>
        <v>3571.4236000000005</v>
      </c>
      <c r="I86" s="2">
        <f t="shared" si="5"/>
        <v>263.09846856217035</v>
      </c>
      <c r="K86">
        <v>95</v>
      </c>
      <c r="L86" t="s">
        <v>6</v>
      </c>
      <c r="M86">
        <v>2744.1</v>
      </c>
      <c r="N86">
        <v>3371.6819999999998</v>
      </c>
      <c r="O86">
        <v>4057.1880000000001</v>
      </c>
      <c r="P86">
        <v>2729.7719999999999</v>
      </c>
      <c r="R86" s="3">
        <f t="shared" si="6"/>
        <v>3225.6854999999996</v>
      </c>
      <c r="S86" s="3">
        <f t="shared" si="7"/>
        <v>314.98229828714364</v>
      </c>
    </row>
    <row r="87" spans="1:19" x14ac:dyDescent="0.25">
      <c r="A87">
        <v>96.25</v>
      </c>
      <c r="B87">
        <v>3801.8510000000001</v>
      </c>
      <c r="C87">
        <v>3422.5529999999999</v>
      </c>
      <c r="D87">
        <v>2990.085</v>
      </c>
      <c r="E87">
        <v>4251.5969999999998</v>
      </c>
      <c r="F87">
        <v>3456.1480000000001</v>
      </c>
      <c r="H87" s="2">
        <f t="shared" si="4"/>
        <v>3584.4468000000002</v>
      </c>
      <c r="I87" s="2">
        <f t="shared" si="5"/>
        <v>210.74749220296704</v>
      </c>
      <c r="K87">
        <v>96.25</v>
      </c>
      <c r="L87" t="s">
        <v>6</v>
      </c>
      <c r="M87">
        <v>2849.1030000000001</v>
      </c>
      <c r="N87">
        <v>3372.627</v>
      </c>
      <c r="O87">
        <v>4009.047</v>
      </c>
      <c r="P87">
        <v>2955.6170000000002</v>
      </c>
      <c r="R87" s="3">
        <f t="shared" si="6"/>
        <v>3296.5985000000001</v>
      </c>
      <c r="S87" s="3">
        <f t="shared" si="7"/>
        <v>262.9771542401549</v>
      </c>
    </row>
    <row r="88" spans="1:19" x14ac:dyDescent="0.25">
      <c r="A88">
        <v>97.5</v>
      </c>
      <c r="B88">
        <v>4020.297</v>
      </c>
      <c r="C88">
        <v>3722.5120000000002</v>
      </c>
      <c r="D88">
        <v>3205.1329999999998</v>
      </c>
      <c r="E88">
        <v>4166.5320000000002</v>
      </c>
      <c r="F88">
        <v>3409.59</v>
      </c>
      <c r="H88" s="2">
        <f t="shared" si="4"/>
        <v>3704.8127999999997</v>
      </c>
      <c r="I88" s="2">
        <f t="shared" si="5"/>
        <v>180.25878147080661</v>
      </c>
      <c r="K88">
        <v>97.5</v>
      </c>
      <c r="L88" t="s">
        <v>6</v>
      </c>
      <c r="M88">
        <v>3052.9389999999999</v>
      </c>
      <c r="N88">
        <v>3473.9180000000001</v>
      </c>
      <c r="O88">
        <v>4072.078</v>
      </c>
      <c r="P88">
        <v>3250.2429999999999</v>
      </c>
      <c r="R88" s="3">
        <f t="shared" si="6"/>
        <v>3462.2945</v>
      </c>
      <c r="S88" s="3">
        <f t="shared" si="7"/>
        <v>220.70130392625509</v>
      </c>
    </row>
    <row r="89" spans="1:19" x14ac:dyDescent="0.25">
      <c r="A89">
        <v>98.75</v>
      </c>
      <c r="B89">
        <v>4348.7579999999998</v>
      </c>
      <c r="C89">
        <v>3987.6260000000002</v>
      </c>
      <c r="D89">
        <v>3418.3820000000001</v>
      </c>
      <c r="E89">
        <v>4323.9089999999997</v>
      </c>
      <c r="F89">
        <v>3563.4319999999998</v>
      </c>
      <c r="H89" s="2">
        <f t="shared" si="4"/>
        <v>3928.4214000000002</v>
      </c>
      <c r="I89" s="2">
        <f t="shared" si="5"/>
        <v>191.04396553924434</v>
      </c>
      <c r="K89">
        <v>98.75</v>
      </c>
      <c r="L89" t="s">
        <v>6</v>
      </c>
      <c r="M89">
        <v>3280.0540000000001</v>
      </c>
      <c r="N89">
        <v>3683.2689999999998</v>
      </c>
      <c r="O89">
        <v>4293.0230000000001</v>
      </c>
      <c r="P89">
        <v>3455.761</v>
      </c>
      <c r="R89" s="3">
        <f t="shared" si="6"/>
        <v>3678.0267500000004</v>
      </c>
      <c r="S89" s="3">
        <f t="shared" si="7"/>
        <v>220.98873313375367</v>
      </c>
    </row>
    <row r="90" spans="1:19" x14ac:dyDescent="0.25">
      <c r="A90">
        <v>100</v>
      </c>
      <c r="B90">
        <v>4482.1270000000004</v>
      </c>
      <c r="C90">
        <v>4030.1219999999998</v>
      </c>
      <c r="D90">
        <v>3420.0749999999998</v>
      </c>
      <c r="E90">
        <v>4404.0959999999995</v>
      </c>
      <c r="F90">
        <v>3619.52</v>
      </c>
      <c r="H90" s="2">
        <f t="shared" si="4"/>
        <v>3991.1879999999996</v>
      </c>
      <c r="I90" s="2">
        <f t="shared" si="5"/>
        <v>209.44416147675295</v>
      </c>
      <c r="K90">
        <v>100</v>
      </c>
      <c r="L90" t="s">
        <v>6</v>
      </c>
      <c r="M90">
        <v>3315.0880000000002</v>
      </c>
      <c r="N90">
        <v>3716.433</v>
      </c>
      <c r="O90">
        <v>4376.5529999999999</v>
      </c>
      <c r="P90">
        <v>3470.8710000000001</v>
      </c>
      <c r="R90" s="3">
        <f t="shared" si="6"/>
        <v>3719.7362499999999</v>
      </c>
      <c r="S90" s="3">
        <f t="shared" si="7"/>
        <v>234.00378797267877</v>
      </c>
    </row>
    <row r="91" spans="1:19" x14ac:dyDescent="0.25">
      <c r="A91">
        <v>101.25</v>
      </c>
      <c r="B91">
        <v>4411.723</v>
      </c>
      <c r="C91">
        <v>3946.6129999999998</v>
      </c>
      <c r="D91">
        <v>3300.605</v>
      </c>
      <c r="E91">
        <v>4321.317</v>
      </c>
      <c r="F91">
        <v>3545.57</v>
      </c>
      <c r="H91" s="2">
        <f t="shared" si="4"/>
        <v>3905.1655999999994</v>
      </c>
      <c r="I91" s="2">
        <f t="shared" si="5"/>
        <v>215.20952450986198</v>
      </c>
      <c r="K91">
        <v>101.25</v>
      </c>
      <c r="L91" t="s">
        <v>6</v>
      </c>
      <c r="M91">
        <v>3229.4839999999999</v>
      </c>
      <c r="N91">
        <v>3631.6109999999999</v>
      </c>
      <c r="O91">
        <v>4288.1620000000003</v>
      </c>
      <c r="P91">
        <v>3365.0439999999999</v>
      </c>
      <c r="R91" s="3">
        <f t="shared" si="6"/>
        <v>3628.5752499999999</v>
      </c>
      <c r="S91" s="3">
        <f t="shared" si="7"/>
        <v>235.19255269295724</v>
      </c>
    </row>
    <row r="92" spans="1:19" x14ac:dyDescent="0.25">
      <c r="A92">
        <v>102.5</v>
      </c>
      <c r="B92">
        <v>4216.7219999999998</v>
      </c>
      <c r="C92">
        <v>3731.1550000000002</v>
      </c>
      <c r="D92">
        <v>3085.105</v>
      </c>
      <c r="E92">
        <v>4152.9809999999998</v>
      </c>
      <c r="F92">
        <v>3380.2750000000001</v>
      </c>
      <c r="H92" s="2">
        <f t="shared" si="4"/>
        <v>3713.2476000000001</v>
      </c>
      <c r="I92" s="2">
        <f t="shared" si="5"/>
        <v>218.24372703369912</v>
      </c>
      <c r="K92">
        <v>102.5</v>
      </c>
      <c r="L92" t="s">
        <v>6</v>
      </c>
      <c r="M92">
        <v>3050.5929999999998</v>
      </c>
      <c r="N92">
        <v>3452.2109999999998</v>
      </c>
      <c r="O92">
        <v>4070.252</v>
      </c>
      <c r="P92">
        <v>3172.652</v>
      </c>
      <c r="R92" s="3">
        <f t="shared" si="6"/>
        <v>3436.4270000000001</v>
      </c>
      <c r="S92" s="3">
        <f t="shared" si="7"/>
        <v>227.38154268798186</v>
      </c>
    </row>
    <row r="93" spans="1:19" x14ac:dyDescent="0.25">
      <c r="A93">
        <v>103.75</v>
      </c>
      <c r="B93">
        <v>3858.5610000000001</v>
      </c>
      <c r="C93">
        <v>3363.5230000000001</v>
      </c>
      <c r="D93">
        <v>2788.3009999999999</v>
      </c>
      <c r="E93">
        <v>3810.3040000000001</v>
      </c>
      <c r="F93">
        <v>3070.462</v>
      </c>
      <c r="H93" s="2">
        <f t="shared" si="4"/>
        <v>3378.2302000000004</v>
      </c>
      <c r="I93" s="2">
        <f t="shared" si="5"/>
        <v>207.40774741445802</v>
      </c>
      <c r="K93">
        <v>103.75</v>
      </c>
      <c r="L93" t="s">
        <v>6</v>
      </c>
      <c r="M93">
        <v>2755.3470000000002</v>
      </c>
      <c r="N93">
        <v>3113.9549999999999</v>
      </c>
      <c r="O93">
        <v>3686.0819999999999</v>
      </c>
      <c r="P93">
        <v>2868.578</v>
      </c>
      <c r="R93" s="3">
        <f t="shared" si="6"/>
        <v>3105.9904999999999</v>
      </c>
      <c r="S93" s="3">
        <f t="shared" si="7"/>
        <v>207.34133308810084</v>
      </c>
    </row>
    <row r="94" spans="1:19" x14ac:dyDescent="0.25">
      <c r="A94">
        <v>105</v>
      </c>
      <c r="B94">
        <v>3496.0210000000002</v>
      </c>
      <c r="C94">
        <v>3084.9279999999999</v>
      </c>
      <c r="D94">
        <v>2572.364</v>
      </c>
      <c r="E94">
        <v>3442.991</v>
      </c>
      <c r="F94">
        <v>2776.16</v>
      </c>
      <c r="H94" s="2">
        <f t="shared" si="4"/>
        <v>3074.4928</v>
      </c>
      <c r="I94" s="2">
        <f t="shared" si="5"/>
        <v>180.93115148348684</v>
      </c>
      <c r="K94">
        <v>105</v>
      </c>
      <c r="L94" t="s">
        <v>6</v>
      </c>
      <c r="M94">
        <v>2502.1489999999999</v>
      </c>
      <c r="N94">
        <v>2824.2979999999998</v>
      </c>
      <c r="O94">
        <v>3303.4009999999998</v>
      </c>
      <c r="P94">
        <v>2599.9699999999998</v>
      </c>
      <c r="R94" s="3">
        <f t="shared" si="6"/>
        <v>2807.4544999999998</v>
      </c>
      <c r="S94" s="3">
        <f t="shared" si="7"/>
        <v>178.53755450534729</v>
      </c>
    </row>
    <row r="95" spans="1:19" x14ac:dyDescent="0.25">
      <c r="A95">
        <v>106.25</v>
      </c>
      <c r="B95">
        <v>3287.0349999999999</v>
      </c>
      <c r="C95">
        <v>2924.82</v>
      </c>
      <c r="D95">
        <v>2452.2069999999999</v>
      </c>
      <c r="E95">
        <v>3219.3139999999999</v>
      </c>
      <c r="F95">
        <v>2615.7330000000002</v>
      </c>
      <c r="H95" s="2">
        <f t="shared" si="4"/>
        <v>2899.8218000000002</v>
      </c>
      <c r="I95" s="2">
        <f t="shared" si="5"/>
        <v>163.35539378649287</v>
      </c>
      <c r="K95">
        <v>106.25</v>
      </c>
      <c r="L95" t="s">
        <v>6</v>
      </c>
      <c r="M95">
        <v>2367.9259999999999</v>
      </c>
      <c r="N95">
        <v>2676.6370000000002</v>
      </c>
      <c r="O95">
        <v>3074.6480000000001</v>
      </c>
      <c r="P95">
        <v>2451.7750000000001</v>
      </c>
      <c r="R95" s="3">
        <f t="shared" si="6"/>
        <v>2642.7465000000002</v>
      </c>
      <c r="S95" s="3">
        <f t="shared" si="7"/>
        <v>158.03055947215776</v>
      </c>
    </row>
    <row r="96" spans="1:19" x14ac:dyDescent="0.25">
      <c r="A96">
        <v>107.5</v>
      </c>
      <c r="B96">
        <v>3131.203</v>
      </c>
      <c r="C96">
        <v>2789.2829999999999</v>
      </c>
      <c r="D96">
        <v>2342.7860000000001</v>
      </c>
      <c r="E96">
        <v>3081.384</v>
      </c>
      <c r="F96">
        <v>2494.1080000000002</v>
      </c>
      <c r="H96" s="2">
        <f t="shared" si="4"/>
        <v>2767.7528000000002</v>
      </c>
      <c r="I96" s="2">
        <f t="shared" si="5"/>
        <v>155.9490918015868</v>
      </c>
      <c r="K96">
        <v>107.5</v>
      </c>
      <c r="L96" t="s">
        <v>6</v>
      </c>
      <c r="M96">
        <v>2259.6790000000001</v>
      </c>
      <c r="N96">
        <v>2564.3429999999998</v>
      </c>
      <c r="O96">
        <v>2922.0729999999999</v>
      </c>
      <c r="P96">
        <v>2336.2539999999999</v>
      </c>
      <c r="R96" s="3">
        <f t="shared" si="6"/>
        <v>2520.5872499999996</v>
      </c>
      <c r="S96" s="3">
        <f t="shared" si="7"/>
        <v>148.6487008253456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8D54-D7F3-49ED-BCB2-98E1EA2263E6}">
  <dimension ref="A1:AN96"/>
  <sheetViews>
    <sheetView workbookViewId="0">
      <selection activeCell="U3" sqref="U3"/>
    </sheetView>
  </sheetViews>
  <sheetFormatPr defaultRowHeight="11.25" x14ac:dyDescent="0.2"/>
  <cols>
    <col min="1" max="1" width="8.5703125" style="7" bestFit="1" customWidth="1"/>
    <col min="2" max="16" width="7.85546875" style="7" bestFit="1" customWidth="1"/>
    <col min="17" max="17" width="2.140625" style="4" customWidth="1"/>
    <col min="18" max="19" width="9.140625" style="5"/>
    <col min="20" max="20" width="2.85546875" style="4" customWidth="1"/>
    <col min="21" max="21" width="8.85546875" style="7" bestFit="1" customWidth="1"/>
    <col min="22" max="36" width="7.85546875" style="7" bestFit="1" customWidth="1"/>
    <col min="37" max="37" width="2.140625" style="4" customWidth="1"/>
    <col min="38" max="39" width="9.140625" style="6"/>
    <col min="40" max="40" width="2.85546875" style="4" customWidth="1"/>
    <col min="41" max="16384" width="9.140625" style="7"/>
  </cols>
  <sheetData>
    <row r="1" spans="1:39" x14ac:dyDescent="0.2">
      <c r="A1" s="10" t="s">
        <v>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U1" s="11" t="s">
        <v>5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9" x14ac:dyDescent="0.2">
      <c r="A2" s="7" t="s">
        <v>7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U2" s="7" t="s">
        <v>8</v>
      </c>
      <c r="V2" s="7">
        <v>1</v>
      </c>
      <c r="W2" s="7">
        <v>2</v>
      </c>
      <c r="X2" s="7">
        <v>3</v>
      </c>
      <c r="Y2" s="7">
        <v>4</v>
      </c>
      <c r="Z2" s="7">
        <v>5</v>
      </c>
      <c r="AA2" s="7">
        <v>6</v>
      </c>
      <c r="AB2" s="7">
        <v>7</v>
      </c>
      <c r="AC2" s="7">
        <v>8</v>
      </c>
      <c r="AD2" s="7">
        <v>9</v>
      </c>
      <c r="AE2" s="7">
        <v>10</v>
      </c>
      <c r="AF2" s="7">
        <v>11</v>
      </c>
      <c r="AG2" s="7">
        <v>12</v>
      </c>
      <c r="AH2" s="7">
        <v>13</v>
      </c>
      <c r="AI2" s="7">
        <v>14</v>
      </c>
      <c r="AJ2" s="7">
        <v>15</v>
      </c>
    </row>
    <row r="3" spans="1:39" x14ac:dyDescent="0.2">
      <c r="A3" s="7" t="s">
        <v>0</v>
      </c>
      <c r="B3" s="7">
        <v>-0.22</v>
      </c>
      <c r="C3" s="7">
        <v>-1.383</v>
      </c>
      <c r="D3" s="7">
        <v>-5.048</v>
      </c>
      <c r="E3" s="7">
        <v>-3.7559999999999998</v>
      </c>
      <c r="F3" s="7" t="s">
        <v>6</v>
      </c>
      <c r="G3" s="7">
        <v>-1.6910000000000001</v>
      </c>
      <c r="H3" s="7">
        <v>-1.4970000000000001</v>
      </c>
      <c r="I3" s="7">
        <v>-1.5760000000000001</v>
      </c>
      <c r="J3" s="7" t="s">
        <v>6</v>
      </c>
      <c r="K3" s="7">
        <v>-2.589</v>
      </c>
      <c r="L3" s="7">
        <v>2.3029999999999999</v>
      </c>
      <c r="M3" s="7">
        <v>-2.1269999999999998</v>
      </c>
      <c r="N3" s="7" t="s">
        <v>6</v>
      </c>
      <c r="O3" s="7">
        <v>-1.786</v>
      </c>
      <c r="P3" s="7">
        <v>-0.28799999999999998</v>
      </c>
      <c r="U3" s="7" t="s">
        <v>0</v>
      </c>
      <c r="V3" s="7">
        <v>-2.528</v>
      </c>
      <c r="W3" s="7">
        <v>-3.3650000000000002</v>
      </c>
      <c r="X3" s="7">
        <v>-3.0819999999999999</v>
      </c>
      <c r="Y3" s="7" t="s">
        <v>6</v>
      </c>
      <c r="Z3" s="7">
        <v>-3.3370000000000002</v>
      </c>
      <c r="AA3" s="7">
        <v>-2.0840000000000001</v>
      </c>
      <c r="AB3" s="7" t="s">
        <v>6</v>
      </c>
      <c r="AC3" s="7">
        <v>-1.8049999999999999</v>
      </c>
      <c r="AD3" s="7">
        <v>-4.0519999999999996</v>
      </c>
      <c r="AE3" s="7">
        <v>0.32800000000000001</v>
      </c>
      <c r="AF3" s="7" t="s">
        <v>6</v>
      </c>
      <c r="AG3" s="7">
        <v>-0.70099999999999996</v>
      </c>
      <c r="AH3" s="7">
        <v>-1.0509999999999999</v>
      </c>
      <c r="AI3" s="7">
        <v>-2.8</v>
      </c>
      <c r="AJ3" s="7">
        <v>-0.86899999999999999</v>
      </c>
    </row>
    <row r="4" spans="1:39" x14ac:dyDescent="0.2">
      <c r="A4" s="7" t="s">
        <v>1</v>
      </c>
      <c r="B4" s="7">
        <v>351.58100000000002</v>
      </c>
      <c r="C4" s="7">
        <v>352.077</v>
      </c>
      <c r="D4" s="7">
        <v>352.89800000000002</v>
      </c>
      <c r="E4" s="7">
        <v>351.149</v>
      </c>
      <c r="F4" s="7" t="s">
        <v>6</v>
      </c>
      <c r="G4" s="7">
        <v>351.59899999999999</v>
      </c>
      <c r="H4" s="7">
        <v>350.51</v>
      </c>
      <c r="I4" s="7">
        <v>354.12299999999999</v>
      </c>
      <c r="J4" s="7" t="s">
        <v>6</v>
      </c>
      <c r="K4" s="7">
        <v>353.75299999999999</v>
      </c>
      <c r="L4" s="7">
        <v>354.16300000000001</v>
      </c>
      <c r="M4" s="7">
        <v>352.92500000000001</v>
      </c>
      <c r="N4" s="7" t="s">
        <v>6</v>
      </c>
      <c r="O4" s="7">
        <v>351.76400000000001</v>
      </c>
      <c r="P4" s="7">
        <v>350.17700000000002</v>
      </c>
      <c r="R4" s="5">
        <f>AVERAGE(B4:P4)</f>
        <v>352.22658333333334</v>
      </c>
      <c r="S4" s="5">
        <f>STDEV(B4:P4)/SQRT(COUNT(B4:P4))</f>
        <v>0.3889600832198381</v>
      </c>
      <c r="U4" s="7" t="s">
        <v>1</v>
      </c>
      <c r="V4" s="7">
        <v>351.24</v>
      </c>
      <c r="W4" s="7">
        <v>351.78800000000001</v>
      </c>
      <c r="X4" s="7">
        <v>352.697</v>
      </c>
      <c r="Y4" s="7" t="s">
        <v>6</v>
      </c>
      <c r="Z4" s="7">
        <v>353.53800000000001</v>
      </c>
      <c r="AA4" s="7">
        <v>352.55</v>
      </c>
      <c r="AB4" s="7" t="s">
        <v>6</v>
      </c>
      <c r="AC4" s="7">
        <v>353.80900000000003</v>
      </c>
      <c r="AD4" s="7">
        <v>352.67899999999997</v>
      </c>
      <c r="AE4" s="7">
        <v>352.99099999999999</v>
      </c>
      <c r="AF4" s="7" t="s">
        <v>6</v>
      </c>
      <c r="AG4" s="7">
        <v>353.488</v>
      </c>
      <c r="AH4" s="7">
        <v>353.56799999999998</v>
      </c>
      <c r="AI4" s="7">
        <v>354.048</v>
      </c>
      <c r="AJ4" s="7">
        <v>352.67500000000001</v>
      </c>
      <c r="AL4" s="6">
        <f>AVERAGE(AC4:AJ4)</f>
        <v>353.32257142857145</v>
      </c>
      <c r="AM4" s="6">
        <f>STDEV(AC4:AJ4)/SQRT(COUNT(AC4:AJ4))</f>
        <v>0.20667052882061912</v>
      </c>
    </row>
    <row r="5" spans="1:39" x14ac:dyDescent="0.2">
      <c r="A5" s="7" t="s">
        <v>2</v>
      </c>
      <c r="B5" s="7">
        <v>72.97</v>
      </c>
      <c r="C5" s="7">
        <v>73.018000000000001</v>
      </c>
      <c r="D5" s="7">
        <v>73.248999999999995</v>
      </c>
      <c r="E5" s="7">
        <v>73.319000000000003</v>
      </c>
      <c r="F5" s="7" t="s">
        <v>6</v>
      </c>
      <c r="G5" s="7">
        <v>72.466999999999999</v>
      </c>
      <c r="H5" s="7">
        <v>71.89</v>
      </c>
      <c r="I5" s="7">
        <v>73.478999999999999</v>
      </c>
      <c r="J5" s="7" t="s">
        <v>6</v>
      </c>
      <c r="K5" s="7">
        <v>73.402000000000001</v>
      </c>
      <c r="L5" s="7">
        <v>72.206999999999994</v>
      </c>
      <c r="M5" s="7">
        <v>72.676000000000002</v>
      </c>
      <c r="N5" s="7" t="s">
        <v>6</v>
      </c>
      <c r="O5" s="7">
        <v>73.194999999999993</v>
      </c>
      <c r="P5" s="7">
        <v>72.031000000000006</v>
      </c>
      <c r="R5" s="5">
        <f t="shared" ref="R5:R68" si="0">AVERAGE(B5:P5)</f>
        <v>72.825249999999997</v>
      </c>
      <c r="S5" s="5">
        <f t="shared" ref="S5:S68" si="1">STDEV(B5:P5)/SQRT(COUNT(B5:P5))</f>
        <v>0.16088251524675126</v>
      </c>
      <c r="U5" s="7" t="s">
        <v>2</v>
      </c>
      <c r="V5" s="7">
        <v>72.915999999999997</v>
      </c>
      <c r="W5" s="7">
        <v>72.691000000000003</v>
      </c>
      <c r="X5" s="7">
        <v>72.521000000000001</v>
      </c>
      <c r="Y5" s="7" t="s">
        <v>6</v>
      </c>
      <c r="Z5" s="7">
        <v>72.349000000000004</v>
      </c>
      <c r="AA5" s="7">
        <v>73.087999999999994</v>
      </c>
      <c r="AB5" s="7" t="s">
        <v>6</v>
      </c>
      <c r="AC5" s="7">
        <v>72.685000000000002</v>
      </c>
      <c r="AD5" s="7">
        <v>73.131</v>
      </c>
      <c r="AE5" s="7">
        <v>72.838999999999999</v>
      </c>
      <c r="AF5" s="7" t="s">
        <v>6</v>
      </c>
      <c r="AG5" s="7">
        <v>72.875</v>
      </c>
      <c r="AH5" s="7">
        <v>72.98</v>
      </c>
      <c r="AI5" s="7">
        <v>73.55</v>
      </c>
      <c r="AJ5" s="7">
        <v>72.554000000000002</v>
      </c>
      <c r="AL5" s="6">
        <f t="shared" ref="AL5:AL68" si="2">AVERAGE(AC5:AJ5)</f>
        <v>72.944857142857146</v>
      </c>
      <c r="AM5" s="6">
        <f t="shared" ref="AM5:AM68" si="3">STDEV(AC5:AJ5)/SQRT(COUNT(AC5:AJ5))</f>
        <v>0.12329434941893858</v>
      </c>
    </row>
    <row r="6" spans="1:39" x14ac:dyDescent="0.2">
      <c r="A6" s="7" t="s">
        <v>3</v>
      </c>
      <c r="B6" s="7">
        <v>34.237000000000002</v>
      </c>
      <c r="C6" s="7">
        <v>34.527000000000001</v>
      </c>
      <c r="D6" s="7">
        <v>33.481000000000002</v>
      </c>
      <c r="E6" s="7">
        <v>33.393999999999998</v>
      </c>
      <c r="F6" s="7" t="s">
        <v>6</v>
      </c>
      <c r="G6" s="7">
        <v>34.189</v>
      </c>
      <c r="H6" s="7">
        <v>34.895000000000003</v>
      </c>
      <c r="I6" s="7">
        <v>36.862000000000002</v>
      </c>
      <c r="J6" s="7" t="s">
        <v>6</v>
      </c>
      <c r="K6" s="7">
        <v>35.130000000000003</v>
      </c>
      <c r="L6" s="7">
        <v>36.884</v>
      </c>
      <c r="M6" s="7">
        <v>34.003</v>
      </c>
      <c r="N6" s="7" t="s">
        <v>6</v>
      </c>
      <c r="O6" s="7">
        <v>33.923000000000002</v>
      </c>
      <c r="P6" s="7">
        <v>34.39</v>
      </c>
      <c r="R6" s="5">
        <f t="shared" si="0"/>
        <v>34.659583333333337</v>
      </c>
      <c r="S6" s="5">
        <f t="shared" si="1"/>
        <v>0.33177754637373796</v>
      </c>
      <c r="U6" s="7" t="s">
        <v>3</v>
      </c>
      <c r="V6" s="7">
        <v>34.89</v>
      </c>
      <c r="W6" s="7">
        <v>35.219000000000001</v>
      </c>
      <c r="X6" s="7">
        <v>35.396000000000001</v>
      </c>
      <c r="Y6" s="7" t="s">
        <v>6</v>
      </c>
      <c r="Z6" s="7">
        <v>35.860999999999997</v>
      </c>
      <c r="AA6" s="7">
        <v>36.466999999999999</v>
      </c>
      <c r="AB6" s="7" t="s">
        <v>6</v>
      </c>
      <c r="AC6" s="7">
        <v>36.311999999999998</v>
      </c>
      <c r="AD6" s="7">
        <v>34.430999999999997</v>
      </c>
      <c r="AE6" s="7">
        <v>35.674999999999997</v>
      </c>
      <c r="AF6" s="7" t="s">
        <v>6</v>
      </c>
      <c r="AG6" s="7">
        <v>36.398000000000003</v>
      </c>
      <c r="AH6" s="7">
        <v>37.026000000000003</v>
      </c>
      <c r="AI6" s="7">
        <v>34.802999999999997</v>
      </c>
      <c r="AJ6" s="7">
        <v>36.054000000000002</v>
      </c>
      <c r="AL6" s="6">
        <f t="shared" si="2"/>
        <v>35.814142857142862</v>
      </c>
      <c r="AM6" s="6">
        <f t="shared" si="3"/>
        <v>0.34743052944310493</v>
      </c>
    </row>
    <row r="7" spans="1:39" x14ac:dyDescent="0.2">
      <c r="A7" s="7">
        <v>-3.75</v>
      </c>
      <c r="B7" s="7">
        <v>1206.0340000000001</v>
      </c>
      <c r="C7" s="7">
        <v>1371.0619999999999</v>
      </c>
      <c r="D7" s="7">
        <v>1551.107</v>
      </c>
      <c r="E7" s="7">
        <v>1566.249</v>
      </c>
      <c r="F7" s="7" t="s">
        <v>6</v>
      </c>
      <c r="G7" s="7">
        <v>1495.145</v>
      </c>
      <c r="H7" s="7">
        <v>1355.7729999999999</v>
      </c>
      <c r="I7" s="7">
        <v>693.46900000000005</v>
      </c>
      <c r="J7" s="7" t="s">
        <v>6</v>
      </c>
      <c r="K7" s="7">
        <v>877.654</v>
      </c>
      <c r="L7" s="7">
        <v>737.25</v>
      </c>
      <c r="M7" s="7">
        <v>1051.7270000000001</v>
      </c>
      <c r="N7" s="7" t="s">
        <v>6</v>
      </c>
      <c r="O7" s="7">
        <v>1417.729</v>
      </c>
      <c r="P7" s="7">
        <v>1336.2190000000001</v>
      </c>
      <c r="R7" s="5">
        <f t="shared" si="0"/>
        <v>1221.6181666666669</v>
      </c>
      <c r="S7" s="5">
        <f t="shared" si="1"/>
        <v>89.402278865253251</v>
      </c>
      <c r="U7" s="7">
        <v>-3.75</v>
      </c>
      <c r="V7" s="7">
        <v>1159.846</v>
      </c>
      <c r="W7" s="7">
        <v>1018.2380000000001</v>
      </c>
      <c r="X7" s="7">
        <v>895.80600000000004</v>
      </c>
      <c r="Y7" s="7" t="s">
        <v>6</v>
      </c>
      <c r="Z7" s="7">
        <v>905.80799999999999</v>
      </c>
      <c r="AA7" s="7">
        <v>938.37099999999998</v>
      </c>
      <c r="AB7" s="7" t="s">
        <v>6</v>
      </c>
      <c r="AC7" s="7">
        <v>909.49</v>
      </c>
      <c r="AD7" s="7">
        <v>818.27200000000005</v>
      </c>
      <c r="AE7" s="7">
        <v>1063.104</v>
      </c>
      <c r="AF7" s="7" t="s">
        <v>6</v>
      </c>
      <c r="AG7" s="7">
        <v>930.04600000000005</v>
      </c>
      <c r="AH7" s="7">
        <v>734.13199999999995</v>
      </c>
      <c r="AI7" s="7">
        <v>1104.1030000000001</v>
      </c>
      <c r="AJ7" s="7">
        <v>737.89599999999996</v>
      </c>
      <c r="AL7" s="6">
        <f t="shared" si="2"/>
        <v>899.57757142857133</v>
      </c>
      <c r="AM7" s="6">
        <f t="shared" si="3"/>
        <v>55.575321849359241</v>
      </c>
    </row>
    <row r="8" spans="1:39" x14ac:dyDescent="0.2">
      <c r="A8" s="7">
        <v>-2.5</v>
      </c>
      <c r="B8" s="7">
        <v>1447.6949999999999</v>
      </c>
      <c r="C8" s="7">
        <v>1590.3679999999999</v>
      </c>
      <c r="D8" s="7">
        <v>1690.5119999999999</v>
      </c>
      <c r="E8" s="7">
        <v>1705.1890000000001</v>
      </c>
      <c r="F8" s="7" t="s">
        <v>6</v>
      </c>
      <c r="G8" s="7">
        <v>1677.4929999999999</v>
      </c>
      <c r="H8" s="7">
        <v>1588.4559999999999</v>
      </c>
      <c r="I8" s="7">
        <v>904.15899999999999</v>
      </c>
      <c r="J8" s="7" t="s">
        <v>6</v>
      </c>
      <c r="K8" s="7">
        <v>1039.087</v>
      </c>
      <c r="L8" s="7">
        <v>979.50800000000004</v>
      </c>
      <c r="M8" s="7">
        <v>1181.4290000000001</v>
      </c>
      <c r="N8" s="7" t="s">
        <v>6</v>
      </c>
      <c r="O8" s="7">
        <v>1586.7829999999999</v>
      </c>
      <c r="P8" s="7">
        <v>1462.61</v>
      </c>
      <c r="R8" s="5">
        <f t="shared" si="0"/>
        <v>1404.4407499999998</v>
      </c>
      <c r="S8" s="5">
        <f t="shared" si="1"/>
        <v>85.628023871235357</v>
      </c>
      <c r="U8" s="7">
        <v>-2.5</v>
      </c>
      <c r="V8" s="7">
        <v>1314.5170000000001</v>
      </c>
      <c r="W8" s="7">
        <v>1088.999</v>
      </c>
      <c r="X8" s="7">
        <v>1055.4369999999999</v>
      </c>
      <c r="Y8" s="7" t="s">
        <v>6</v>
      </c>
      <c r="Z8" s="7">
        <v>1057.5419999999999</v>
      </c>
      <c r="AA8" s="7">
        <v>1140.395</v>
      </c>
      <c r="AB8" s="7" t="s">
        <v>6</v>
      </c>
      <c r="AC8" s="7">
        <v>1160.6469999999999</v>
      </c>
      <c r="AD8" s="7">
        <v>1015.3630000000001</v>
      </c>
      <c r="AE8" s="7">
        <v>1295.6959999999999</v>
      </c>
      <c r="AF8" s="7" t="s">
        <v>6</v>
      </c>
      <c r="AG8" s="7">
        <v>1186.154</v>
      </c>
      <c r="AH8" s="7">
        <v>912.20600000000002</v>
      </c>
      <c r="AI8" s="7">
        <v>1321.184</v>
      </c>
      <c r="AJ8" s="7">
        <v>906.20100000000002</v>
      </c>
      <c r="AL8" s="6">
        <f t="shared" si="2"/>
        <v>1113.9215714285715</v>
      </c>
      <c r="AM8" s="6">
        <f t="shared" si="3"/>
        <v>64.908588863348413</v>
      </c>
    </row>
    <row r="9" spans="1:39" x14ac:dyDescent="0.2">
      <c r="A9" s="7">
        <v>-1.25</v>
      </c>
      <c r="B9" s="7">
        <v>2022.528</v>
      </c>
      <c r="C9" s="7">
        <v>2139.7260000000001</v>
      </c>
      <c r="D9" s="7">
        <v>2096.0990000000002</v>
      </c>
      <c r="E9" s="7">
        <v>2132.509</v>
      </c>
      <c r="F9" s="7" t="s">
        <v>6</v>
      </c>
      <c r="G9" s="7">
        <v>2133.0729999999999</v>
      </c>
      <c r="H9" s="7">
        <v>2090.73</v>
      </c>
      <c r="I9" s="7">
        <v>1457.7270000000001</v>
      </c>
      <c r="J9" s="7" t="s">
        <v>6</v>
      </c>
      <c r="K9" s="7">
        <v>1431.675</v>
      </c>
      <c r="L9" s="7">
        <v>1534.9380000000001</v>
      </c>
      <c r="M9" s="7">
        <v>1554.933</v>
      </c>
      <c r="N9" s="7" t="s">
        <v>6</v>
      </c>
      <c r="O9" s="7">
        <v>2011.9970000000001</v>
      </c>
      <c r="P9" s="7">
        <v>1766.787</v>
      </c>
      <c r="R9" s="5">
        <f t="shared" si="0"/>
        <v>1864.3935000000001</v>
      </c>
      <c r="S9" s="5">
        <f t="shared" si="1"/>
        <v>84.299620884558607</v>
      </c>
      <c r="U9" s="7">
        <v>-1.25</v>
      </c>
      <c r="V9" s="7">
        <v>1706.5920000000001</v>
      </c>
      <c r="W9" s="7">
        <v>1432.874</v>
      </c>
      <c r="X9" s="7">
        <v>1464.5250000000001</v>
      </c>
      <c r="Y9" s="7" t="s">
        <v>6</v>
      </c>
      <c r="Z9" s="7">
        <v>1476.1420000000001</v>
      </c>
      <c r="AA9" s="7">
        <v>1695.91</v>
      </c>
      <c r="AB9" s="7" t="s">
        <v>6</v>
      </c>
      <c r="AC9" s="7">
        <v>1716.5930000000001</v>
      </c>
      <c r="AD9" s="7">
        <v>1488.2650000000001</v>
      </c>
      <c r="AE9" s="7">
        <v>1781.8150000000001</v>
      </c>
      <c r="AF9" s="7" t="s">
        <v>6</v>
      </c>
      <c r="AG9" s="7">
        <v>1732.4259999999999</v>
      </c>
      <c r="AH9" s="7">
        <v>1466.2750000000001</v>
      </c>
      <c r="AI9" s="7">
        <v>1865.796</v>
      </c>
      <c r="AJ9" s="7">
        <v>1324.942</v>
      </c>
      <c r="AL9" s="6">
        <f t="shared" si="2"/>
        <v>1625.1588571428572</v>
      </c>
      <c r="AM9" s="6">
        <f t="shared" si="3"/>
        <v>75.028247621884546</v>
      </c>
    </row>
    <row r="10" spans="1:39" x14ac:dyDescent="0.2">
      <c r="A10" s="7">
        <v>0</v>
      </c>
      <c r="B10" s="7">
        <v>2841.4940000000001</v>
      </c>
      <c r="C10" s="7">
        <v>2938.7260000000001</v>
      </c>
      <c r="D10" s="7">
        <v>2767.8310000000001</v>
      </c>
      <c r="E10" s="7">
        <v>2867.6550000000002</v>
      </c>
      <c r="F10" s="7" t="s">
        <v>6</v>
      </c>
      <c r="G10" s="7">
        <v>2888.127</v>
      </c>
      <c r="H10" s="7">
        <v>2846.105</v>
      </c>
      <c r="I10" s="7">
        <v>2163.5459999999998</v>
      </c>
      <c r="J10" s="7" t="s">
        <v>6</v>
      </c>
      <c r="K10" s="7">
        <v>2015.635</v>
      </c>
      <c r="L10" s="7">
        <v>2289.14</v>
      </c>
      <c r="M10" s="7">
        <v>2147.4769999999999</v>
      </c>
      <c r="N10" s="7" t="s">
        <v>6</v>
      </c>
      <c r="O10" s="7">
        <v>2666.2069999999999</v>
      </c>
      <c r="P10" s="7">
        <v>2275.9459999999999</v>
      </c>
      <c r="R10" s="5">
        <f t="shared" si="0"/>
        <v>2558.9907499999995</v>
      </c>
      <c r="S10" s="5">
        <f t="shared" si="1"/>
        <v>100.71880858097785</v>
      </c>
      <c r="U10" s="7">
        <v>0</v>
      </c>
      <c r="V10" s="7">
        <v>2289.172</v>
      </c>
      <c r="W10" s="7">
        <v>2029.502</v>
      </c>
      <c r="X10" s="7">
        <v>2053.1260000000002</v>
      </c>
      <c r="Y10" s="7" t="s">
        <v>6</v>
      </c>
      <c r="Z10" s="7">
        <v>2169.2840000000001</v>
      </c>
      <c r="AA10" s="7">
        <v>2480.3789999999999</v>
      </c>
      <c r="AB10" s="7" t="s">
        <v>6</v>
      </c>
      <c r="AC10" s="7">
        <v>2458.3209999999999</v>
      </c>
      <c r="AD10" s="7">
        <v>2146.2510000000002</v>
      </c>
      <c r="AE10" s="7">
        <v>2457.2049999999999</v>
      </c>
      <c r="AF10" s="7" t="s">
        <v>6</v>
      </c>
      <c r="AG10" s="7">
        <v>2493.556</v>
      </c>
      <c r="AH10" s="7">
        <v>2184.7510000000002</v>
      </c>
      <c r="AI10" s="7">
        <v>2601.48</v>
      </c>
      <c r="AJ10" s="7">
        <v>1882.11</v>
      </c>
      <c r="AL10" s="6">
        <f t="shared" si="2"/>
        <v>2317.6677142857143</v>
      </c>
      <c r="AM10" s="6">
        <f t="shared" si="3"/>
        <v>96.053205594288627</v>
      </c>
    </row>
    <row r="11" spans="1:39" x14ac:dyDescent="0.2">
      <c r="A11" s="7">
        <v>1.25</v>
      </c>
      <c r="B11" s="7">
        <v>3601.4319999999998</v>
      </c>
      <c r="C11" s="7">
        <v>3736.85</v>
      </c>
      <c r="D11" s="7">
        <v>3406.3139999999999</v>
      </c>
      <c r="E11" s="7">
        <v>3567.212</v>
      </c>
      <c r="F11" s="7" t="s">
        <v>6</v>
      </c>
      <c r="G11" s="7">
        <v>3634.6469999999999</v>
      </c>
      <c r="H11" s="7">
        <v>3657.1880000000001</v>
      </c>
      <c r="I11" s="7">
        <v>2888.279</v>
      </c>
      <c r="J11" s="7" t="s">
        <v>6</v>
      </c>
      <c r="K11" s="7">
        <v>2661.4090000000001</v>
      </c>
      <c r="L11" s="7">
        <v>3054.4630000000002</v>
      </c>
      <c r="M11" s="7">
        <v>2672.4389999999999</v>
      </c>
      <c r="N11" s="7" t="s">
        <v>6</v>
      </c>
      <c r="O11" s="7">
        <v>3280.0419999999999</v>
      </c>
      <c r="P11" s="7">
        <v>2780.44</v>
      </c>
      <c r="R11" s="5">
        <f t="shared" si="0"/>
        <v>3245.0595833333332</v>
      </c>
      <c r="S11" s="5">
        <f t="shared" si="1"/>
        <v>119.00882866380705</v>
      </c>
      <c r="U11" s="7">
        <v>1.25</v>
      </c>
      <c r="V11" s="7">
        <v>2891.335</v>
      </c>
      <c r="W11" s="7">
        <v>2599.3960000000002</v>
      </c>
      <c r="X11" s="7">
        <v>2621.9810000000002</v>
      </c>
      <c r="Y11" s="7" t="s">
        <v>6</v>
      </c>
      <c r="Z11" s="7">
        <v>2815.9609999999998</v>
      </c>
      <c r="AA11" s="7">
        <v>3271.0810000000001</v>
      </c>
      <c r="AB11" s="7" t="s">
        <v>6</v>
      </c>
      <c r="AC11" s="7">
        <v>3264.9720000000002</v>
      </c>
      <c r="AD11" s="7">
        <v>2781.252</v>
      </c>
      <c r="AE11" s="7">
        <v>3189.221</v>
      </c>
      <c r="AF11" s="7" t="s">
        <v>6</v>
      </c>
      <c r="AG11" s="7">
        <v>3288.375</v>
      </c>
      <c r="AH11" s="7">
        <v>2911.1750000000002</v>
      </c>
      <c r="AI11" s="7">
        <v>3281.4679999999998</v>
      </c>
      <c r="AJ11" s="7">
        <v>2486.37</v>
      </c>
      <c r="AL11" s="6">
        <f t="shared" si="2"/>
        <v>3028.9761428571428</v>
      </c>
      <c r="AM11" s="6">
        <f t="shared" si="3"/>
        <v>117.72426928641525</v>
      </c>
    </row>
    <row r="12" spans="1:39" x14ac:dyDescent="0.2">
      <c r="A12" s="7">
        <v>2.5</v>
      </c>
      <c r="B12" s="7">
        <v>4026.0070000000001</v>
      </c>
      <c r="C12" s="7">
        <v>4215.7449999999999</v>
      </c>
      <c r="D12" s="7">
        <v>3731.4209999999998</v>
      </c>
      <c r="E12" s="7">
        <v>3902.8809999999999</v>
      </c>
      <c r="F12" s="7" t="s">
        <v>6</v>
      </c>
      <c r="G12" s="7">
        <v>4033.9949999999999</v>
      </c>
      <c r="H12" s="7">
        <v>4051.56</v>
      </c>
      <c r="I12" s="7">
        <v>3314.6680000000001</v>
      </c>
      <c r="J12" s="7" t="s">
        <v>6</v>
      </c>
      <c r="K12" s="7">
        <v>2978.8609999999999</v>
      </c>
      <c r="L12" s="7">
        <v>3416.3530000000001</v>
      </c>
      <c r="M12" s="7">
        <v>2973.701</v>
      </c>
      <c r="N12" s="7" t="s">
        <v>6</v>
      </c>
      <c r="O12" s="7">
        <v>3626.5650000000001</v>
      </c>
      <c r="P12" s="7">
        <v>3092.1320000000001</v>
      </c>
      <c r="R12" s="5">
        <f t="shared" si="0"/>
        <v>3613.6574166666669</v>
      </c>
      <c r="S12" s="5">
        <f t="shared" si="1"/>
        <v>129.43619909417237</v>
      </c>
      <c r="U12" s="7">
        <v>2.5</v>
      </c>
      <c r="V12" s="7">
        <v>3261.31</v>
      </c>
      <c r="W12" s="7">
        <v>2896.6880000000001</v>
      </c>
      <c r="X12" s="7">
        <v>2976.6849999999999</v>
      </c>
      <c r="Y12" s="7" t="s">
        <v>6</v>
      </c>
      <c r="Z12" s="7">
        <v>3231.71</v>
      </c>
      <c r="AA12" s="7">
        <v>3747.4380000000001</v>
      </c>
      <c r="AB12" s="7" t="s">
        <v>6</v>
      </c>
      <c r="AC12" s="7">
        <v>3696.817</v>
      </c>
      <c r="AD12" s="7">
        <v>3173.9789999999998</v>
      </c>
      <c r="AE12" s="7">
        <v>3575.183</v>
      </c>
      <c r="AF12" s="7" t="s">
        <v>6</v>
      </c>
      <c r="AG12" s="7">
        <v>3740.7710000000002</v>
      </c>
      <c r="AH12" s="7">
        <v>3343.8229999999999</v>
      </c>
      <c r="AI12" s="7">
        <v>3721.0129999999999</v>
      </c>
      <c r="AJ12" s="7">
        <v>2825.623</v>
      </c>
      <c r="AL12" s="6">
        <f t="shared" si="2"/>
        <v>3439.6012857142855</v>
      </c>
      <c r="AM12" s="6">
        <f t="shared" si="3"/>
        <v>130.12229491954579</v>
      </c>
    </row>
    <row r="13" spans="1:39" x14ac:dyDescent="0.2">
      <c r="A13" s="7">
        <v>3.75</v>
      </c>
      <c r="B13" s="7">
        <v>4186.4639999999999</v>
      </c>
      <c r="C13" s="7">
        <v>4385.1030000000001</v>
      </c>
      <c r="D13" s="7">
        <v>3854.4380000000001</v>
      </c>
      <c r="E13" s="7">
        <v>4017.7530000000002</v>
      </c>
      <c r="F13" s="7" t="s">
        <v>6</v>
      </c>
      <c r="G13" s="7">
        <v>4183.3540000000003</v>
      </c>
      <c r="H13" s="7">
        <v>4221.5129999999999</v>
      </c>
      <c r="I13" s="7">
        <v>3497.0970000000002</v>
      </c>
      <c r="J13" s="7" t="s">
        <v>6</v>
      </c>
      <c r="K13" s="7">
        <v>3094.72</v>
      </c>
      <c r="L13" s="7">
        <v>3401.6660000000002</v>
      </c>
      <c r="M13" s="7">
        <v>3076.1439999999998</v>
      </c>
      <c r="N13" s="7" t="s">
        <v>6</v>
      </c>
      <c r="O13" s="7">
        <v>3743.8049999999998</v>
      </c>
      <c r="P13" s="7">
        <v>3196.2849999999999</v>
      </c>
      <c r="R13" s="5">
        <f t="shared" si="0"/>
        <v>3738.1951666666669</v>
      </c>
      <c r="S13" s="5">
        <f t="shared" si="1"/>
        <v>136.52373884802171</v>
      </c>
      <c r="U13" s="7">
        <v>3.75</v>
      </c>
      <c r="V13" s="7">
        <v>3356.855</v>
      </c>
      <c r="W13" s="7">
        <v>3054.5709999999999</v>
      </c>
      <c r="X13" s="7">
        <v>3142.6869999999999</v>
      </c>
      <c r="Y13" s="7" t="s">
        <v>6</v>
      </c>
      <c r="Z13" s="7">
        <v>3410.2429999999999</v>
      </c>
      <c r="AA13" s="7">
        <v>3936.92</v>
      </c>
      <c r="AB13" s="7" t="s">
        <v>6</v>
      </c>
      <c r="AC13" s="7">
        <v>3889.1550000000002</v>
      </c>
      <c r="AD13" s="7">
        <v>3396.8359999999998</v>
      </c>
      <c r="AE13" s="7">
        <v>3755.739</v>
      </c>
      <c r="AF13" s="7" t="s">
        <v>6</v>
      </c>
      <c r="AG13" s="7">
        <v>3855.3539999999998</v>
      </c>
      <c r="AH13" s="7">
        <v>3496.6210000000001</v>
      </c>
      <c r="AI13" s="7">
        <v>3895.8319999999999</v>
      </c>
      <c r="AJ13" s="7">
        <v>2946.2849999999999</v>
      </c>
      <c r="AL13" s="6">
        <f t="shared" si="2"/>
        <v>3605.1174285714283</v>
      </c>
      <c r="AM13" s="6">
        <f t="shared" si="3"/>
        <v>132.7107758320536</v>
      </c>
    </row>
    <row r="14" spans="1:39" x14ac:dyDescent="0.2">
      <c r="A14" s="7">
        <v>5</v>
      </c>
      <c r="B14" s="7">
        <v>4321.3680000000004</v>
      </c>
      <c r="C14" s="7">
        <v>4425.6899999999996</v>
      </c>
      <c r="D14" s="7">
        <v>3897.915</v>
      </c>
      <c r="E14" s="7">
        <v>4065.779</v>
      </c>
      <c r="F14" s="7" t="s">
        <v>6</v>
      </c>
      <c r="G14" s="7">
        <v>4281.152</v>
      </c>
      <c r="H14" s="7">
        <v>4340.2709999999997</v>
      </c>
      <c r="I14" s="7">
        <v>3543.1579999999999</v>
      </c>
      <c r="J14" s="7" t="s">
        <v>6</v>
      </c>
      <c r="K14" s="7">
        <v>3155.1010000000001</v>
      </c>
      <c r="L14" s="7">
        <v>3363.4090000000001</v>
      </c>
      <c r="M14" s="7">
        <v>3123.357</v>
      </c>
      <c r="N14" s="7" t="s">
        <v>6</v>
      </c>
      <c r="O14" s="7">
        <v>3806.672</v>
      </c>
      <c r="P14" s="7">
        <v>3246.6289999999999</v>
      </c>
      <c r="R14" s="5">
        <f t="shared" si="0"/>
        <v>3797.5417499999999</v>
      </c>
      <c r="S14" s="5">
        <f t="shared" si="1"/>
        <v>143.11072846243053</v>
      </c>
      <c r="U14" s="7">
        <v>5</v>
      </c>
      <c r="V14" s="7">
        <v>3416.3919999999998</v>
      </c>
      <c r="W14" s="7">
        <v>3108.029</v>
      </c>
      <c r="X14" s="7">
        <v>3203.8339999999998</v>
      </c>
      <c r="Y14" s="7" t="s">
        <v>6</v>
      </c>
      <c r="Z14" s="7">
        <v>3476.5360000000001</v>
      </c>
      <c r="AA14" s="7">
        <v>3991.6190000000001</v>
      </c>
      <c r="AB14" s="7" t="s">
        <v>6</v>
      </c>
      <c r="AC14" s="7">
        <v>3934.2170000000001</v>
      </c>
      <c r="AD14" s="7">
        <v>3453.192</v>
      </c>
      <c r="AE14" s="7">
        <v>3843.37</v>
      </c>
      <c r="AF14" s="7" t="s">
        <v>6</v>
      </c>
      <c r="AG14" s="7">
        <v>3875.5050000000001</v>
      </c>
      <c r="AH14" s="7">
        <v>3565.9119999999998</v>
      </c>
      <c r="AI14" s="7">
        <v>3941.5039999999999</v>
      </c>
      <c r="AJ14" s="7">
        <v>3004.4650000000001</v>
      </c>
      <c r="AL14" s="6">
        <f t="shared" si="2"/>
        <v>3659.7378571428571</v>
      </c>
      <c r="AM14" s="6">
        <f t="shared" si="3"/>
        <v>130.55323515814726</v>
      </c>
    </row>
    <row r="15" spans="1:39" x14ac:dyDescent="0.2">
      <c r="A15" s="7">
        <v>6.25</v>
      </c>
      <c r="B15" s="7">
        <v>4344.7</v>
      </c>
      <c r="C15" s="7">
        <v>4395.1549999999997</v>
      </c>
      <c r="D15" s="7">
        <v>3858.1320000000001</v>
      </c>
      <c r="E15" s="7">
        <v>4000.4520000000002</v>
      </c>
      <c r="F15" s="7" t="s">
        <v>6</v>
      </c>
      <c r="G15" s="7">
        <v>4257.9319999999998</v>
      </c>
      <c r="H15" s="7">
        <v>4325.433</v>
      </c>
      <c r="I15" s="7">
        <v>3493.5239999999999</v>
      </c>
      <c r="J15" s="7" t="s">
        <v>6</v>
      </c>
      <c r="K15" s="7">
        <v>3141.4110000000001</v>
      </c>
      <c r="L15" s="7">
        <v>3376.8180000000002</v>
      </c>
      <c r="M15" s="7">
        <v>3087.6930000000002</v>
      </c>
      <c r="N15" s="7" t="s">
        <v>6</v>
      </c>
      <c r="O15" s="7">
        <v>3798.1170000000002</v>
      </c>
      <c r="P15" s="7">
        <v>3239.4859999999999</v>
      </c>
      <c r="R15" s="5">
        <f t="shared" si="0"/>
        <v>3776.5710833333328</v>
      </c>
      <c r="S15" s="5">
        <f t="shared" si="1"/>
        <v>143.07164048303738</v>
      </c>
      <c r="U15" s="7">
        <v>6.25</v>
      </c>
      <c r="V15" s="7">
        <v>3406.6030000000001</v>
      </c>
      <c r="W15" s="7">
        <v>3070.652</v>
      </c>
      <c r="X15" s="7">
        <v>3186.2289999999998</v>
      </c>
      <c r="Y15" s="7" t="s">
        <v>6</v>
      </c>
      <c r="Z15" s="7">
        <v>3440.8249999999998</v>
      </c>
      <c r="AA15" s="7">
        <v>3973.547</v>
      </c>
      <c r="AB15" s="7" t="s">
        <v>6</v>
      </c>
      <c r="AC15" s="7">
        <v>3851.1480000000001</v>
      </c>
      <c r="AD15" s="7">
        <v>3388.7069999999999</v>
      </c>
      <c r="AE15" s="7">
        <v>3862.0610000000001</v>
      </c>
      <c r="AF15" s="7" t="s">
        <v>6</v>
      </c>
      <c r="AG15" s="7">
        <v>3839.76</v>
      </c>
      <c r="AH15" s="7">
        <v>3565.3510000000001</v>
      </c>
      <c r="AI15" s="7">
        <v>3953.752</v>
      </c>
      <c r="AJ15" s="7">
        <v>2998.5250000000001</v>
      </c>
      <c r="AL15" s="6">
        <f t="shared" si="2"/>
        <v>3637.0434285714286</v>
      </c>
      <c r="AM15" s="6">
        <f t="shared" si="3"/>
        <v>130.23683300614076</v>
      </c>
    </row>
    <row r="16" spans="1:39" x14ac:dyDescent="0.2">
      <c r="A16" s="7">
        <v>7.5</v>
      </c>
      <c r="B16" s="7">
        <v>4217.8720000000003</v>
      </c>
      <c r="C16" s="7">
        <v>4266.71</v>
      </c>
      <c r="D16" s="7">
        <v>3718.212</v>
      </c>
      <c r="E16" s="7">
        <v>3836.7429999999999</v>
      </c>
      <c r="F16" s="7" t="s">
        <v>6</v>
      </c>
      <c r="G16" s="7">
        <v>4136.2460000000001</v>
      </c>
      <c r="H16" s="7">
        <v>4170.9009999999998</v>
      </c>
      <c r="I16" s="7">
        <v>3371.9169999999999</v>
      </c>
      <c r="J16" s="7" t="s">
        <v>6</v>
      </c>
      <c r="K16" s="7">
        <v>3044.989</v>
      </c>
      <c r="L16" s="7">
        <v>3333.1509999999998</v>
      </c>
      <c r="M16" s="7">
        <v>2981.6759999999999</v>
      </c>
      <c r="N16" s="7" t="s">
        <v>6</v>
      </c>
      <c r="O16" s="7">
        <v>3667.7559999999999</v>
      </c>
      <c r="P16" s="7">
        <v>3133.9290000000001</v>
      </c>
      <c r="R16" s="5">
        <f t="shared" si="0"/>
        <v>3656.6751666666664</v>
      </c>
      <c r="S16" s="5">
        <f t="shared" si="1"/>
        <v>137.80303419928015</v>
      </c>
      <c r="U16" s="7">
        <v>7.5</v>
      </c>
      <c r="V16" s="7">
        <v>3303.8049999999998</v>
      </c>
      <c r="W16" s="7">
        <v>2961.7060000000001</v>
      </c>
      <c r="X16" s="7">
        <v>3075.8440000000001</v>
      </c>
      <c r="Y16" s="7" t="s">
        <v>6</v>
      </c>
      <c r="Z16" s="7">
        <v>3302.7579999999998</v>
      </c>
      <c r="AA16" s="7">
        <v>3847.8560000000002</v>
      </c>
      <c r="AB16" s="7" t="s">
        <v>6</v>
      </c>
      <c r="AC16" s="7">
        <v>3690.1410000000001</v>
      </c>
      <c r="AD16" s="7">
        <v>3199.0210000000002</v>
      </c>
      <c r="AE16" s="7">
        <v>3752.8110000000001</v>
      </c>
      <c r="AF16" s="7" t="s">
        <v>6</v>
      </c>
      <c r="AG16" s="7">
        <v>3707.511</v>
      </c>
      <c r="AH16" s="7">
        <v>3464.1170000000002</v>
      </c>
      <c r="AI16" s="7">
        <v>3791.2220000000002</v>
      </c>
      <c r="AJ16" s="7">
        <v>2919.9090000000001</v>
      </c>
      <c r="AL16" s="6">
        <f t="shared" si="2"/>
        <v>3503.5331428571435</v>
      </c>
      <c r="AM16" s="6">
        <f t="shared" si="3"/>
        <v>124.99830520078272</v>
      </c>
    </row>
    <row r="17" spans="1:39" x14ac:dyDescent="0.2">
      <c r="A17" s="7">
        <v>8.75</v>
      </c>
      <c r="B17" s="7">
        <v>3890.9580000000001</v>
      </c>
      <c r="C17" s="7">
        <v>4010.777</v>
      </c>
      <c r="D17" s="7">
        <v>3539.84</v>
      </c>
      <c r="E17" s="7">
        <v>3633.5230000000001</v>
      </c>
      <c r="F17" s="7" t="s">
        <v>6</v>
      </c>
      <c r="G17" s="7">
        <v>3840.2109999999998</v>
      </c>
      <c r="H17" s="7">
        <v>3892.654</v>
      </c>
      <c r="I17" s="7">
        <v>3156.623</v>
      </c>
      <c r="J17" s="7" t="s">
        <v>6</v>
      </c>
      <c r="K17" s="7">
        <v>2848.8339999999998</v>
      </c>
      <c r="L17" s="7">
        <v>3118.5569999999998</v>
      </c>
      <c r="M17" s="7">
        <v>2777.4029999999998</v>
      </c>
      <c r="N17" s="7" t="s">
        <v>6</v>
      </c>
      <c r="O17" s="7">
        <v>3425.3420000000001</v>
      </c>
      <c r="P17" s="7">
        <v>2910.4110000000001</v>
      </c>
      <c r="R17" s="5">
        <f t="shared" si="0"/>
        <v>3420.4277499999994</v>
      </c>
      <c r="S17" s="5">
        <f t="shared" si="1"/>
        <v>128.80146242600591</v>
      </c>
      <c r="U17" s="7">
        <v>8.75</v>
      </c>
      <c r="V17" s="7">
        <v>3088.7330000000002</v>
      </c>
      <c r="W17" s="7">
        <v>2764.45</v>
      </c>
      <c r="X17" s="7">
        <v>2895.5439999999999</v>
      </c>
      <c r="Y17" s="7" t="s">
        <v>6</v>
      </c>
      <c r="Z17" s="7">
        <v>3092.6970000000001</v>
      </c>
      <c r="AA17" s="7">
        <v>3573.4769999999999</v>
      </c>
      <c r="AB17" s="7" t="s">
        <v>6</v>
      </c>
      <c r="AC17" s="7">
        <v>3430.337</v>
      </c>
      <c r="AD17" s="7">
        <v>2976.0940000000001</v>
      </c>
      <c r="AE17" s="7">
        <v>3486.107</v>
      </c>
      <c r="AF17" s="7" t="s">
        <v>6</v>
      </c>
      <c r="AG17" s="7">
        <v>3484.71</v>
      </c>
      <c r="AH17" s="7">
        <v>3211.7689999999998</v>
      </c>
      <c r="AI17" s="7">
        <v>3549.6579999999999</v>
      </c>
      <c r="AJ17" s="7">
        <v>2712.5970000000002</v>
      </c>
      <c r="AL17" s="6">
        <f t="shared" si="2"/>
        <v>3264.4674285714286</v>
      </c>
      <c r="AM17" s="6">
        <f t="shared" si="3"/>
        <v>119.22114258622342</v>
      </c>
    </row>
    <row r="18" spans="1:39" x14ac:dyDescent="0.2">
      <c r="A18" s="7">
        <v>10</v>
      </c>
      <c r="B18" s="7">
        <v>3379.3879999999999</v>
      </c>
      <c r="C18" s="7">
        <v>3532.8449999999998</v>
      </c>
      <c r="D18" s="7">
        <v>3220.047</v>
      </c>
      <c r="E18" s="7">
        <v>3297.9789999999998</v>
      </c>
      <c r="F18" s="7" t="s">
        <v>6</v>
      </c>
      <c r="G18" s="7">
        <v>3403.8980000000001</v>
      </c>
      <c r="H18" s="7">
        <v>3479.3029999999999</v>
      </c>
      <c r="I18" s="7">
        <v>2794.4749999999999</v>
      </c>
      <c r="J18" s="7" t="s">
        <v>6</v>
      </c>
      <c r="K18" s="7">
        <v>2525.2240000000002</v>
      </c>
      <c r="L18" s="7">
        <v>2725.5059999999999</v>
      </c>
      <c r="M18" s="7">
        <v>2497.5990000000002</v>
      </c>
      <c r="N18" s="7" t="s">
        <v>6</v>
      </c>
      <c r="O18" s="7">
        <v>3058.4879999999998</v>
      </c>
      <c r="P18" s="7">
        <v>2609.7449999999999</v>
      </c>
      <c r="R18" s="5">
        <f t="shared" si="0"/>
        <v>3043.7080833333334</v>
      </c>
      <c r="S18" s="5">
        <f t="shared" si="1"/>
        <v>113.02110706113648</v>
      </c>
      <c r="U18" s="7">
        <v>10</v>
      </c>
      <c r="V18" s="7">
        <v>2750.5619999999999</v>
      </c>
      <c r="W18" s="7">
        <v>2500.3589999999999</v>
      </c>
      <c r="X18" s="7">
        <v>2600.4769999999999</v>
      </c>
      <c r="Y18" s="7" t="s">
        <v>6</v>
      </c>
      <c r="Z18" s="7">
        <v>2790.5540000000001</v>
      </c>
      <c r="AA18" s="7">
        <v>3178.1109999999999</v>
      </c>
      <c r="AB18" s="7" t="s">
        <v>6</v>
      </c>
      <c r="AC18" s="7">
        <v>3033.2469999999998</v>
      </c>
      <c r="AD18" s="7">
        <v>2665.0880000000002</v>
      </c>
      <c r="AE18" s="7">
        <v>3049.4169999999999</v>
      </c>
      <c r="AF18" s="7" t="s">
        <v>6</v>
      </c>
      <c r="AG18" s="7">
        <v>3092.6309999999999</v>
      </c>
      <c r="AH18" s="7">
        <v>2823.6509999999998</v>
      </c>
      <c r="AI18" s="7">
        <v>3191.22</v>
      </c>
      <c r="AJ18" s="7">
        <v>2396.3609999999999</v>
      </c>
      <c r="AL18" s="6">
        <f t="shared" si="2"/>
        <v>2893.0878571428575</v>
      </c>
      <c r="AM18" s="6">
        <f t="shared" si="3"/>
        <v>106.4946465559092</v>
      </c>
    </row>
    <row r="19" spans="1:39" x14ac:dyDescent="0.2">
      <c r="A19" s="7">
        <v>11.25</v>
      </c>
      <c r="B19" s="7">
        <v>2978.5529999999999</v>
      </c>
      <c r="C19" s="7">
        <v>3121.8620000000001</v>
      </c>
      <c r="D19" s="7">
        <v>2899.502</v>
      </c>
      <c r="E19" s="7">
        <v>2979.1610000000001</v>
      </c>
      <c r="F19" s="7" t="s">
        <v>6</v>
      </c>
      <c r="G19" s="7">
        <v>3042.8870000000002</v>
      </c>
      <c r="H19" s="7">
        <v>3118.02</v>
      </c>
      <c r="I19" s="7">
        <v>2447.4989999999998</v>
      </c>
      <c r="J19" s="7" t="s">
        <v>6</v>
      </c>
      <c r="K19" s="7">
        <v>2261.8319999999999</v>
      </c>
      <c r="L19" s="7">
        <v>2403.395</v>
      </c>
      <c r="M19" s="7">
        <v>2210.123</v>
      </c>
      <c r="N19" s="7" t="s">
        <v>6</v>
      </c>
      <c r="O19" s="7">
        <v>2727.9160000000002</v>
      </c>
      <c r="P19" s="7">
        <v>2335.038</v>
      </c>
      <c r="R19" s="5">
        <f t="shared" si="0"/>
        <v>2710.4823333333334</v>
      </c>
      <c r="S19" s="5">
        <f t="shared" si="1"/>
        <v>102.32018274058026</v>
      </c>
      <c r="U19" s="7">
        <v>11.25</v>
      </c>
      <c r="V19" s="7">
        <v>2444.8690000000001</v>
      </c>
      <c r="W19" s="7">
        <v>2235.5219999999999</v>
      </c>
      <c r="X19" s="7">
        <v>2320.2739999999999</v>
      </c>
      <c r="Y19" s="7" t="s">
        <v>6</v>
      </c>
      <c r="Z19" s="7">
        <v>2492.498</v>
      </c>
      <c r="AA19" s="7">
        <v>2839.3539999999998</v>
      </c>
      <c r="AB19" s="7" t="s">
        <v>6</v>
      </c>
      <c r="AC19" s="7">
        <v>2661.5509999999999</v>
      </c>
      <c r="AD19" s="7">
        <v>2320.248</v>
      </c>
      <c r="AE19" s="7">
        <v>2718.1109999999999</v>
      </c>
      <c r="AF19" s="7" t="s">
        <v>6</v>
      </c>
      <c r="AG19" s="7">
        <v>2724.6129999999998</v>
      </c>
      <c r="AH19" s="7">
        <v>2507.2840000000001</v>
      </c>
      <c r="AI19" s="7">
        <v>2870.433</v>
      </c>
      <c r="AJ19" s="7">
        <v>2124.451</v>
      </c>
      <c r="AL19" s="6">
        <f t="shared" si="2"/>
        <v>2560.955857142857</v>
      </c>
      <c r="AM19" s="6">
        <f t="shared" si="3"/>
        <v>98.64973090263986</v>
      </c>
    </row>
    <row r="20" spans="1:39" x14ac:dyDescent="0.2">
      <c r="A20" s="7">
        <v>12.5</v>
      </c>
      <c r="B20" s="7">
        <v>2797.84</v>
      </c>
      <c r="C20" s="7">
        <v>2928.4119999999998</v>
      </c>
      <c r="D20" s="7">
        <v>2751.623</v>
      </c>
      <c r="E20" s="7">
        <v>2809.0709999999999</v>
      </c>
      <c r="F20" s="7" t="s">
        <v>6</v>
      </c>
      <c r="G20" s="7">
        <v>2863.7910000000002</v>
      </c>
      <c r="H20" s="7">
        <v>2928.29</v>
      </c>
      <c r="I20" s="7">
        <v>2273.6419999999998</v>
      </c>
      <c r="J20" s="7" t="s">
        <v>6</v>
      </c>
      <c r="K20" s="7">
        <v>2131.1060000000002</v>
      </c>
      <c r="L20" s="7">
        <v>2223.0030000000002</v>
      </c>
      <c r="M20" s="7">
        <v>2080.114</v>
      </c>
      <c r="N20" s="7" t="s">
        <v>6</v>
      </c>
      <c r="O20" s="7">
        <v>2585.35</v>
      </c>
      <c r="P20" s="7">
        <v>2207.2719999999999</v>
      </c>
      <c r="R20" s="5">
        <f t="shared" si="0"/>
        <v>2548.2928333333334</v>
      </c>
      <c r="S20" s="5">
        <f t="shared" si="1"/>
        <v>97.398003766164578</v>
      </c>
      <c r="U20" s="7">
        <v>12.5</v>
      </c>
      <c r="V20" s="7">
        <v>2292.2809999999999</v>
      </c>
      <c r="W20" s="7">
        <v>2100.8879999999999</v>
      </c>
      <c r="X20" s="7">
        <v>2177.7170000000001</v>
      </c>
      <c r="Y20" s="7" t="s">
        <v>6</v>
      </c>
      <c r="Z20" s="7">
        <v>2362.7600000000002</v>
      </c>
      <c r="AA20" s="7">
        <v>2671.652</v>
      </c>
      <c r="AB20" s="7" t="s">
        <v>6</v>
      </c>
      <c r="AC20" s="7">
        <v>2472.8270000000002</v>
      </c>
      <c r="AD20" s="7">
        <v>2164.4119999999998</v>
      </c>
      <c r="AE20" s="7">
        <v>2542.3389999999999</v>
      </c>
      <c r="AF20" s="7" t="s">
        <v>6</v>
      </c>
      <c r="AG20" s="7">
        <v>2534.9960000000001</v>
      </c>
      <c r="AH20" s="7">
        <v>2366.125</v>
      </c>
      <c r="AI20" s="7">
        <v>2711.1469999999999</v>
      </c>
      <c r="AJ20" s="7">
        <v>1994.502</v>
      </c>
      <c r="AL20" s="6">
        <f t="shared" si="2"/>
        <v>2398.0497142857143</v>
      </c>
      <c r="AM20" s="6">
        <f t="shared" si="3"/>
        <v>92.794160652108133</v>
      </c>
    </row>
    <row r="21" spans="1:39" x14ac:dyDescent="0.2">
      <c r="A21" s="7">
        <v>13.75</v>
      </c>
      <c r="B21" s="7">
        <v>2739.5259999999998</v>
      </c>
      <c r="C21" s="7">
        <v>2865.078</v>
      </c>
      <c r="D21" s="7">
        <v>2712.5360000000001</v>
      </c>
      <c r="E21" s="7">
        <v>2753.1219999999998</v>
      </c>
      <c r="F21" s="7" t="s">
        <v>6</v>
      </c>
      <c r="G21" s="7">
        <v>2809.9070000000002</v>
      </c>
      <c r="H21" s="7">
        <v>2850.8</v>
      </c>
      <c r="I21" s="7">
        <v>2221.819</v>
      </c>
      <c r="J21" s="7" t="s">
        <v>6</v>
      </c>
      <c r="K21" s="7">
        <v>2082.0819999999999</v>
      </c>
      <c r="L21" s="7">
        <v>2157.1370000000002</v>
      </c>
      <c r="M21" s="7">
        <v>2043.5440000000001</v>
      </c>
      <c r="N21" s="7" t="s">
        <v>6</v>
      </c>
      <c r="O21" s="7">
        <v>2543.098</v>
      </c>
      <c r="P21" s="7">
        <v>2154.1170000000002</v>
      </c>
      <c r="R21" s="5">
        <f t="shared" si="0"/>
        <v>2494.3971666666662</v>
      </c>
      <c r="S21" s="5">
        <f t="shared" si="1"/>
        <v>96.061177010297371</v>
      </c>
      <c r="U21" s="7">
        <v>13.75</v>
      </c>
      <c r="V21" s="7">
        <v>2247.2429999999999</v>
      </c>
      <c r="W21" s="7">
        <v>2061.2359999999999</v>
      </c>
      <c r="X21" s="7">
        <v>2130.4189999999999</v>
      </c>
      <c r="Y21" s="7" t="s">
        <v>6</v>
      </c>
      <c r="Z21" s="7">
        <v>2319.3240000000001</v>
      </c>
      <c r="AA21" s="7">
        <v>2615.4180000000001</v>
      </c>
      <c r="AB21" s="7" t="s">
        <v>6</v>
      </c>
      <c r="AC21" s="7">
        <v>2422.0700000000002</v>
      </c>
      <c r="AD21" s="7">
        <v>2115.0500000000002</v>
      </c>
      <c r="AE21" s="7">
        <v>2484.4369999999999</v>
      </c>
      <c r="AF21" s="7" t="s">
        <v>6</v>
      </c>
      <c r="AG21" s="7">
        <v>2486.6849999999999</v>
      </c>
      <c r="AH21" s="7">
        <v>2322.3069999999998</v>
      </c>
      <c r="AI21" s="7">
        <v>2661.9290000000001</v>
      </c>
      <c r="AJ21" s="7">
        <v>1962.0809999999999</v>
      </c>
      <c r="AL21" s="6">
        <f t="shared" si="2"/>
        <v>2350.6512857142852</v>
      </c>
      <c r="AM21" s="6">
        <f t="shared" si="3"/>
        <v>90.72413290449299</v>
      </c>
    </row>
    <row r="22" spans="1:39" x14ac:dyDescent="0.2">
      <c r="A22" s="7">
        <v>15</v>
      </c>
      <c r="B22" s="7">
        <v>2704.7570000000001</v>
      </c>
      <c r="C22" s="7">
        <v>2842.3440000000001</v>
      </c>
      <c r="D22" s="7">
        <v>2702.1439999999998</v>
      </c>
      <c r="E22" s="7">
        <v>2738.7640000000001</v>
      </c>
      <c r="F22" s="7" t="s">
        <v>6</v>
      </c>
      <c r="G22" s="7">
        <v>2792.66</v>
      </c>
      <c r="H22" s="7">
        <v>2822.9229999999998</v>
      </c>
      <c r="I22" s="7">
        <v>2203.7719999999999</v>
      </c>
      <c r="J22" s="7" t="s">
        <v>6</v>
      </c>
      <c r="K22" s="7">
        <v>2072.0300000000002</v>
      </c>
      <c r="L22" s="7">
        <v>2140.62</v>
      </c>
      <c r="M22" s="7">
        <v>2031.808</v>
      </c>
      <c r="N22" s="7" t="s">
        <v>6</v>
      </c>
      <c r="O22" s="7">
        <v>2528.7220000000002</v>
      </c>
      <c r="P22" s="7">
        <v>2135.7669999999998</v>
      </c>
      <c r="R22" s="5">
        <f t="shared" si="0"/>
        <v>2476.35925</v>
      </c>
      <c r="S22" s="5">
        <f t="shared" si="1"/>
        <v>95.066783557196601</v>
      </c>
      <c r="U22" s="7">
        <v>15</v>
      </c>
      <c r="V22" s="7">
        <v>2238.951</v>
      </c>
      <c r="W22" s="7">
        <v>2044.3309999999999</v>
      </c>
      <c r="X22" s="7">
        <v>2113.9380000000001</v>
      </c>
      <c r="Y22" s="7" t="s">
        <v>6</v>
      </c>
      <c r="Z22" s="7">
        <v>2295.5059999999999</v>
      </c>
      <c r="AA22" s="7">
        <v>2604.1660000000002</v>
      </c>
      <c r="AB22" s="7" t="s">
        <v>6</v>
      </c>
      <c r="AC22" s="7">
        <v>2410.5100000000002</v>
      </c>
      <c r="AD22" s="7">
        <v>2101.4969999999998</v>
      </c>
      <c r="AE22" s="7">
        <v>2456.9690000000001</v>
      </c>
      <c r="AF22" s="7" t="s">
        <v>6</v>
      </c>
      <c r="AG22" s="7">
        <v>2472.0479999999998</v>
      </c>
      <c r="AH22" s="7">
        <v>2297.6680000000001</v>
      </c>
      <c r="AI22" s="7">
        <v>2631.3330000000001</v>
      </c>
      <c r="AJ22" s="7">
        <v>1954.3789999999999</v>
      </c>
      <c r="AL22" s="6">
        <f t="shared" si="2"/>
        <v>2332.0577142857142</v>
      </c>
      <c r="AM22" s="6">
        <f t="shared" si="3"/>
        <v>88.358398125586959</v>
      </c>
    </row>
    <row r="23" spans="1:39" x14ac:dyDescent="0.2">
      <c r="A23" s="7">
        <v>16.25</v>
      </c>
      <c r="B23" s="7">
        <v>2689.0360000000001</v>
      </c>
      <c r="C23" s="7">
        <v>2831.7260000000001</v>
      </c>
      <c r="D23" s="7">
        <v>2691.5810000000001</v>
      </c>
      <c r="E23" s="7">
        <v>2742.806</v>
      </c>
      <c r="F23" s="7" t="s">
        <v>6</v>
      </c>
      <c r="G23" s="7">
        <v>2789.4090000000001</v>
      </c>
      <c r="H23" s="7">
        <v>2822.5929999999998</v>
      </c>
      <c r="I23" s="7">
        <v>2187.5100000000002</v>
      </c>
      <c r="J23" s="7" t="s">
        <v>6</v>
      </c>
      <c r="K23" s="7">
        <v>2073.13</v>
      </c>
      <c r="L23" s="7">
        <v>2130.654</v>
      </c>
      <c r="M23" s="7">
        <v>2029.152</v>
      </c>
      <c r="N23" s="7" t="s">
        <v>6</v>
      </c>
      <c r="O23" s="7">
        <v>2515.4050000000002</v>
      </c>
      <c r="P23" s="7">
        <v>2114.0540000000001</v>
      </c>
      <c r="R23" s="5">
        <f t="shared" si="0"/>
        <v>2468.0880000000002</v>
      </c>
      <c r="S23" s="5">
        <f t="shared" si="1"/>
        <v>95.513445758683659</v>
      </c>
      <c r="U23" s="7">
        <v>16.25</v>
      </c>
      <c r="V23" s="7">
        <v>2229.442</v>
      </c>
      <c r="W23" s="7">
        <v>2028.827</v>
      </c>
      <c r="X23" s="7">
        <v>2111.163</v>
      </c>
      <c r="Y23" s="7" t="s">
        <v>6</v>
      </c>
      <c r="Z23" s="7">
        <v>2290.4929999999999</v>
      </c>
      <c r="AA23" s="7">
        <v>2605.8000000000002</v>
      </c>
      <c r="AB23" s="7" t="s">
        <v>6</v>
      </c>
      <c r="AC23" s="7">
        <v>2405.4119999999998</v>
      </c>
      <c r="AD23" s="7">
        <v>2091.6080000000002</v>
      </c>
      <c r="AE23" s="7">
        <v>2447.1289999999999</v>
      </c>
      <c r="AF23" s="7" t="s">
        <v>6</v>
      </c>
      <c r="AG23" s="7">
        <v>2460.4380000000001</v>
      </c>
      <c r="AH23" s="7">
        <v>2292.7820000000002</v>
      </c>
      <c r="AI23" s="7">
        <v>2605.806</v>
      </c>
      <c r="AJ23" s="7">
        <v>1944.933</v>
      </c>
      <c r="AL23" s="6">
        <f t="shared" si="2"/>
        <v>2321.1582857142857</v>
      </c>
      <c r="AM23" s="6">
        <f t="shared" si="3"/>
        <v>87.073379311910912</v>
      </c>
    </row>
    <row r="24" spans="1:39" x14ac:dyDescent="0.2">
      <c r="A24" s="7">
        <v>17.5</v>
      </c>
      <c r="B24" s="7">
        <v>2682.002</v>
      </c>
      <c r="C24" s="7">
        <v>2835.7809999999999</v>
      </c>
      <c r="D24" s="7">
        <v>2683.4540000000002</v>
      </c>
      <c r="E24" s="7">
        <v>2735.326</v>
      </c>
      <c r="F24" s="7" t="s">
        <v>6</v>
      </c>
      <c r="G24" s="7">
        <v>2785.49</v>
      </c>
      <c r="H24" s="7">
        <v>2826.0039999999999</v>
      </c>
      <c r="I24" s="7">
        <v>2169.4279999999999</v>
      </c>
      <c r="J24" s="7" t="s">
        <v>6</v>
      </c>
      <c r="K24" s="7">
        <v>2064.6759999999999</v>
      </c>
      <c r="L24" s="7">
        <v>2124.817</v>
      </c>
      <c r="M24" s="7">
        <v>2028.7190000000001</v>
      </c>
      <c r="N24" s="7" t="s">
        <v>6</v>
      </c>
      <c r="O24" s="7">
        <v>2500.9070000000002</v>
      </c>
      <c r="P24" s="7">
        <v>2104.2849999999999</v>
      </c>
      <c r="R24" s="5">
        <f t="shared" si="0"/>
        <v>2461.7407499999995</v>
      </c>
      <c r="S24" s="5">
        <f t="shared" si="1"/>
        <v>96.270188375873843</v>
      </c>
      <c r="U24" s="7">
        <v>17.5</v>
      </c>
      <c r="V24" s="7">
        <v>2229.6790000000001</v>
      </c>
      <c r="W24" s="7">
        <v>2036.57</v>
      </c>
      <c r="X24" s="7">
        <v>2111.0770000000002</v>
      </c>
      <c r="Y24" s="7" t="s">
        <v>6</v>
      </c>
      <c r="Z24" s="7">
        <v>2284.4589999999998</v>
      </c>
      <c r="AA24" s="7">
        <v>2609.8670000000002</v>
      </c>
      <c r="AB24" s="7" t="s">
        <v>6</v>
      </c>
      <c r="AC24" s="7">
        <v>2406.3780000000002</v>
      </c>
      <c r="AD24" s="7">
        <v>2070.9470000000001</v>
      </c>
      <c r="AE24" s="7">
        <v>2446.0569999999998</v>
      </c>
      <c r="AF24" s="7" t="s">
        <v>6</v>
      </c>
      <c r="AG24" s="7">
        <v>2451.962</v>
      </c>
      <c r="AH24" s="7">
        <v>2279.7710000000002</v>
      </c>
      <c r="AI24" s="7">
        <v>2596.7890000000002</v>
      </c>
      <c r="AJ24" s="7">
        <v>1937.837</v>
      </c>
      <c r="AL24" s="6">
        <f t="shared" si="2"/>
        <v>2312.8201428571433</v>
      </c>
      <c r="AM24" s="6">
        <f t="shared" si="3"/>
        <v>88.197710999999629</v>
      </c>
    </row>
    <row r="25" spans="1:39" x14ac:dyDescent="0.2">
      <c r="A25" s="7">
        <v>18.75</v>
      </c>
      <c r="B25" s="7">
        <v>2688.3829999999998</v>
      </c>
      <c r="C25" s="7">
        <v>2831.6529999999998</v>
      </c>
      <c r="D25" s="7">
        <v>2669.5650000000001</v>
      </c>
      <c r="E25" s="7">
        <v>2727.364</v>
      </c>
      <c r="F25" s="7" t="s">
        <v>6</v>
      </c>
      <c r="G25" s="7">
        <v>2778.6019999999999</v>
      </c>
      <c r="H25" s="7">
        <v>2836.4090000000001</v>
      </c>
      <c r="I25" s="7">
        <v>2166.6010000000001</v>
      </c>
      <c r="J25" s="7" t="s">
        <v>6</v>
      </c>
      <c r="K25" s="7">
        <v>2052.1239999999998</v>
      </c>
      <c r="L25" s="7">
        <v>2122.5369999999998</v>
      </c>
      <c r="M25" s="7">
        <v>2014.3430000000001</v>
      </c>
      <c r="N25" s="7" t="s">
        <v>6</v>
      </c>
      <c r="O25" s="7">
        <v>2486.819</v>
      </c>
      <c r="P25" s="7">
        <v>2100.607</v>
      </c>
      <c r="R25" s="5">
        <f t="shared" si="0"/>
        <v>2456.250583333333</v>
      </c>
      <c r="S25" s="5">
        <f t="shared" si="1"/>
        <v>97.060112848161552</v>
      </c>
      <c r="U25" s="7">
        <v>18.75</v>
      </c>
      <c r="V25" s="7">
        <v>2220.6509999999998</v>
      </c>
      <c r="W25" s="7">
        <v>2037.6469999999999</v>
      </c>
      <c r="X25" s="7">
        <v>2107.6799999999998</v>
      </c>
      <c r="Y25" s="7" t="s">
        <v>6</v>
      </c>
      <c r="Z25" s="7">
        <v>2295.1640000000002</v>
      </c>
      <c r="AA25" s="7">
        <v>2616.35</v>
      </c>
      <c r="AB25" s="7" t="s">
        <v>6</v>
      </c>
      <c r="AC25" s="7">
        <v>2392.085</v>
      </c>
      <c r="AD25" s="7">
        <v>2070.4580000000001</v>
      </c>
      <c r="AE25" s="7">
        <v>2439.1010000000001</v>
      </c>
      <c r="AF25" s="7" t="s">
        <v>6</v>
      </c>
      <c r="AG25" s="7">
        <v>2436.1849999999999</v>
      </c>
      <c r="AH25" s="7">
        <v>2273.681</v>
      </c>
      <c r="AI25" s="7">
        <v>2591.6060000000002</v>
      </c>
      <c r="AJ25" s="7">
        <v>1928.2809999999999</v>
      </c>
      <c r="AL25" s="6">
        <f t="shared" si="2"/>
        <v>2304.485285714286</v>
      </c>
      <c r="AM25" s="6">
        <f t="shared" si="3"/>
        <v>87.671676326729255</v>
      </c>
    </row>
    <row r="26" spans="1:39" x14ac:dyDescent="0.2">
      <c r="A26" s="7">
        <v>20</v>
      </c>
      <c r="B26" s="7">
        <v>2684.2820000000002</v>
      </c>
      <c r="C26" s="7">
        <v>2822.0810000000001</v>
      </c>
      <c r="D26" s="7">
        <v>2659.7359999999999</v>
      </c>
      <c r="E26" s="7">
        <v>2715.0360000000001</v>
      </c>
      <c r="F26" s="7" t="s">
        <v>6</v>
      </c>
      <c r="G26" s="7">
        <v>2766.2330000000002</v>
      </c>
      <c r="H26" s="7">
        <v>2831.08</v>
      </c>
      <c r="I26" s="7">
        <v>2172.5050000000001</v>
      </c>
      <c r="J26" s="7" t="s">
        <v>6</v>
      </c>
      <c r="K26" s="7">
        <v>2041.0530000000001</v>
      </c>
      <c r="L26" s="7">
        <v>2123.7620000000002</v>
      </c>
      <c r="M26" s="7">
        <v>1999.9159999999999</v>
      </c>
      <c r="N26" s="7" t="s">
        <v>6</v>
      </c>
      <c r="O26" s="7">
        <v>2484.3069999999998</v>
      </c>
      <c r="P26" s="7">
        <v>2102.6930000000002</v>
      </c>
      <c r="R26" s="5">
        <f t="shared" si="0"/>
        <v>2450.2236666666668</v>
      </c>
      <c r="S26" s="5">
        <f t="shared" si="1"/>
        <v>96.445830277174579</v>
      </c>
      <c r="U26" s="7">
        <v>20</v>
      </c>
      <c r="V26" s="7">
        <v>2216.0819999999999</v>
      </c>
      <c r="W26" s="7">
        <v>2036.5530000000001</v>
      </c>
      <c r="X26" s="7">
        <v>2091.3960000000002</v>
      </c>
      <c r="Y26" s="7" t="s">
        <v>6</v>
      </c>
      <c r="Z26" s="7">
        <v>2301.9490000000001</v>
      </c>
      <c r="AA26" s="7">
        <v>2619.1750000000002</v>
      </c>
      <c r="AB26" s="7" t="s">
        <v>6</v>
      </c>
      <c r="AC26" s="7">
        <v>2377.33</v>
      </c>
      <c r="AD26" s="7">
        <v>2067.17</v>
      </c>
      <c r="AE26" s="7">
        <v>2438.3090000000002</v>
      </c>
      <c r="AF26" s="7" t="s">
        <v>6</v>
      </c>
      <c r="AG26" s="7">
        <v>2421.2049999999999</v>
      </c>
      <c r="AH26" s="7">
        <v>2281.1370000000002</v>
      </c>
      <c r="AI26" s="7">
        <v>2579.8490000000002</v>
      </c>
      <c r="AJ26" s="7">
        <v>1922.252</v>
      </c>
      <c r="AL26" s="6">
        <f t="shared" si="2"/>
        <v>2298.1788571428574</v>
      </c>
      <c r="AM26" s="6">
        <f t="shared" si="3"/>
        <v>86.650829200942368</v>
      </c>
    </row>
    <row r="27" spans="1:39" x14ac:dyDescent="0.2">
      <c r="A27" s="7">
        <v>21.25</v>
      </c>
      <c r="B27" s="7">
        <v>2670.0839999999998</v>
      </c>
      <c r="C27" s="7">
        <v>2827.7240000000002</v>
      </c>
      <c r="D27" s="7">
        <v>2645.873</v>
      </c>
      <c r="E27" s="7">
        <v>2700.8679999999999</v>
      </c>
      <c r="F27" s="7" t="s">
        <v>6</v>
      </c>
      <c r="G27" s="7">
        <v>2752.0320000000002</v>
      </c>
      <c r="H27" s="7">
        <v>2816.1889999999999</v>
      </c>
      <c r="I27" s="7">
        <v>2172.4360000000001</v>
      </c>
      <c r="J27" s="7" t="s">
        <v>6</v>
      </c>
      <c r="K27" s="7">
        <v>2028.625</v>
      </c>
      <c r="L27" s="7">
        <v>2124.9360000000001</v>
      </c>
      <c r="M27" s="7">
        <v>1985.241</v>
      </c>
      <c r="N27" s="7" t="s">
        <v>6</v>
      </c>
      <c r="O27" s="7">
        <v>2490.489</v>
      </c>
      <c r="P27" s="7">
        <v>2103.4960000000001</v>
      </c>
      <c r="R27" s="5">
        <f t="shared" si="0"/>
        <v>2443.1660833333335</v>
      </c>
      <c r="S27" s="5">
        <f t="shared" si="1"/>
        <v>95.945898366424217</v>
      </c>
      <c r="U27" s="7">
        <v>21.25</v>
      </c>
      <c r="V27" s="7">
        <v>2215.66</v>
      </c>
      <c r="W27" s="7">
        <v>2025.806</v>
      </c>
      <c r="X27" s="7">
        <v>2081.6129999999998</v>
      </c>
      <c r="Y27" s="7" t="s">
        <v>6</v>
      </c>
      <c r="Z27" s="7">
        <v>2281.4360000000001</v>
      </c>
      <c r="AA27" s="7">
        <v>2619.5520000000001</v>
      </c>
      <c r="AB27" s="7" t="s">
        <v>6</v>
      </c>
      <c r="AC27" s="7">
        <v>2374.3649999999998</v>
      </c>
      <c r="AD27" s="7">
        <v>2055.9859999999999</v>
      </c>
      <c r="AE27" s="7">
        <v>2453.7359999999999</v>
      </c>
      <c r="AF27" s="7" t="s">
        <v>6</v>
      </c>
      <c r="AG27" s="7">
        <v>2428.6439999999998</v>
      </c>
      <c r="AH27" s="7">
        <v>2291.5839999999998</v>
      </c>
      <c r="AI27" s="7">
        <v>2573.6350000000002</v>
      </c>
      <c r="AJ27" s="7">
        <v>1930.201</v>
      </c>
      <c r="AL27" s="6">
        <f t="shared" si="2"/>
        <v>2301.1644285714283</v>
      </c>
      <c r="AM27" s="6">
        <f t="shared" si="3"/>
        <v>86.869603056441278</v>
      </c>
    </row>
    <row r="28" spans="1:39" x14ac:dyDescent="0.2">
      <c r="A28" s="7">
        <v>22.5</v>
      </c>
      <c r="B28" s="7">
        <v>2648.268</v>
      </c>
      <c r="C28" s="7">
        <v>2824.86</v>
      </c>
      <c r="D28" s="7">
        <v>2628.6480000000001</v>
      </c>
      <c r="E28" s="7">
        <v>2687.4760000000001</v>
      </c>
      <c r="F28" s="7" t="s">
        <v>6</v>
      </c>
      <c r="G28" s="7">
        <v>2741.1689999999999</v>
      </c>
      <c r="H28" s="7">
        <v>2805.2260000000001</v>
      </c>
      <c r="I28" s="7">
        <v>2171.4499999999998</v>
      </c>
      <c r="J28" s="7" t="s">
        <v>6</v>
      </c>
      <c r="K28" s="7">
        <v>2029.835</v>
      </c>
      <c r="L28" s="7">
        <v>2109.6219999999998</v>
      </c>
      <c r="M28" s="7">
        <v>1974.864</v>
      </c>
      <c r="N28" s="7" t="s">
        <v>6</v>
      </c>
      <c r="O28" s="7">
        <v>2500.9070000000002</v>
      </c>
      <c r="P28" s="7">
        <v>2100.4780000000001</v>
      </c>
      <c r="R28" s="5">
        <f t="shared" si="0"/>
        <v>2435.2335833333332</v>
      </c>
      <c r="S28" s="5">
        <f t="shared" si="1"/>
        <v>95.226436401528119</v>
      </c>
      <c r="U28" s="7">
        <v>22.5</v>
      </c>
      <c r="V28" s="7">
        <v>2210.9520000000002</v>
      </c>
      <c r="W28" s="7">
        <v>2023.318</v>
      </c>
      <c r="X28" s="7">
        <v>2074.2779999999998</v>
      </c>
      <c r="Y28" s="7" t="s">
        <v>6</v>
      </c>
      <c r="Z28" s="7">
        <v>2266.6350000000002</v>
      </c>
      <c r="AA28" s="7">
        <v>2600.0039999999999</v>
      </c>
      <c r="AB28" s="7" t="s">
        <v>6</v>
      </c>
      <c r="AC28" s="7">
        <v>2388.1849999999999</v>
      </c>
      <c r="AD28" s="7">
        <v>2036.0129999999999</v>
      </c>
      <c r="AE28" s="7">
        <v>2456.86</v>
      </c>
      <c r="AF28" s="7" t="s">
        <v>6</v>
      </c>
      <c r="AG28" s="7">
        <v>2453.4090000000001</v>
      </c>
      <c r="AH28" s="7">
        <v>2304.1950000000002</v>
      </c>
      <c r="AI28" s="7">
        <v>2589.9920000000002</v>
      </c>
      <c r="AJ28" s="7">
        <v>1933.788</v>
      </c>
      <c r="AL28" s="6">
        <f t="shared" si="2"/>
        <v>2308.9202857142859</v>
      </c>
      <c r="AM28" s="6">
        <f t="shared" si="3"/>
        <v>90.405475211804031</v>
      </c>
    </row>
    <row r="29" spans="1:39" x14ac:dyDescent="0.2">
      <c r="A29" s="7">
        <v>23.75</v>
      </c>
      <c r="B29" s="7">
        <v>2638.5949999999998</v>
      </c>
      <c r="C29" s="7">
        <v>2811.6970000000001</v>
      </c>
      <c r="D29" s="7">
        <v>2633.8789999999999</v>
      </c>
      <c r="E29" s="7">
        <v>2688.0430000000001</v>
      </c>
      <c r="F29" s="7" t="s">
        <v>6</v>
      </c>
      <c r="G29" s="7">
        <v>2752.145</v>
      </c>
      <c r="H29" s="7">
        <v>2816.3789999999999</v>
      </c>
      <c r="I29" s="7">
        <v>2178.587</v>
      </c>
      <c r="J29" s="7" t="s">
        <v>6</v>
      </c>
      <c r="K29" s="7">
        <v>2036.08</v>
      </c>
      <c r="L29" s="7">
        <v>2114.6170000000002</v>
      </c>
      <c r="M29" s="7">
        <v>1971.395</v>
      </c>
      <c r="N29" s="7" t="s">
        <v>6</v>
      </c>
      <c r="O29" s="7">
        <v>2499.67</v>
      </c>
      <c r="P29" s="7">
        <v>2105.2199999999998</v>
      </c>
      <c r="R29" s="5">
        <f t="shared" si="0"/>
        <v>2437.1922500000001</v>
      </c>
      <c r="S29" s="5">
        <f t="shared" si="1"/>
        <v>94.880511156746181</v>
      </c>
      <c r="U29" s="7">
        <v>23.75</v>
      </c>
      <c r="V29" s="7">
        <v>2214.6289999999999</v>
      </c>
      <c r="W29" s="7">
        <v>2025.63</v>
      </c>
      <c r="X29" s="7">
        <v>2079.0740000000001</v>
      </c>
      <c r="Y29" s="7" t="s">
        <v>6</v>
      </c>
      <c r="Z29" s="7">
        <v>2270.6120000000001</v>
      </c>
      <c r="AA29" s="7">
        <v>2591.91</v>
      </c>
      <c r="AB29" s="7" t="s">
        <v>6</v>
      </c>
      <c r="AC29" s="7">
        <v>2398.3009999999999</v>
      </c>
      <c r="AD29" s="7">
        <v>2032.9259999999999</v>
      </c>
      <c r="AE29" s="7">
        <v>2464.2080000000001</v>
      </c>
      <c r="AF29" s="7" t="s">
        <v>6</v>
      </c>
      <c r="AG29" s="7">
        <v>2466.0450000000001</v>
      </c>
      <c r="AH29" s="7">
        <v>2316.2379999999998</v>
      </c>
      <c r="AI29" s="7">
        <v>2600.098</v>
      </c>
      <c r="AJ29" s="7">
        <v>1947.4359999999999</v>
      </c>
      <c r="AL29" s="6">
        <f t="shared" si="2"/>
        <v>2317.8931428571427</v>
      </c>
      <c r="AM29" s="6">
        <f t="shared" si="3"/>
        <v>91.014065080081792</v>
      </c>
    </row>
    <row r="30" spans="1:39" x14ac:dyDescent="0.2">
      <c r="A30" s="7">
        <v>25</v>
      </c>
      <c r="B30" s="7">
        <v>2653.4070000000002</v>
      </c>
      <c r="C30" s="7">
        <v>2837.192</v>
      </c>
      <c r="D30" s="7">
        <v>2669.9050000000002</v>
      </c>
      <c r="E30" s="7">
        <v>2723.9430000000002</v>
      </c>
      <c r="F30" s="7" t="s">
        <v>6</v>
      </c>
      <c r="G30" s="7">
        <v>2790.1979999999999</v>
      </c>
      <c r="H30" s="7">
        <v>2848.877</v>
      </c>
      <c r="I30" s="7">
        <v>2197.6990000000001</v>
      </c>
      <c r="J30" s="7" t="s">
        <v>6</v>
      </c>
      <c r="K30" s="7">
        <v>2060.2429999999999</v>
      </c>
      <c r="L30" s="7">
        <v>2146.645</v>
      </c>
      <c r="M30" s="7">
        <v>1982.5740000000001</v>
      </c>
      <c r="N30" s="7" t="s">
        <v>6</v>
      </c>
      <c r="O30" s="7">
        <v>2514.7739999999999</v>
      </c>
      <c r="P30" s="7">
        <v>2127.0549999999998</v>
      </c>
      <c r="R30" s="5">
        <f t="shared" si="0"/>
        <v>2462.7093333333337</v>
      </c>
      <c r="S30" s="5">
        <f t="shared" si="1"/>
        <v>96.222635721548954</v>
      </c>
      <c r="U30" s="7">
        <v>25</v>
      </c>
      <c r="V30" s="7">
        <v>2241.6419999999998</v>
      </c>
      <c r="W30" s="7">
        <v>2030.681</v>
      </c>
      <c r="X30" s="7">
        <v>2098.2579999999998</v>
      </c>
      <c r="Y30" s="7" t="s">
        <v>6</v>
      </c>
      <c r="Z30" s="7">
        <v>2302.0050000000001</v>
      </c>
      <c r="AA30" s="7">
        <v>2620.3490000000002</v>
      </c>
      <c r="AB30" s="7" t="s">
        <v>6</v>
      </c>
      <c r="AC30" s="7">
        <v>2419.8850000000002</v>
      </c>
      <c r="AD30" s="7">
        <v>2052.8049999999998</v>
      </c>
      <c r="AE30" s="7">
        <v>2487.7139999999999</v>
      </c>
      <c r="AF30" s="7" t="s">
        <v>6</v>
      </c>
      <c r="AG30" s="7">
        <v>2476.5509999999999</v>
      </c>
      <c r="AH30" s="7">
        <v>2339.96</v>
      </c>
      <c r="AI30" s="7">
        <v>2614.3389999999999</v>
      </c>
      <c r="AJ30" s="7">
        <v>1970.52</v>
      </c>
      <c r="AL30" s="6">
        <f t="shared" si="2"/>
        <v>2337.396285714286</v>
      </c>
      <c r="AM30" s="6">
        <f t="shared" si="3"/>
        <v>90.113431992740161</v>
      </c>
    </row>
    <row r="31" spans="1:39" x14ac:dyDescent="0.2">
      <c r="A31" s="7">
        <v>26.25</v>
      </c>
      <c r="B31" s="7">
        <v>2696.192</v>
      </c>
      <c r="C31" s="7">
        <v>2881.223</v>
      </c>
      <c r="D31" s="7">
        <v>2698.5030000000002</v>
      </c>
      <c r="E31" s="7">
        <v>2767.85</v>
      </c>
      <c r="F31" s="7" t="s">
        <v>6</v>
      </c>
      <c r="G31" s="7">
        <v>2821.1320000000001</v>
      </c>
      <c r="H31" s="7">
        <v>2886.9070000000002</v>
      </c>
      <c r="I31" s="7">
        <v>2234.6210000000001</v>
      </c>
      <c r="J31" s="7" t="s">
        <v>6</v>
      </c>
      <c r="K31" s="7">
        <v>2085.7689999999998</v>
      </c>
      <c r="L31" s="7">
        <v>2182.8180000000002</v>
      </c>
      <c r="M31" s="7">
        <v>2003.645</v>
      </c>
      <c r="N31" s="7" t="s">
        <v>6</v>
      </c>
      <c r="O31" s="7">
        <v>2540.1419999999998</v>
      </c>
      <c r="P31" s="7">
        <v>2145.6680000000001</v>
      </c>
      <c r="R31" s="5">
        <f t="shared" si="0"/>
        <v>2495.3724999999999</v>
      </c>
      <c r="S31" s="5">
        <f t="shared" si="1"/>
        <v>97.843557554092314</v>
      </c>
      <c r="U31" s="7">
        <v>26.25</v>
      </c>
      <c r="V31" s="7">
        <v>2271.308</v>
      </c>
      <c r="W31" s="7">
        <v>2060.884</v>
      </c>
      <c r="X31" s="7">
        <v>2122.1999999999998</v>
      </c>
      <c r="Y31" s="7" t="s">
        <v>6</v>
      </c>
      <c r="Z31" s="7">
        <v>2338.518</v>
      </c>
      <c r="AA31" s="7">
        <v>2659.9140000000002</v>
      </c>
      <c r="AB31" s="7" t="s">
        <v>6</v>
      </c>
      <c r="AC31" s="7">
        <v>2461.471</v>
      </c>
      <c r="AD31" s="7">
        <v>2087.4940000000001</v>
      </c>
      <c r="AE31" s="7">
        <v>2530.7370000000001</v>
      </c>
      <c r="AF31" s="7" t="s">
        <v>6</v>
      </c>
      <c r="AG31" s="7">
        <v>2505.0210000000002</v>
      </c>
      <c r="AH31" s="7">
        <v>2349.0569999999998</v>
      </c>
      <c r="AI31" s="7">
        <v>2632.7420000000002</v>
      </c>
      <c r="AJ31" s="7">
        <v>1986.924</v>
      </c>
      <c r="AL31" s="6">
        <f t="shared" si="2"/>
        <v>2364.7779999999998</v>
      </c>
      <c r="AM31" s="6">
        <f t="shared" si="3"/>
        <v>91.061457803690672</v>
      </c>
    </row>
    <row r="32" spans="1:39" x14ac:dyDescent="0.2">
      <c r="A32" s="7">
        <v>27.5</v>
      </c>
      <c r="B32" s="7">
        <v>2711.5929999999998</v>
      </c>
      <c r="C32" s="7">
        <v>2921.3829999999998</v>
      </c>
      <c r="D32" s="7">
        <v>2709.7049999999999</v>
      </c>
      <c r="E32" s="7">
        <v>2790.5889999999999</v>
      </c>
      <c r="F32" s="7" t="s">
        <v>6</v>
      </c>
      <c r="G32" s="7">
        <v>2844.0639999999999</v>
      </c>
      <c r="H32" s="7">
        <v>2907.1970000000001</v>
      </c>
      <c r="I32" s="7">
        <v>2262.89</v>
      </c>
      <c r="J32" s="7" t="s">
        <v>6</v>
      </c>
      <c r="K32" s="7">
        <v>2099.241</v>
      </c>
      <c r="L32" s="7">
        <v>2201.2820000000002</v>
      </c>
      <c r="M32" s="7">
        <v>2013.4639999999999</v>
      </c>
      <c r="N32" s="7" t="s">
        <v>6</v>
      </c>
      <c r="O32" s="7">
        <v>2554.0630000000001</v>
      </c>
      <c r="P32" s="7">
        <v>2154.8890000000001</v>
      </c>
      <c r="R32" s="5">
        <f t="shared" si="0"/>
        <v>2514.1966666666672</v>
      </c>
      <c r="S32" s="5">
        <f t="shared" si="1"/>
        <v>99.137467091982529</v>
      </c>
      <c r="U32" s="7">
        <v>27.5</v>
      </c>
      <c r="V32" s="7">
        <v>2279.87</v>
      </c>
      <c r="W32" s="7">
        <v>2077.556</v>
      </c>
      <c r="X32" s="7">
        <v>2136.922</v>
      </c>
      <c r="Y32" s="7" t="s">
        <v>6</v>
      </c>
      <c r="Z32" s="7">
        <v>2354.5160000000001</v>
      </c>
      <c r="AA32" s="7">
        <v>2665.9279999999999</v>
      </c>
      <c r="AB32" s="7" t="s">
        <v>6</v>
      </c>
      <c r="AC32" s="7">
        <v>2481.2629999999999</v>
      </c>
      <c r="AD32" s="7">
        <v>2112.5500000000002</v>
      </c>
      <c r="AE32" s="7">
        <v>2546.6219999999998</v>
      </c>
      <c r="AF32" s="7" t="s">
        <v>6</v>
      </c>
      <c r="AG32" s="7">
        <v>2535.308</v>
      </c>
      <c r="AH32" s="7">
        <v>2357.643</v>
      </c>
      <c r="AI32" s="7">
        <v>2631.79</v>
      </c>
      <c r="AJ32" s="7">
        <v>1999.277</v>
      </c>
      <c r="AL32" s="6">
        <f t="shared" si="2"/>
        <v>2380.6361428571431</v>
      </c>
      <c r="AM32" s="6">
        <f t="shared" si="3"/>
        <v>90.305351440708804</v>
      </c>
    </row>
    <row r="33" spans="1:39" x14ac:dyDescent="0.2">
      <c r="A33" s="7">
        <v>28.75</v>
      </c>
      <c r="B33" s="7">
        <v>2708.8319999999999</v>
      </c>
      <c r="C33" s="7">
        <v>2930.5880000000002</v>
      </c>
      <c r="D33" s="7">
        <v>2715.2339999999999</v>
      </c>
      <c r="E33" s="7">
        <v>2797.0639999999999</v>
      </c>
      <c r="F33" s="7" t="s">
        <v>6</v>
      </c>
      <c r="G33" s="7">
        <v>2844.8670000000002</v>
      </c>
      <c r="H33" s="7">
        <v>2915.5360000000001</v>
      </c>
      <c r="I33" s="7">
        <v>2259.0929999999998</v>
      </c>
      <c r="J33" s="7" t="s">
        <v>6</v>
      </c>
      <c r="K33" s="7">
        <v>2103.4250000000002</v>
      </c>
      <c r="L33" s="7">
        <v>2209.7049999999999</v>
      </c>
      <c r="M33" s="7">
        <v>2008.366</v>
      </c>
      <c r="N33" s="7" t="s">
        <v>6</v>
      </c>
      <c r="O33" s="7">
        <v>2561.6970000000001</v>
      </c>
      <c r="P33" s="7">
        <v>2157.1239999999998</v>
      </c>
      <c r="R33" s="5">
        <f t="shared" si="0"/>
        <v>2517.6275833333334</v>
      </c>
      <c r="S33" s="5">
        <f t="shared" si="1"/>
        <v>99.776937614152928</v>
      </c>
      <c r="U33" s="7">
        <v>28.75</v>
      </c>
      <c r="V33" s="7">
        <v>2281.5459999999998</v>
      </c>
      <c r="W33" s="7">
        <v>2072.884</v>
      </c>
      <c r="X33" s="7">
        <v>2145.6790000000001</v>
      </c>
      <c r="Y33" s="7" t="s">
        <v>6</v>
      </c>
      <c r="Z33" s="7">
        <v>2356.5390000000002</v>
      </c>
      <c r="AA33" s="7">
        <v>2673.2660000000001</v>
      </c>
      <c r="AB33" s="7" t="s">
        <v>6</v>
      </c>
      <c r="AC33" s="7">
        <v>2478.3440000000001</v>
      </c>
      <c r="AD33" s="7">
        <v>2110.89</v>
      </c>
      <c r="AE33" s="7">
        <v>2550.732</v>
      </c>
      <c r="AF33" s="7" t="s">
        <v>6</v>
      </c>
      <c r="AG33" s="7">
        <v>2539.6930000000002</v>
      </c>
      <c r="AH33" s="7">
        <v>2359.4690000000001</v>
      </c>
      <c r="AI33" s="7">
        <v>2630.5590000000002</v>
      </c>
      <c r="AJ33" s="7">
        <v>2001.902</v>
      </c>
      <c r="AL33" s="6">
        <f t="shared" si="2"/>
        <v>2381.6555714285714</v>
      </c>
      <c r="AM33" s="6">
        <f t="shared" si="3"/>
        <v>90.354230161298048</v>
      </c>
    </row>
    <row r="34" spans="1:39" x14ac:dyDescent="0.2">
      <c r="A34" s="7">
        <v>30</v>
      </c>
      <c r="B34" s="7">
        <v>2728.7869999999998</v>
      </c>
      <c r="C34" s="7">
        <v>2936.6109999999999</v>
      </c>
      <c r="D34" s="7">
        <v>2737.6210000000001</v>
      </c>
      <c r="E34" s="7">
        <v>2809.2939999999999</v>
      </c>
      <c r="F34" s="7" t="s">
        <v>6</v>
      </c>
      <c r="G34" s="7">
        <v>2852.7840000000001</v>
      </c>
      <c r="H34" s="7">
        <v>2934.6979999999999</v>
      </c>
      <c r="I34" s="7">
        <v>2262.2449999999999</v>
      </c>
      <c r="J34" s="7" t="s">
        <v>6</v>
      </c>
      <c r="K34" s="7">
        <v>2104.654</v>
      </c>
      <c r="L34" s="7">
        <v>2223.931</v>
      </c>
      <c r="M34" s="7">
        <v>2023.91</v>
      </c>
      <c r="N34" s="7" t="s">
        <v>6</v>
      </c>
      <c r="O34" s="7">
        <v>2579.1970000000001</v>
      </c>
      <c r="P34" s="7">
        <v>2157.7530000000002</v>
      </c>
      <c r="R34" s="5">
        <f t="shared" si="0"/>
        <v>2529.2904166666663</v>
      </c>
      <c r="S34" s="5">
        <f t="shared" si="1"/>
        <v>100.65429091641266</v>
      </c>
      <c r="U34" s="7">
        <v>30</v>
      </c>
      <c r="V34" s="7">
        <v>2289.5070000000001</v>
      </c>
      <c r="W34" s="7">
        <v>2082.154</v>
      </c>
      <c r="X34" s="7">
        <v>2163.7559999999999</v>
      </c>
      <c r="Y34" s="7" t="s">
        <v>6</v>
      </c>
      <c r="Z34" s="7">
        <v>2374.14</v>
      </c>
      <c r="AA34" s="7">
        <v>2701.6039999999998</v>
      </c>
      <c r="AB34" s="7" t="s">
        <v>6</v>
      </c>
      <c r="AC34" s="7">
        <v>2485.88</v>
      </c>
      <c r="AD34" s="7">
        <v>2119.0549999999998</v>
      </c>
      <c r="AE34" s="7">
        <v>2570.0169999999998</v>
      </c>
      <c r="AF34" s="7" t="s">
        <v>6</v>
      </c>
      <c r="AG34" s="7">
        <v>2551.0239999999999</v>
      </c>
      <c r="AH34" s="7">
        <v>2369.8820000000001</v>
      </c>
      <c r="AI34" s="7">
        <v>2643.7049999999999</v>
      </c>
      <c r="AJ34" s="7">
        <v>2014.575</v>
      </c>
      <c r="AL34" s="6">
        <f t="shared" si="2"/>
        <v>2393.4482857142857</v>
      </c>
      <c r="AM34" s="6">
        <f t="shared" si="3"/>
        <v>90.838773075659461</v>
      </c>
    </row>
    <row r="35" spans="1:39" x14ac:dyDescent="0.2">
      <c r="A35" s="7">
        <v>31.25</v>
      </c>
      <c r="B35" s="7">
        <v>2744.24</v>
      </c>
      <c r="C35" s="7">
        <v>2951.6210000000001</v>
      </c>
      <c r="D35" s="7">
        <v>2744.6460000000002</v>
      </c>
      <c r="E35" s="7">
        <v>2810.6489999999999</v>
      </c>
      <c r="F35" s="7" t="s">
        <v>6</v>
      </c>
      <c r="G35" s="7">
        <v>2862.8989999999999</v>
      </c>
      <c r="H35" s="7">
        <v>2947.8939999999998</v>
      </c>
      <c r="I35" s="7">
        <v>2273.9670000000001</v>
      </c>
      <c r="J35" s="7" t="s">
        <v>6</v>
      </c>
      <c r="K35" s="7">
        <v>2104.6190000000001</v>
      </c>
      <c r="L35" s="7">
        <v>2236.3490000000002</v>
      </c>
      <c r="M35" s="7">
        <v>2041.31</v>
      </c>
      <c r="N35" s="7" t="s">
        <v>6</v>
      </c>
      <c r="O35" s="7">
        <v>2586.33</v>
      </c>
      <c r="P35" s="7">
        <v>2163.8980000000001</v>
      </c>
      <c r="R35" s="5">
        <f t="shared" si="0"/>
        <v>2539.0351666666666</v>
      </c>
      <c r="S35" s="5">
        <f t="shared" si="1"/>
        <v>100.81981383733346</v>
      </c>
      <c r="U35" s="7">
        <v>31.25</v>
      </c>
      <c r="V35" s="7">
        <v>2294.3209999999999</v>
      </c>
      <c r="W35" s="7">
        <v>2110.6</v>
      </c>
      <c r="X35" s="7">
        <v>2183.0709999999999</v>
      </c>
      <c r="Y35" s="7" t="s">
        <v>6</v>
      </c>
      <c r="Z35" s="7">
        <v>2372.6979999999999</v>
      </c>
      <c r="AA35" s="7">
        <v>2724.8229999999999</v>
      </c>
      <c r="AB35" s="7" t="s">
        <v>6</v>
      </c>
      <c r="AC35" s="7">
        <v>2507.6669999999999</v>
      </c>
      <c r="AD35" s="7">
        <v>2133.0529999999999</v>
      </c>
      <c r="AE35" s="7">
        <v>2570.2939999999999</v>
      </c>
      <c r="AF35" s="7" t="s">
        <v>6</v>
      </c>
      <c r="AG35" s="7">
        <v>2552.1489999999999</v>
      </c>
      <c r="AH35" s="7">
        <v>2399.2020000000002</v>
      </c>
      <c r="AI35" s="7">
        <v>2652.8159999999998</v>
      </c>
      <c r="AJ35" s="7">
        <v>2034.3440000000001</v>
      </c>
      <c r="AL35" s="6">
        <f t="shared" si="2"/>
        <v>2407.0749999999998</v>
      </c>
      <c r="AM35" s="6">
        <f t="shared" si="3"/>
        <v>88.945239434159689</v>
      </c>
    </row>
    <row r="36" spans="1:39" x14ac:dyDescent="0.2">
      <c r="A36" s="7">
        <v>32.5</v>
      </c>
      <c r="B36" s="7">
        <v>2754.6260000000002</v>
      </c>
      <c r="C36" s="7">
        <v>2958.538</v>
      </c>
      <c r="D36" s="7">
        <v>2730.9989999999998</v>
      </c>
      <c r="E36" s="7">
        <v>2802.0540000000001</v>
      </c>
      <c r="F36" s="7" t="s">
        <v>6</v>
      </c>
      <c r="G36" s="7">
        <v>2842.6970000000001</v>
      </c>
      <c r="H36" s="7">
        <v>2933.422</v>
      </c>
      <c r="I36" s="7">
        <v>2281.4319999999998</v>
      </c>
      <c r="J36" s="7" t="s">
        <v>6</v>
      </c>
      <c r="K36" s="7">
        <v>2105.6860000000001</v>
      </c>
      <c r="L36" s="7">
        <v>2224.84</v>
      </c>
      <c r="M36" s="7">
        <v>2039.816</v>
      </c>
      <c r="N36" s="7" t="s">
        <v>6</v>
      </c>
      <c r="O36" s="7">
        <v>2581.4360000000001</v>
      </c>
      <c r="P36" s="7">
        <v>2165.614</v>
      </c>
      <c r="R36" s="5">
        <f t="shared" si="0"/>
        <v>2535.0966666666668</v>
      </c>
      <c r="S36" s="5">
        <f t="shared" si="1"/>
        <v>99.976772520778923</v>
      </c>
      <c r="U36" s="7">
        <v>32.5</v>
      </c>
      <c r="V36" s="7">
        <v>2298.0790000000002</v>
      </c>
      <c r="W36" s="7">
        <v>2120.1469999999999</v>
      </c>
      <c r="X36" s="7">
        <v>2188.5160000000001</v>
      </c>
      <c r="Y36" s="7" t="s">
        <v>6</v>
      </c>
      <c r="Z36" s="7">
        <v>2380.1959999999999</v>
      </c>
      <c r="AA36" s="7">
        <v>2734.6170000000002</v>
      </c>
      <c r="AB36" s="7" t="s">
        <v>6</v>
      </c>
      <c r="AC36" s="7">
        <v>2504.5569999999998</v>
      </c>
      <c r="AD36" s="7">
        <v>2137.3580000000002</v>
      </c>
      <c r="AE36" s="7">
        <v>2566.3679999999999</v>
      </c>
      <c r="AF36" s="7" t="s">
        <v>6</v>
      </c>
      <c r="AG36" s="7">
        <v>2554.886</v>
      </c>
      <c r="AH36" s="7">
        <v>2406.7930000000001</v>
      </c>
      <c r="AI36" s="7">
        <v>2654.6129999999998</v>
      </c>
      <c r="AJ36" s="7">
        <v>2036.915</v>
      </c>
      <c r="AL36" s="6">
        <f t="shared" si="2"/>
        <v>2408.7842857142855</v>
      </c>
      <c r="AM36" s="6">
        <f t="shared" si="3"/>
        <v>88.33721468751601</v>
      </c>
    </row>
    <row r="37" spans="1:39" x14ac:dyDescent="0.2">
      <c r="A37" s="7">
        <v>33.75</v>
      </c>
      <c r="B37" s="7">
        <v>2740.8710000000001</v>
      </c>
      <c r="C37" s="7">
        <v>2937.7820000000002</v>
      </c>
      <c r="D37" s="7">
        <v>2729.6909999999998</v>
      </c>
      <c r="E37" s="7">
        <v>2797.9279999999999</v>
      </c>
      <c r="F37" s="7" t="s">
        <v>6</v>
      </c>
      <c r="G37" s="7">
        <v>2830.0329999999999</v>
      </c>
      <c r="H37" s="7">
        <v>2919.4340000000002</v>
      </c>
      <c r="I37" s="7">
        <v>2279.4520000000002</v>
      </c>
      <c r="J37" s="7" t="s">
        <v>6</v>
      </c>
      <c r="K37" s="7">
        <v>2100.75</v>
      </c>
      <c r="L37" s="7">
        <v>2206.0929999999998</v>
      </c>
      <c r="M37" s="7">
        <v>2028.8530000000001</v>
      </c>
      <c r="N37" s="7" t="s">
        <v>6</v>
      </c>
      <c r="O37" s="7">
        <v>2564.5360000000001</v>
      </c>
      <c r="P37" s="7">
        <v>2150.8150000000001</v>
      </c>
      <c r="R37" s="5">
        <f t="shared" si="0"/>
        <v>2523.8531666666668</v>
      </c>
      <c r="S37" s="5">
        <f t="shared" si="1"/>
        <v>99.685406979553477</v>
      </c>
      <c r="U37" s="7">
        <v>33.75</v>
      </c>
      <c r="V37" s="7">
        <v>2296.08</v>
      </c>
      <c r="W37" s="7">
        <v>2113.3330000000001</v>
      </c>
      <c r="X37" s="7">
        <v>2185.3389999999999</v>
      </c>
      <c r="Y37" s="7" t="s">
        <v>6</v>
      </c>
      <c r="Z37" s="7">
        <v>2377.1419999999998</v>
      </c>
      <c r="AA37" s="7">
        <v>2732.7339999999999</v>
      </c>
      <c r="AB37" s="7" t="s">
        <v>6</v>
      </c>
      <c r="AC37" s="7">
        <v>2490.8719999999998</v>
      </c>
      <c r="AD37" s="7">
        <v>2130.5390000000002</v>
      </c>
      <c r="AE37" s="7">
        <v>2548.777</v>
      </c>
      <c r="AF37" s="7" t="s">
        <v>6</v>
      </c>
      <c r="AG37" s="7">
        <v>2562.3209999999999</v>
      </c>
      <c r="AH37" s="7">
        <v>2395.7240000000002</v>
      </c>
      <c r="AI37" s="7">
        <v>2649.904</v>
      </c>
      <c r="AJ37" s="7">
        <v>2025.0229999999999</v>
      </c>
      <c r="AL37" s="6">
        <f t="shared" si="2"/>
        <v>2400.4514285714286</v>
      </c>
      <c r="AM37" s="6">
        <f t="shared" si="3"/>
        <v>88.965786773519227</v>
      </c>
    </row>
    <row r="38" spans="1:39" x14ac:dyDescent="0.2">
      <c r="A38" s="7">
        <v>35</v>
      </c>
      <c r="B38" s="7">
        <v>2713.509</v>
      </c>
      <c r="C38" s="7">
        <v>2901.3879999999999</v>
      </c>
      <c r="D38" s="7">
        <v>2699.326</v>
      </c>
      <c r="E38" s="7">
        <v>2764.8710000000001</v>
      </c>
      <c r="F38" s="7" t="s">
        <v>6</v>
      </c>
      <c r="G38" s="7">
        <v>2802.5230000000001</v>
      </c>
      <c r="H38" s="7">
        <v>2895.404</v>
      </c>
      <c r="I38" s="7">
        <v>2248.9029999999998</v>
      </c>
      <c r="J38" s="7" t="s">
        <v>6</v>
      </c>
      <c r="K38" s="7">
        <v>2066.1990000000001</v>
      </c>
      <c r="L38" s="7">
        <v>2179.915</v>
      </c>
      <c r="M38" s="7">
        <v>2005.8409999999999</v>
      </c>
      <c r="N38" s="7" t="s">
        <v>6</v>
      </c>
      <c r="O38" s="7">
        <v>2535.7469999999998</v>
      </c>
      <c r="P38" s="7">
        <v>2133.1410000000001</v>
      </c>
      <c r="R38" s="5">
        <f t="shared" si="0"/>
        <v>2495.5639166666665</v>
      </c>
      <c r="S38" s="5">
        <f t="shared" si="1"/>
        <v>99.161567452380012</v>
      </c>
      <c r="U38" s="7">
        <v>35</v>
      </c>
      <c r="V38" s="7">
        <v>2274.9850000000001</v>
      </c>
      <c r="W38" s="7">
        <v>2078.9989999999998</v>
      </c>
      <c r="X38" s="7">
        <v>2151.88</v>
      </c>
      <c r="Y38" s="7" t="s">
        <v>6</v>
      </c>
      <c r="Z38" s="7">
        <v>2349.498</v>
      </c>
      <c r="AA38" s="7">
        <v>2687.5210000000002</v>
      </c>
      <c r="AB38" s="7" t="s">
        <v>6</v>
      </c>
      <c r="AC38" s="7">
        <v>2455.453</v>
      </c>
      <c r="AD38" s="7">
        <v>2108.0680000000002</v>
      </c>
      <c r="AE38" s="7">
        <v>2528.92</v>
      </c>
      <c r="AF38" s="7" t="s">
        <v>6</v>
      </c>
      <c r="AG38" s="7">
        <v>2546.1860000000001</v>
      </c>
      <c r="AH38" s="7">
        <v>2371.6559999999999</v>
      </c>
      <c r="AI38" s="7">
        <v>2625.8710000000001</v>
      </c>
      <c r="AJ38" s="7">
        <v>1997.5820000000001</v>
      </c>
      <c r="AL38" s="6">
        <f t="shared" si="2"/>
        <v>2376.2479999999996</v>
      </c>
      <c r="AM38" s="6">
        <f t="shared" si="3"/>
        <v>89.456330926909587</v>
      </c>
    </row>
    <row r="39" spans="1:39" x14ac:dyDescent="0.2">
      <c r="A39" s="7">
        <v>36.25</v>
      </c>
      <c r="B39" s="7">
        <v>2599.7240000000002</v>
      </c>
      <c r="C39" s="7">
        <v>2780.27</v>
      </c>
      <c r="D39" s="7">
        <v>2585.0740000000001</v>
      </c>
      <c r="E39" s="7">
        <v>2649.1529999999998</v>
      </c>
      <c r="F39" s="7" t="s">
        <v>6</v>
      </c>
      <c r="G39" s="7">
        <v>2703.261</v>
      </c>
      <c r="H39" s="7">
        <v>2788.6370000000002</v>
      </c>
      <c r="I39" s="7">
        <v>2159.0639999999999</v>
      </c>
      <c r="J39" s="7" t="s">
        <v>6</v>
      </c>
      <c r="K39" s="7">
        <v>1983.1130000000001</v>
      </c>
      <c r="L39" s="7">
        <v>2100.0990000000002</v>
      </c>
      <c r="M39" s="7">
        <v>1939.546</v>
      </c>
      <c r="N39" s="7" t="s">
        <v>6</v>
      </c>
      <c r="O39" s="7">
        <v>2444.2260000000001</v>
      </c>
      <c r="P39" s="7">
        <v>2062.4670000000001</v>
      </c>
      <c r="R39" s="5">
        <f t="shared" si="0"/>
        <v>2399.5528333333336</v>
      </c>
      <c r="S39" s="5">
        <f t="shared" si="1"/>
        <v>94.288242474615856</v>
      </c>
      <c r="U39" s="7">
        <v>36.25</v>
      </c>
      <c r="V39" s="7">
        <v>2188.7779999999998</v>
      </c>
      <c r="W39" s="7">
        <v>1989.5309999999999</v>
      </c>
      <c r="X39" s="7">
        <v>2064.1640000000002</v>
      </c>
      <c r="Y39" s="7" t="s">
        <v>6</v>
      </c>
      <c r="Z39" s="7">
        <v>2246.6410000000001</v>
      </c>
      <c r="AA39" s="7">
        <v>2570.5189999999998</v>
      </c>
      <c r="AB39" s="7" t="s">
        <v>6</v>
      </c>
      <c r="AC39" s="7">
        <v>2354.84</v>
      </c>
      <c r="AD39" s="7">
        <v>2026.645</v>
      </c>
      <c r="AE39" s="7">
        <v>2453.6689999999999</v>
      </c>
      <c r="AF39" s="7" t="s">
        <v>6</v>
      </c>
      <c r="AG39" s="7">
        <v>2450.6280000000002</v>
      </c>
      <c r="AH39" s="7">
        <v>2288.1260000000002</v>
      </c>
      <c r="AI39" s="7">
        <v>2514.7570000000001</v>
      </c>
      <c r="AJ39" s="7">
        <v>1931.2180000000001</v>
      </c>
      <c r="AL39" s="6">
        <f t="shared" si="2"/>
        <v>2288.5547142857145</v>
      </c>
      <c r="AM39" s="6">
        <f t="shared" si="3"/>
        <v>85.269614426050651</v>
      </c>
    </row>
    <row r="40" spans="1:39" x14ac:dyDescent="0.2">
      <c r="A40" s="7">
        <v>37.5</v>
      </c>
      <c r="B40" s="7">
        <v>2426.9989999999998</v>
      </c>
      <c r="C40" s="7">
        <v>2601.4029999999998</v>
      </c>
      <c r="D40" s="7">
        <v>2433.7950000000001</v>
      </c>
      <c r="E40" s="7">
        <v>2503.5059999999999</v>
      </c>
      <c r="F40" s="7" t="s">
        <v>6</v>
      </c>
      <c r="G40" s="7">
        <v>2566.1480000000001</v>
      </c>
      <c r="H40" s="7">
        <v>2616.915</v>
      </c>
      <c r="I40" s="7">
        <v>2023.3630000000001</v>
      </c>
      <c r="J40" s="7" t="s">
        <v>6</v>
      </c>
      <c r="K40" s="7">
        <v>1858.587</v>
      </c>
      <c r="L40" s="7">
        <v>1964.58</v>
      </c>
      <c r="M40" s="7">
        <v>1809.143</v>
      </c>
      <c r="N40" s="7" t="s">
        <v>6</v>
      </c>
      <c r="O40" s="7">
        <v>2304.3629999999998</v>
      </c>
      <c r="P40" s="7">
        <v>1947.395</v>
      </c>
      <c r="R40" s="5">
        <f t="shared" si="0"/>
        <v>2254.6830833333338</v>
      </c>
      <c r="S40" s="5">
        <f t="shared" si="1"/>
        <v>89.700033248317482</v>
      </c>
      <c r="U40" s="7">
        <v>37.5</v>
      </c>
      <c r="V40" s="7">
        <v>2053.777</v>
      </c>
      <c r="W40" s="7">
        <v>1867.134</v>
      </c>
      <c r="X40" s="7">
        <v>1926.2349999999999</v>
      </c>
      <c r="Y40" s="7" t="s">
        <v>6</v>
      </c>
      <c r="Z40" s="7">
        <v>2074.0569999999998</v>
      </c>
      <c r="AA40" s="7">
        <v>2414.7489999999998</v>
      </c>
      <c r="AB40" s="7" t="s">
        <v>6</v>
      </c>
      <c r="AC40" s="7">
        <v>2218.4589999999998</v>
      </c>
      <c r="AD40" s="7">
        <v>1899.7950000000001</v>
      </c>
      <c r="AE40" s="7">
        <v>2297.4380000000001</v>
      </c>
      <c r="AF40" s="7" t="s">
        <v>6</v>
      </c>
      <c r="AG40" s="7">
        <v>2285.4499999999998</v>
      </c>
      <c r="AH40" s="7">
        <v>2150.8530000000001</v>
      </c>
      <c r="AI40" s="7">
        <v>2349.1190000000001</v>
      </c>
      <c r="AJ40" s="7">
        <v>1824.133</v>
      </c>
      <c r="AL40" s="6">
        <f t="shared" si="2"/>
        <v>2146.4638571428573</v>
      </c>
      <c r="AM40" s="6">
        <f t="shared" si="3"/>
        <v>77.632332237844508</v>
      </c>
    </row>
    <row r="41" spans="1:39" x14ac:dyDescent="0.2">
      <c r="A41" s="7">
        <v>38.75</v>
      </c>
      <c r="B41" s="7">
        <v>2256.29</v>
      </c>
      <c r="C41" s="7">
        <v>2442.9609999999998</v>
      </c>
      <c r="D41" s="7">
        <v>2269.4389999999999</v>
      </c>
      <c r="E41" s="7">
        <v>2368.6529999999998</v>
      </c>
      <c r="F41" s="7" t="s">
        <v>6</v>
      </c>
      <c r="G41" s="7">
        <v>2430.4029999999998</v>
      </c>
      <c r="H41" s="7">
        <v>2449.5590000000002</v>
      </c>
      <c r="I41" s="7">
        <v>1888.6279999999999</v>
      </c>
      <c r="J41" s="7" t="s">
        <v>6</v>
      </c>
      <c r="K41" s="7">
        <v>1735.124</v>
      </c>
      <c r="L41" s="7">
        <v>1847.6610000000001</v>
      </c>
      <c r="M41" s="7">
        <v>1685.1990000000001</v>
      </c>
      <c r="N41" s="7" t="s">
        <v>6</v>
      </c>
      <c r="O41" s="7">
        <v>2162.7869999999998</v>
      </c>
      <c r="P41" s="7">
        <v>1829.5119999999999</v>
      </c>
      <c r="R41" s="5">
        <f t="shared" si="0"/>
        <v>2113.8513333333335</v>
      </c>
      <c r="S41" s="5">
        <f t="shared" si="1"/>
        <v>85.397535989871088</v>
      </c>
      <c r="U41" s="7">
        <v>38.75</v>
      </c>
      <c r="V41" s="7">
        <v>1921.7819999999999</v>
      </c>
      <c r="W41" s="7">
        <v>1757.4880000000001</v>
      </c>
      <c r="X41" s="7">
        <v>1806.8</v>
      </c>
      <c r="Y41" s="7" t="s">
        <v>6</v>
      </c>
      <c r="Z41" s="7">
        <v>1920.675</v>
      </c>
      <c r="AA41" s="7">
        <v>2263.482</v>
      </c>
      <c r="AB41" s="7" t="s">
        <v>6</v>
      </c>
      <c r="AC41" s="7">
        <v>2076.1529999999998</v>
      </c>
      <c r="AD41" s="7">
        <v>1775.616</v>
      </c>
      <c r="AE41" s="7">
        <v>2140.7930000000001</v>
      </c>
      <c r="AF41" s="7" t="s">
        <v>6</v>
      </c>
      <c r="AG41" s="7">
        <v>2144.3159999999998</v>
      </c>
      <c r="AH41" s="7">
        <v>2005.9380000000001</v>
      </c>
      <c r="AI41" s="7">
        <v>2196.3820000000001</v>
      </c>
      <c r="AJ41" s="7">
        <v>1708.1579999999999</v>
      </c>
      <c r="AL41" s="6">
        <f t="shared" si="2"/>
        <v>2006.7651428571426</v>
      </c>
      <c r="AM41" s="6">
        <f t="shared" si="3"/>
        <v>72.415758643579579</v>
      </c>
    </row>
    <row r="42" spans="1:39" x14ac:dyDescent="0.2">
      <c r="A42" s="7">
        <v>40</v>
      </c>
      <c r="B42" s="7">
        <v>2149.2040000000002</v>
      </c>
      <c r="C42" s="7">
        <v>2333.8519999999999</v>
      </c>
      <c r="D42" s="7">
        <v>2177.2809999999999</v>
      </c>
      <c r="E42" s="7">
        <v>2269.9580000000001</v>
      </c>
      <c r="F42" s="7" t="s">
        <v>6</v>
      </c>
      <c r="G42" s="7">
        <v>2329.808</v>
      </c>
      <c r="H42" s="7">
        <v>2336.27</v>
      </c>
      <c r="I42" s="7">
        <v>1806.2249999999999</v>
      </c>
      <c r="J42" s="7" t="s">
        <v>6</v>
      </c>
      <c r="K42" s="7">
        <v>1654.682</v>
      </c>
      <c r="L42" s="7">
        <v>1768.2070000000001</v>
      </c>
      <c r="M42" s="7">
        <v>1611.8219999999999</v>
      </c>
      <c r="N42" s="7" t="s">
        <v>6</v>
      </c>
      <c r="O42" s="7">
        <v>2080.1860000000001</v>
      </c>
      <c r="P42" s="7">
        <v>1756.992</v>
      </c>
      <c r="R42" s="5">
        <f t="shared" si="0"/>
        <v>2022.8739166666664</v>
      </c>
      <c r="S42" s="5">
        <f t="shared" si="1"/>
        <v>81.662795773456793</v>
      </c>
      <c r="U42" s="7">
        <v>40</v>
      </c>
      <c r="V42" s="7">
        <v>1832.9770000000001</v>
      </c>
      <c r="W42" s="7">
        <v>1681.3610000000001</v>
      </c>
      <c r="X42" s="7">
        <v>1723.527</v>
      </c>
      <c r="Y42" s="7" t="s">
        <v>6</v>
      </c>
      <c r="Z42" s="7">
        <v>1851.4159999999999</v>
      </c>
      <c r="AA42" s="7">
        <v>2156.8249999999998</v>
      </c>
      <c r="AB42" s="7" t="s">
        <v>6</v>
      </c>
      <c r="AC42" s="7">
        <v>1981.248</v>
      </c>
      <c r="AD42" s="7">
        <v>1683.7919999999999</v>
      </c>
      <c r="AE42" s="7">
        <v>2049.2950000000001</v>
      </c>
      <c r="AF42" s="7" t="s">
        <v>6</v>
      </c>
      <c r="AG42" s="7">
        <v>2058.12</v>
      </c>
      <c r="AH42" s="7">
        <v>1923.838</v>
      </c>
      <c r="AI42" s="7">
        <v>2095.2240000000002</v>
      </c>
      <c r="AJ42" s="7">
        <v>1632.2170000000001</v>
      </c>
      <c r="AL42" s="6">
        <f t="shared" si="2"/>
        <v>1917.6762857142858</v>
      </c>
      <c r="AM42" s="6">
        <f t="shared" si="3"/>
        <v>70.514994380700358</v>
      </c>
    </row>
    <row r="43" spans="1:39" x14ac:dyDescent="0.2">
      <c r="A43" s="7">
        <v>41.25</v>
      </c>
      <c r="B43" s="7">
        <v>2099.1509999999998</v>
      </c>
      <c r="C43" s="7">
        <v>2274.5529999999999</v>
      </c>
      <c r="D43" s="7">
        <v>2121.37</v>
      </c>
      <c r="E43" s="7">
        <v>2219.596</v>
      </c>
      <c r="F43" s="7" t="s">
        <v>6</v>
      </c>
      <c r="G43" s="7">
        <v>2284.085</v>
      </c>
      <c r="H43" s="7">
        <v>2283.424</v>
      </c>
      <c r="I43" s="7">
        <v>1759.713</v>
      </c>
      <c r="J43" s="7" t="s">
        <v>6</v>
      </c>
      <c r="K43" s="7">
        <v>1615.2139999999999</v>
      </c>
      <c r="L43" s="7">
        <v>1721.62</v>
      </c>
      <c r="M43" s="7">
        <v>1566.3720000000001</v>
      </c>
      <c r="N43" s="7" t="s">
        <v>6</v>
      </c>
      <c r="O43" s="7">
        <v>2036.4549999999999</v>
      </c>
      <c r="P43" s="7">
        <v>1714.616</v>
      </c>
      <c r="R43" s="5">
        <f t="shared" si="0"/>
        <v>1974.6807500000002</v>
      </c>
      <c r="S43" s="5">
        <f t="shared" si="1"/>
        <v>80.509918366501012</v>
      </c>
      <c r="U43" s="7">
        <v>41.25</v>
      </c>
      <c r="V43" s="7">
        <v>1776.06</v>
      </c>
      <c r="W43" s="7">
        <v>1612.239</v>
      </c>
      <c r="X43" s="7">
        <v>1666.0309999999999</v>
      </c>
      <c r="Y43" s="7" t="s">
        <v>6</v>
      </c>
      <c r="Z43" s="7">
        <v>1804.3879999999999</v>
      </c>
      <c r="AA43" s="7">
        <v>2106.6550000000002</v>
      </c>
      <c r="AB43" s="7" t="s">
        <v>6</v>
      </c>
      <c r="AC43" s="7">
        <v>1938.6220000000001</v>
      </c>
      <c r="AD43" s="7">
        <v>1631.5920000000001</v>
      </c>
      <c r="AE43" s="7">
        <v>2009.0830000000001</v>
      </c>
      <c r="AF43" s="7" t="s">
        <v>6</v>
      </c>
      <c r="AG43" s="7">
        <v>2007.2190000000001</v>
      </c>
      <c r="AH43" s="7">
        <v>1881.5809999999999</v>
      </c>
      <c r="AI43" s="7">
        <v>2040.3910000000001</v>
      </c>
      <c r="AJ43" s="7">
        <v>1586.643</v>
      </c>
      <c r="AL43" s="6">
        <f t="shared" si="2"/>
        <v>1870.7329999999999</v>
      </c>
      <c r="AM43" s="6">
        <f t="shared" si="3"/>
        <v>70.571667231667021</v>
      </c>
    </row>
    <row r="44" spans="1:39" x14ac:dyDescent="0.2">
      <c r="A44" s="7">
        <v>42.5</v>
      </c>
      <c r="B44" s="7">
        <v>2075.3719999999998</v>
      </c>
      <c r="C44" s="7">
        <v>2245.6030000000001</v>
      </c>
      <c r="D44" s="7">
        <v>2103.4630000000002</v>
      </c>
      <c r="E44" s="7">
        <v>2195.9850000000001</v>
      </c>
      <c r="F44" s="7" t="s">
        <v>6</v>
      </c>
      <c r="G44" s="7">
        <v>2260.9720000000002</v>
      </c>
      <c r="H44" s="7">
        <v>2273.806</v>
      </c>
      <c r="I44" s="7">
        <v>1746.6410000000001</v>
      </c>
      <c r="J44" s="7" t="s">
        <v>6</v>
      </c>
      <c r="K44" s="7">
        <v>1605.135</v>
      </c>
      <c r="L44" s="7">
        <v>1696.8050000000001</v>
      </c>
      <c r="M44" s="7">
        <v>1556.771</v>
      </c>
      <c r="N44" s="7" t="s">
        <v>6</v>
      </c>
      <c r="O44" s="7">
        <v>2005.6220000000001</v>
      </c>
      <c r="P44" s="7">
        <v>1692.9559999999999</v>
      </c>
      <c r="R44" s="5">
        <f t="shared" si="0"/>
        <v>1954.9275833333331</v>
      </c>
      <c r="S44" s="5">
        <f t="shared" si="1"/>
        <v>79.611283484804744</v>
      </c>
      <c r="U44" s="7">
        <v>42.5</v>
      </c>
      <c r="V44" s="7">
        <v>1754.373</v>
      </c>
      <c r="W44" s="7">
        <v>1606.6980000000001</v>
      </c>
      <c r="X44" s="7">
        <v>1653.54</v>
      </c>
      <c r="Y44" s="7" t="s">
        <v>6</v>
      </c>
      <c r="Z44" s="7">
        <v>1803.49</v>
      </c>
      <c r="AA44" s="7">
        <v>2094.875</v>
      </c>
      <c r="AB44" s="7" t="s">
        <v>6</v>
      </c>
      <c r="AC44" s="7">
        <v>1928.3330000000001</v>
      </c>
      <c r="AD44" s="7">
        <v>1614.7260000000001</v>
      </c>
      <c r="AE44" s="7">
        <v>1985.0519999999999</v>
      </c>
      <c r="AF44" s="7" t="s">
        <v>6</v>
      </c>
      <c r="AG44" s="7">
        <v>1983.895</v>
      </c>
      <c r="AH44" s="7">
        <v>1854.2059999999999</v>
      </c>
      <c r="AI44" s="7">
        <v>2024.009</v>
      </c>
      <c r="AJ44" s="7">
        <v>1570.05</v>
      </c>
      <c r="AL44" s="6">
        <f t="shared" si="2"/>
        <v>1851.4672857142855</v>
      </c>
      <c r="AM44" s="6">
        <f t="shared" si="3"/>
        <v>70.086779919683877</v>
      </c>
    </row>
    <row r="45" spans="1:39" x14ac:dyDescent="0.2">
      <c r="A45" s="7">
        <v>43.75</v>
      </c>
      <c r="B45" s="7">
        <v>2080.7130000000002</v>
      </c>
      <c r="C45" s="7">
        <v>2240.9580000000001</v>
      </c>
      <c r="D45" s="7">
        <v>2110.9850000000001</v>
      </c>
      <c r="E45" s="7">
        <v>2195.9050000000002</v>
      </c>
      <c r="F45" s="7" t="s">
        <v>6</v>
      </c>
      <c r="G45" s="7">
        <v>2254.5650000000001</v>
      </c>
      <c r="H45" s="7">
        <v>2278.4259999999999</v>
      </c>
      <c r="I45" s="7">
        <v>1751.355</v>
      </c>
      <c r="J45" s="7" t="s">
        <v>6</v>
      </c>
      <c r="K45" s="7">
        <v>1610.6389999999999</v>
      </c>
      <c r="L45" s="7">
        <v>1698.19</v>
      </c>
      <c r="M45" s="7">
        <v>1554.672</v>
      </c>
      <c r="N45" s="7" t="s">
        <v>6</v>
      </c>
      <c r="O45" s="7">
        <v>1998.527</v>
      </c>
      <c r="P45" s="7">
        <v>1695.058</v>
      </c>
      <c r="R45" s="5">
        <f t="shared" si="0"/>
        <v>1955.8327499999998</v>
      </c>
      <c r="S45" s="5">
        <f t="shared" si="1"/>
        <v>79.296701732025312</v>
      </c>
      <c r="U45" s="7">
        <v>43.75</v>
      </c>
      <c r="V45" s="7">
        <v>1753.9380000000001</v>
      </c>
      <c r="W45" s="7">
        <v>1611.644</v>
      </c>
      <c r="X45" s="7">
        <v>1662.7929999999999</v>
      </c>
      <c r="Y45" s="7" t="s">
        <v>6</v>
      </c>
      <c r="Z45" s="7">
        <v>1817.1120000000001</v>
      </c>
      <c r="AA45" s="7">
        <v>2102.8150000000001</v>
      </c>
      <c r="AB45" s="7" t="s">
        <v>6</v>
      </c>
      <c r="AC45" s="7">
        <v>1918.6110000000001</v>
      </c>
      <c r="AD45" s="7">
        <v>1619.482</v>
      </c>
      <c r="AE45" s="7">
        <v>1978.941</v>
      </c>
      <c r="AF45" s="7" t="s">
        <v>6</v>
      </c>
      <c r="AG45" s="7">
        <v>1982.3219999999999</v>
      </c>
      <c r="AH45" s="7">
        <v>1846.3109999999999</v>
      </c>
      <c r="AI45" s="7">
        <v>2027.7070000000001</v>
      </c>
      <c r="AJ45" s="7">
        <v>1572.9670000000001</v>
      </c>
      <c r="AL45" s="6">
        <f t="shared" si="2"/>
        <v>1849.4772857142857</v>
      </c>
      <c r="AM45" s="6">
        <f t="shared" si="3"/>
        <v>69.061681860256954</v>
      </c>
    </row>
    <row r="46" spans="1:39" x14ac:dyDescent="0.2">
      <c r="A46" s="7">
        <v>45</v>
      </c>
      <c r="B46" s="7">
        <v>2096.6909999999998</v>
      </c>
      <c r="C46" s="7">
        <v>2260.7840000000001</v>
      </c>
      <c r="D46" s="7">
        <v>2144.0680000000002</v>
      </c>
      <c r="E46" s="7">
        <v>2222</v>
      </c>
      <c r="F46" s="7" t="s">
        <v>6</v>
      </c>
      <c r="G46" s="7">
        <v>2271.683</v>
      </c>
      <c r="H46" s="7">
        <v>2295.5129999999999</v>
      </c>
      <c r="I46" s="7">
        <v>1769.4860000000001</v>
      </c>
      <c r="J46" s="7" t="s">
        <v>6</v>
      </c>
      <c r="K46" s="7">
        <v>1628.1569999999999</v>
      </c>
      <c r="L46" s="7">
        <v>1713.1669999999999</v>
      </c>
      <c r="M46" s="7">
        <v>1568.1559999999999</v>
      </c>
      <c r="N46" s="7" t="s">
        <v>6</v>
      </c>
      <c r="O46" s="7">
        <v>2016.1759999999999</v>
      </c>
      <c r="P46" s="7">
        <v>1700.587</v>
      </c>
      <c r="R46" s="5">
        <f t="shared" si="0"/>
        <v>1973.8723333333335</v>
      </c>
      <c r="S46" s="5">
        <f t="shared" si="1"/>
        <v>80.265699750449045</v>
      </c>
      <c r="U46" s="7">
        <v>45</v>
      </c>
      <c r="V46" s="7">
        <v>1763.9780000000001</v>
      </c>
      <c r="W46" s="7">
        <v>1626.932</v>
      </c>
      <c r="X46" s="7">
        <v>1678.846</v>
      </c>
      <c r="Y46" s="7" t="s">
        <v>6</v>
      </c>
      <c r="Z46" s="7">
        <v>1852.6079999999999</v>
      </c>
      <c r="AA46" s="7">
        <v>2130.096</v>
      </c>
      <c r="AB46" s="7" t="s">
        <v>6</v>
      </c>
      <c r="AC46" s="7">
        <v>1937.5039999999999</v>
      </c>
      <c r="AD46" s="7">
        <v>1639.6389999999999</v>
      </c>
      <c r="AE46" s="7">
        <v>2010.1510000000001</v>
      </c>
      <c r="AF46" s="7" t="s">
        <v>6</v>
      </c>
      <c r="AG46" s="7">
        <v>2001.635</v>
      </c>
      <c r="AH46" s="7">
        <v>1865.2660000000001</v>
      </c>
      <c r="AI46" s="7">
        <v>2051</v>
      </c>
      <c r="AJ46" s="7">
        <v>1586.2570000000001</v>
      </c>
      <c r="AL46" s="6">
        <f t="shared" si="2"/>
        <v>1870.2074285714284</v>
      </c>
      <c r="AM46" s="6">
        <f t="shared" si="3"/>
        <v>70.353910775943277</v>
      </c>
    </row>
    <row r="47" spans="1:39" x14ac:dyDescent="0.2">
      <c r="A47" s="7">
        <v>46.25</v>
      </c>
      <c r="B47" s="7">
        <v>2138.0300000000002</v>
      </c>
      <c r="C47" s="7">
        <v>2322.8820000000001</v>
      </c>
      <c r="D47" s="7">
        <v>2223.4299999999998</v>
      </c>
      <c r="E47" s="7">
        <v>2282.7489999999998</v>
      </c>
      <c r="F47" s="7" t="s">
        <v>6</v>
      </c>
      <c r="G47" s="7">
        <v>2308.9589999999998</v>
      </c>
      <c r="H47" s="7">
        <v>2351.6550000000002</v>
      </c>
      <c r="I47" s="7">
        <v>1816.3109999999999</v>
      </c>
      <c r="J47" s="7" t="s">
        <v>6</v>
      </c>
      <c r="K47" s="7">
        <v>1666.9860000000001</v>
      </c>
      <c r="L47" s="7">
        <v>1753.16</v>
      </c>
      <c r="M47" s="7">
        <v>1597.54</v>
      </c>
      <c r="N47" s="7" t="s">
        <v>6</v>
      </c>
      <c r="O47" s="7">
        <v>2057.2820000000002</v>
      </c>
      <c r="P47" s="7">
        <v>1729.586</v>
      </c>
      <c r="R47" s="5">
        <f t="shared" si="0"/>
        <v>2020.7141666666666</v>
      </c>
      <c r="S47" s="5">
        <f t="shared" si="1"/>
        <v>83.079460871107329</v>
      </c>
      <c r="U47" s="7">
        <v>46.25</v>
      </c>
      <c r="V47" s="7">
        <v>1805.973</v>
      </c>
      <c r="W47" s="7">
        <v>1683.441</v>
      </c>
      <c r="X47" s="7">
        <v>1728.471</v>
      </c>
      <c r="Y47" s="7" t="s">
        <v>6</v>
      </c>
      <c r="Z47" s="7">
        <v>1904.624</v>
      </c>
      <c r="AA47" s="7">
        <v>2189.2359999999999</v>
      </c>
      <c r="AB47" s="7" t="s">
        <v>6</v>
      </c>
      <c r="AC47" s="7">
        <v>1980.008</v>
      </c>
      <c r="AD47" s="7">
        <v>1675.046</v>
      </c>
      <c r="AE47" s="7">
        <v>2059.817</v>
      </c>
      <c r="AF47" s="7" t="s">
        <v>6</v>
      </c>
      <c r="AG47" s="7">
        <v>2057.6610000000001</v>
      </c>
      <c r="AH47" s="7">
        <v>1914.4690000000001</v>
      </c>
      <c r="AI47" s="7">
        <v>2104.0740000000001</v>
      </c>
      <c r="AJ47" s="7">
        <v>1621.3340000000001</v>
      </c>
      <c r="AL47" s="6">
        <f t="shared" si="2"/>
        <v>1916.0584285714287</v>
      </c>
      <c r="AM47" s="6">
        <f t="shared" si="3"/>
        <v>73.210268549489925</v>
      </c>
    </row>
    <row r="48" spans="1:39" x14ac:dyDescent="0.2">
      <c r="A48" s="7">
        <v>47.5</v>
      </c>
      <c r="B48" s="7">
        <v>2196.0219999999999</v>
      </c>
      <c r="C48" s="7">
        <v>2391.6869999999999</v>
      </c>
      <c r="D48" s="7">
        <v>2287.4409999999998</v>
      </c>
      <c r="E48" s="7">
        <v>2344.9670000000001</v>
      </c>
      <c r="F48" s="7" t="s">
        <v>6</v>
      </c>
      <c r="G48" s="7">
        <v>2365.1909999999998</v>
      </c>
      <c r="H48" s="7">
        <v>2438.127</v>
      </c>
      <c r="I48" s="7">
        <v>1866.95</v>
      </c>
      <c r="J48" s="7" t="s">
        <v>6</v>
      </c>
      <c r="K48" s="7">
        <v>1716.8979999999999</v>
      </c>
      <c r="L48" s="7">
        <v>1803.9369999999999</v>
      </c>
      <c r="M48" s="7">
        <v>1651.4380000000001</v>
      </c>
      <c r="N48" s="7" t="s">
        <v>6</v>
      </c>
      <c r="O48" s="7">
        <v>2108.2170000000001</v>
      </c>
      <c r="P48" s="7">
        <v>1783.0160000000001</v>
      </c>
      <c r="R48" s="5">
        <f t="shared" si="0"/>
        <v>2079.4909166666671</v>
      </c>
      <c r="S48" s="5">
        <f t="shared" si="1"/>
        <v>85.259858698805274</v>
      </c>
      <c r="U48" s="7">
        <v>47.5</v>
      </c>
      <c r="V48" s="7">
        <v>1869.951</v>
      </c>
      <c r="W48" s="7">
        <v>1742.8150000000001</v>
      </c>
      <c r="X48" s="7">
        <v>1782.9570000000001</v>
      </c>
      <c r="Y48" s="7" t="s">
        <v>6</v>
      </c>
      <c r="Z48" s="7">
        <v>1976.4960000000001</v>
      </c>
      <c r="AA48" s="7">
        <v>2253.1179999999999</v>
      </c>
      <c r="AB48" s="7" t="s">
        <v>6</v>
      </c>
      <c r="AC48" s="7">
        <v>2045.068</v>
      </c>
      <c r="AD48" s="7">
        <v>1729.492</v>
      </c>
      <c r="AE48" s="7">
        <v>2112.0360000000001</v>
      </c>
      <c r="AF48" s="7" t="s">
        <v>6</v>
      </c>
      <c r="AG48" s="7">
        <v>2113.8200000000002</v>
      </c>
      <c r="AH48" s="7">
        <v>1970.5719999999999</v>
      </c>
      <c r="AI48" s="7">
        <v>2151.4569999999999</v>
      </c>
      <c r="AJ48" s="7">
        <v>1673.5519999999999</v>
      </c>
      <c r="AL48" s="6">
        <f t="shared" si="2"/>
        <v>1970.8567142857141</v>
      </c>
      <c r="AM48" s="6">
        <f t="shared" si="3"/>
        <v>73.215430556391766</v>
      </c>
    </row>
    <row r="49" spans="1:39" x14ac:dyDescent="0.2">
      <c r="A49" s="7">
        <v>48.75</v>
      </c>
      <c r="B49" s="7">
        <v>2260.3879999999999</v>
      </c>
      <c r="C49" s="7">
        <v>2464.777</v>
      </c>
      <c r="D49" s="7">
        <v>2342.0940000000001</v>
      </c>
      <c r="E49" s="7">
        <v>2399.614</v>
      </c>
      <c r="F49" s="7" t="s">
        <v>6</v>
      </c>
      <c r="G49" s="7">
        <v>2417.703</v>
      </c>
      <c r="H49" s="7">
        <v>2498.2350000000001</v>
      </c>
      <c r="I49" s="7">
        <v>1920.2629999999999</v>
      </c>
      <c r="J49" s="7" t="s">
        <v>6</v>
      </c>
      <c r="K49" s="7">
        <v>1751.2860000000001</v>
      </c>
      <c r="L49" s="7">
        <v>1844.1079999999999</v>
      </c>
      <c r="M49" s="7">
        <v>1696.771</v>
      </c>
      <c r="N49" s="7" t="s">
        <v>6</v>
      </c>
      <c r="O49" s="7">
        <v>2160.752</v>
      </c>
      <c r="P49" s="7">
        <v>1812.88</v>
      </c>
      <c r="R49" s="5">
        <f t="shared" si="0"/>
        <v>2130.7392500000001</v>
      </c>
      <c r="S49" s="5">
        <f t="shared" si="1"/>
        <v>88.053960841610163</v>
      </c>
      <c r="U49" s="7">
        <v>48.75</v>
      </c>
      <c r="V49" s="7">
        <v>1923.2850000000001</v>
      </c>
      <c r="W49" s="7">
        <v>1792.4860000000001</v>
      </c>
      <c r="X49" s="7">
        <v>1820.569</v>
      </c>
      <c r="Y49" s="7" t="s">
        <v>6</v>
      </c>
      <c r="Z49" s="7">
        <v>2041.5250000000001</v>
      </c>
      <c r="AA49" s="7">
        <v>2303.5070000000001</v>
      </c>
      <c r="AB49" s="7" t="s">
        <v>6</v>
      </c>
      <c r="AC49" s="7">
        <v>2108.3119999999999</v>
      </c>
      <c r="AD49" s="7">
        <v>1765.538</v>
      </c>
      <c r="AE49" s="7">
        <v>2164.8359999999998</v>
      </c>
      <c r="AF49" s="7" t="s">
        <v>6</v>
      </c>
      <c r="AG49" s="7">
        <v>2168.9549999999999</v>
      </c>
      <c r="AH49" s="7">
        <v>1997.383</v>
      </c>
      <c r="AI49" s="7">
        <v>2199.634</v>
      </c>
      <c r="AJ49" s="7">
        <v>1705.2170000000001</v>
      </c>
      <c r="AL49" s="6">
        <f t="shared" si="2"/>
        <v>2015.6964285714287</v>
      </c>
      <c r="AM49" s="6">
        <f t="shared" si="3"/>
        <v>76.757746988219225</v>
      </c>
    </row>
    <row r="50" spans="1:39" x14ac:dyDescent="0.2">
      <c r="A50" s="7">
        <v>50</v>
      </c>
      <c r="B50" s="7">
        <v>2311.3380000000002</v>
      </c>
      <c r="C50" s="7">
        <v>2532.7060000000001</v>
      </c>
      <c r="D50" s="7">
        <v>2428.7109999999998</v>
      </c>
      <c r="E50" s="7">
        <v>2478.2280000000001</v>
      </c>
      <c r="F50" s="7" t="s">
        <v>6</v>
      </c>
      <c r="G50" s="7">
        <v>2458.5149999999999</v>
      </c>
      <c r="H50" s="7">
        <v>2558.2170000000001</v>
      </c>
      <c r="I50" s="7">
        <v>1985.6469999999999</v>
      </c>
      <c r="J50" s="7" t="s">
        <v>6</v>
      </c>
      <c r="K50" s="7">
        <v>1805.598</v>
      </c>
      <c r="L50" s="7">
        <v>1878.1220000000001</v>
      </c>
      <c r="M50" s="7">
        <v>1745.4659999999999</v>
      </c>
      <c r="N50" s="7" t="s">
        <v>6</v>
      </c>
      <c r="O50" s="7">
        <v>2230.7530000000002</v>
      </c>
      <c r="P50" s="7">
        <v>1856.1289999999999</v>
      </c>
      <c r="R50" s="5">
        <f t="shared" si="0"/>
        <v>2189.1191666666668</v>
      </c>
      <c r="S50" s="5">
        <f t="shared" si="1"/>
        <v>90.346028823597763</v>
      </c>
      <c r="U50" s="7">
        <v>50</v>
      </c>
      <c r="V50" s="7">
        <v>1977.3979999999999</v>
      </c>
      <c r="W50" s="7">
        <v>1839.498</v>
      </c>
      <c r="X50" s="7">
        <v>1857.2080000000001</v>
      </c>
      <c r="Y50" s="7" t="s">
        <v>6</v>
      </c>
      <c r="Z50" s="7">
        <v>2079.3519999999999</v>
      </c>
      <c r="AA50" s="7">
        <v>2366.241</v>
      </c>
      <c r="AB50" s="7" t="s">
        <v>6</v>
      </c>
      <c r="AC50" s="7">
        <v>2154.404</v>
      </c>
      <c r="AD50" s="7">
        <v>1795.384</v>
      </c>
      <c r="AE50" s="7">
        <v>2198.9319999999998</v>
      </c>
      <c r="AF50" s="7" t="s">
        <v>6</v>
      </c>
      <c r="AG50" s="7">
        <v>2200.3319999999999</v>
      </c>
      <c r="AH50" s="7">
        <v>2039.239</v>
      </c>
      <c r="AI50" s="7">
        <v>2263.6370000000002</v>
      </c>
      <c r="AJ50" s="7">
        <v>1743.5450000000001</v>
      </c>
      <c r="AL50" s="6">
        <f t="shared" si="2"/>
        <v>2056.4961428571428</v>
      </c>
      <c r="AM50" s="6">
        <f t="shared" si="3"/>
        <v>78.66229633706611</v>
      </c>
    </row>
    <row r="51" spans="1:39" x14ac:dyDescent="0.2">
      <c r="A51" s="7">
        <v>51.25</v>
      </c>
      <c r="B51" s="7">
        <v>2384.9499999999998</v>
      </c>
      <c r="C51" s="7">
        <v>2600.2289999999998</v>
      </c>
      <c r="D51" s="7">
        <v>2525.752</v>
      </c>
      <c r="E51" s="7">
        <v>2574.261</v>
      </c>
      <c r="F51" s="7" t="s">
        <v>6</v>
      </c>
      <c r="G51" s="7">
        <v>2511.0439999999999</v>
      </c>
      <c r="H51" s="7">
        <v>2634.107</v>
      </c>
      <c r="I51" s="7">
        <v>2044.8309999999999</v>
      </c>
      <c r="J51" s="7" t="s">
        <v>6</v>
      </c>
      <c r="K51" s="7">
        <v>1872.164</v>
      </c>
      <c r="L51" s="7">
        <v>1937.713</v>
      </c>
      <c r="M51" s="7">
        <v>1804.77</v>
      </c>
      <c r="N51" s="7" t="s">
        <v>6</v>
      </c>
      <c r="O51" s="7">
        <v>2313.69</v>
      </c>
      <c r="P51" s="7">
        <v>1929.35</v>
      </c>
      <c r="R51" s="5">
        <f t="shared" si="0"/>
        <v>2261.0717499999996</v>
      </c>
      <c r="S51" s="5">
        <f t="shared" si="1"/>
        <v>92.267212958467553</v>
      </c>
      <c r="U51" s="7">
        <v>51.25</v>
      </c>
      <c r="V51" s="7">
        <v>2028.5540000000001</v>
      </c>
      <c r="W51" s="7">
        <v>1901.9079999999999</v>
      </c>
      <c r="X51" s="7">
        <v>1915.3620000000001</v>
      </c>
      <c r="Y51" s="7" t="s">
        <v>6</v>
      </c>
      <c r="Z51" s="7">
        <v>2143.2130000000002</v>
      </c>
      <c r="AA51" s="7">
        <v>2433.7489999999998</v>
      </c>
      <c r="AB51" s="7" t="s">
        <v>6</v>
      </c>
      <c r="AC51" s="7">
        <v>2219.2460000000001</v>
      </c>
      <c r="AD51" s="7">
        <v>1859.606</v>
      </c>
      <c r="AE51" s="7">
        <v>2240.6460000000002</v>
      </c>
      <c r="AF51" s="7" t="s">
        <v>6</v>
      </c>
      <c r="AG51" s="7">
        <v>2244.1590000000001</v>
      </c>
      <c r="AH51" s="7">
        <v>2118.2649999999999</v>
      </c>
      <c r="AI51" s="7">
        <v>2356.2379999999998</v>
      </c>
      <c r="AJ51" s="7">
        <v>1788.72</v>
      </c>
      <c r="AL51" s="6">
        <f t="shared" si="2"/>
        <v>2118.1257142857139</v>
      </c>
      <c r="AM51" s="6">
        <f t="shared" si="3"/>
        <v>80.646047491112512</v>
      </c>
    </row>
    <row r="52" spans="1:39" x14ac:dyDescent="0.2">
      <c r="A52" s="7">
        <v>52.5</v>
      </c>
      <c r="B52" s="7">
        <v>2441.3310000000001</v>
      </c>
      <c r="C52" s="7">
        <v>2682.7919999999999</v>
      </c>
      <c r="D52" s="7">
        <v>2648.67</v>
      </c>
      <c r="E52" s="7">
        <v>2672.9589999999998</v>
      </c>
      <c r="F52" s="7" t="s">
        <v>6</v>
      </c>
      <c r="G52" s="7">
        <v>2572.2240000000002</v>
      </c>
      <c r="H52" s="7">
        <v>2706.1179999999999</v>
      </c>
      <c r="I52" s="7">
        <v>2099.0050000000001</v>
      </c>
      <c r="J52" s="7" t="s">
        <v>6</v>
      </c>
      <c r="K52" s="7">
        <v>1933.615</v>
      </c>
      <c r="L52" s="7">
        <v>1988.886</v>
      </c>
      <c r="M52" s="7">
        <v>1849.4960000000001</v>
      </c>
      <c r="N52" s="7" t="s">
        <v>6</v>
      </c>
      <c r="O52" s="7">
        <v>2381.404</v>
      </c>
      <c r="P52" s="7">
        <v>1984.82</v>
      </c>
      <c r="R52" s="5">
        <f t="shared" si="0"/>
        <v>2330.11</v>
      </c>
      <c r="S52" s="5">
        <f t="shared" si="1"/>
        <v>96.75333833344807</v>
      </c>
      <c r="U52" s="7">
        <v>52.5</v>
      </c>
      <c r="V52" s="7">
        <v>2084.9839999999999</v>
      </c>
      <c r="W52" s="7">
        <v>1988.924</v>
      </c>
      <c r="X52" s="7">
        <v>1993.75</v>
      </c>
      <c r="Y52" s="7" t="s">
        <v>6</v>
      </c>
      <c r="Z52" s="7">
        <v>2248.6990000000001</v>
      </c>
      <c r="AA52" s="7">
        <v>2482.2449999999999</v>
      </c>
      <c r="AB52" s="7" t="s">
        <v>6</v>
      </c>
      <c r="AC52" s="7">
        <v>2285.683</v>
      </c>
      <c r="AD52" s="7">
        <v>1960.607</v>
      </c>
      <c r="AE52" s="7">
        <v>2302.1289999999999</v>
      </c>
      <c r="AF52" s="7" t="s">
        <v>6</v>
      </c>
      <c r="AG52" s="7">
        <v>2301.63</v>
      </c>
      <c r="AH52" s="7">
        <v>2186.1750000000002</v>
      </c>
      <c r="AI52" s="7">
        <v>2437.7820000000002</v>
      </c>
      <c r="AJ52" s="7">
        <v>1847.633</v>
      </c>
      <c r="AL52" s="6">
        <f t="shared" si="2"/>
        <v>2188.8055714285711</v>
      </c>
      <c r="AM52" s="6">
        <f t="shared" si="3"/>
        <v>79.496373187669377</v>
      </c>
    </row>
    <row r="53" spans="1:39" x14ac:dyDescent="0.2">
      <c r="A53" s="7">
        <v>53.75</v>
      </c>
      <c r="B53" s="7">
        <v>2458.5479999999998</v>
      </c>
      <c r="C53" s="7">
        <v>2751.8310000000001</v>
      </c>
      <c r="D53" s="7">
        <v>2706.4479999999999</v>
      </c>
      <c r="E53" s="7">
        <v>2748.9520000000002</v>
      </c>
      <c r="F53" s="7" t="s">
        <v>6</v>
      </c>
      <c r="G53" s="7">
        <v>2629.4189999999999</v>
      </c>
      <c r="H53" s="7">
        <v>2770.1669999999999</v>
      </c>
      <c r="I53" s="7">
        <v>2155.105</v>
      </c>
      <c r="J53" s="7" t="s">
        <v>6</v>
      </c>
      <c r="K53" s="7">
        <v>1993.808</v>
      </c>
      <c r="L53" s="7">
        <v>1998.8219999999999</v>
      </c>
      <c r="M53" s="7">
        <v>1897.3050000000001</v>
      </c>
      <c r="N53" s="7" t="s">
        <v>6</v>
      </c>
      <c r="O53" s="7">
        <v>2430.0500000000002</v>
      </c>
      <c r="P53" s="7">
        <v>2010.259</v>
      </c>
      <c r="R53" s="5">
        <f t="shared" si="0"/>
        <v>2379.2261666666668</v>
      </c>
      <c r="S53" s="5">
        <f t="shared" si="1"/>
        <v>99.953832436934562</v>
      </c>
      <c r="U53" s="7">
        <v>53.75</v>
      </c>
      <c r="V53" s="7">
        <v>2157.1089999999999</v>
      </c>
      <c r="W53" s="7">
        <v>2052.0590000000002</v>
      </c>
      <c r="X53" s="7">
        <v>2067.1039999999998</v>
      </c>
      <c r="Y53" s="7" t="s">
        <v>6</v>
      </c>
      <c r="Z53" s="7">
        <v>2300.7489999999998</v>
      </c>
      <c r="AA53" s="7">
        <v>2519.297</v>
      </c>
      <c r="AB53" s="7" t="s">
        <v>6</v>
      </c>
      <c r="AC53" s="7">
        <v>2342.2649999999999</v>
      </c>
      <c r="AD53" s="7">
        <v>2035.192</v>
      </c>
      <c r="AE53" s="7">
        <v>2352.404</v>
      </c>
      <c r="AF53" s="7" t="s">
        <v>6</v>
      </c>
      <c r="AG53" s="7">
        <v>2361.7370000000001</v>
      </c>
      <c r="AH53" s="7">
        <v>2230.2710000000002</v>
      </c>
      <c r="AI53" s="7">
        <v>2491.1439999999998</v>
      </c>
      <c r="AJ53" s="7">
        <v>1887.511</v>
      </c>
      <c r="AL53" s="6">
        <f t="shared" si="2"/>
        <v>2242.9320000000002</v>
      </c>
      <c r="AM53" s="6">
        <f t="shared" si="3"/>
        <v>79.763830626955922</v>
      </c>
    </row>
    <row r="54" spans="1:39" x14ac:dyDescent="0.2">
      <c r="A54" s="7">
        <v>55</v>
      </c>
      <c r="B54" s="7">
        <v>2408.7550000000001</v>
      </c>
      <c r="C54" s="7">
        <v>2715.4029999999998</v>
      </c>
      <c r="D54" s="7">
        <v>2677.5859999999998</v>
      </c>
      <c r="E54" s="7">
        <v>2717.5039999999999</v>
      </c>
      <c r="F54" s="7" t="s">
        <v>6</v>
      </c>
      <c r="G54" s="7">
        <v>2594.5929999999998</v>
      </c>
      <c r="H54" s="7">
        <v>2749.89</v>
      </c>
      <c r="I54" s="7">
        <v>2139.9180000000001</v>
      </c>
      <c r="J54" s="7" t="s">
        <v>6</v>
      </c>
      <c r="K54" s="7">
        <v>1965.9449999999999</v>
      </c>
      <c r="L54" s="7">
        <v>1955.36</v>
      </c>
      <c r="M54" s="7">
        <v>1869.135</v>
      </c>
      <c r="N54" s="7" t="s">
        <v>6</v>
      </c>
      <c r="O54" s="7">
        <v>2390.6149999999998</v>
      </c>
      <c r="P54" s="7">
        <v>1975.2449999999999</v>
      </c>
      <c r="R54" s="5">
        <f t="shared" si="0"/>
        <v>2346.6624166666666</v>
      </c>
      <c r="S54" s="5">
        <f t="shared" si="1"/>
        <v>99.986469155373825</v>
      </c>
      <c r="U54" s="7">
        <v>55</v>
      </c>
      <c r="V54" s="7">
        <v>2137</v>
      </c>
      <c r="W54" s="7">
        <v>2038</v>
      </c>
      <c r="X54" s="7">
        <v>2042.308</v>
      </c>
      <c r="Y54" s="7" t="s">
        <v>6</v>
      </c>
      <c r="Z54" s="7">
        <v>2252.9229999999998</v>
      </c>
      <c r="AA54" s="7">
        <v>2455.4140000000002</v>
      </c>
      <c r="AB54" s="7" t="s">
        <v>6</v>
      </c>
      <c r="AC54" s="7">
        <v>2316.1129999999998</v>
      </c>
      <c r="AD54" s="7">
        <v>2020.6220000000001</v>
      </c>
      <c r="AE54" s="7">
        <v>2342.2449999999999</v>
      </c>
      <c r="AF54" s="7" t="s">
        <v>6</v>
      </c>
      <c r="AG54" s="7">
        <v>2347.3240000000001</v>
      </c>
      <c r="AH54" s="7">
        <v>2205.6179999999999</v>
      </c>
      <c r="AI54" s="7">
        <v>2453.4029999999998</v>
      </c>
      <c r="AJ54" s="7">
        <v>1860.808</v>
      </c>
      <c r="AL54" s="6">
        <f t="shared" si="2"/>
        <v>2220.8761428571429</v>
      </c>
      <c r="AM54" s="6">
        <f t="shared" si="3"/>
        <v>79.258747221462201</v>
      </c>
    </row>
    <row r="55" spans="1:39" x14ac:dyDescent="0.2">
      <c r="A55" s="7">
        <v>56.25</v>
      </c>
      <c r="B55" s="7">
        <v>2260.1750000000002</v>
      </c>
      <c r="C55" s="7">
        <v>2547.3150000000001</v>
      </c>
      <c r="D55" s="7">
        <v>2585.9360000000001</v>
      </c>
      <c r="E55" s="7">
        <v>2598.4319999999998</v>
      </c>
      <c r="F55" s="7" t="s">
        <v>6</v>
      </c>
      <c r="G55" s="7">
        <v>2436.2359999999999</v>
      </c>
      <c r="H55" s="7">
        <v>2602.1320000000001</v>
      </c>
      <c r="I55" s="7">
        <v>2008.99</v>
      </c>
      <c r="J55" s="7" t="s">
        <v>6</v>
      </c>
      <c r="K55" s="7">
        <v>1837.519</v>
      </c>
      <c r="L55" s="7">
        <v>1834.57</v>
      </c>
      <c r="M55" s="7">
        <v>1756.327</v>
      </c>
      <c r="N55" s="7" t="s">
        <v>6</v>
      </c>
      <c r="O55" s="7">
        <v>2246.1680000000001</v>
      </c>
      <c r="P55" s="7">
        <v>1853.4649999999999</v>
      </c>
      <c r="R55" s="5">
        <f t="shared" si="0"/>
        <v>2213.9387500000003</v>
      </c>
      <c r="S55" s="5">
        <f t="shared" si="1"/>
        <v>97.995424460681363</v>
      </c>
      <c r="U55" s="7">
        <v>56.25</v>
      </c>
      <c r="V55" s="7">
        <v>2024.75</v>
      </c>
      <c r="W55" s="7">
        <v>1937.7570000000001</v>
      </c>
      <c r="X55" s="7">
        <v>1938.979</v>
      </c>
      <c r="Y55" s="7" t="s">
        <v>6</v>
      </c>
      <c r="Z55" s="7">
        <v>2132.9569999999999</v>
      </c>
      <c r="AA55" s="7">
        <v>2299.5189999999998</v>
      </c>
      <c r="AB55" s="7" t="s">
        <v>6</v>
      </c>
      <c r="AC55" s="7">
        <v>2182.895</v>
      </c>
      <c r="AD55" s="7">
        <v>1938.8689999999999</v>
      </c>
      <c r="AE55" s="7">
        <v>2206.1410000000001</v>
      </c>
      <c r="AF55" s="7" t="s">
        <v>6</v>
      </c>
      <c r="AG55" s="7">
        <v>2194.953</v>
      </c>
      <c r="AH55" s="7">
        <v>2073.663</v>
      </c>
      <c r="AI55" s="7">
        <v>2318.4470000000001</v>
      </c>
      <c r="AJ55" s="7">
        <v>1764.848</v>
      </c>
      <c r="AL55" s="6">
        <f t="shared" si="2"/>
        <v>2097.1165714285717</v>
      </c>
      <c r="AM55" s="6">
        <f t="shared" si="3"/>
        <v>71.347265712568586</v>
      </c>
    </row>
    <row r="56" spans="1:39" x14ac:dyDescent="0.2">
      <c r="A56" s="7">
        <v>57.5</v>
      </c>
      <c r="B56" s="7">
        <v>2066.1419999999998</v>
      </c>
      <c r="C56" s="7">
        <v>2354.1260000000002</v>
      </c>
      <c r="D56" s="7">
        <v>2472.0360000000001</v>
      </c>
      <c r="E56" s="7">
        <v>2471.904</v>
      </c>
      <c r="F56" s="7" t="s">
        <v>6</v>
      </c>
      <c r="G56" s="7">
        <v>2265.8739999999998</v>
      </c>
      <c r="H56" s="7">
        <v>2414.7020000000002</v>
      </c>
      <c r="I56" s="7">
        <v>1844.8879999999999</v>
      </c>
      <c r="J56" s="7" t="s">
        <v>6</v>
      </c>
      <c r="K56" s="7">
        <v>1702.5809999999999</v>
      </c>
      <c r="L56" s="7">
        <v>1656.5909999999999</v>
      </c>
      <c r="M56" s="7">
        <v>1630.3030000000001</v>
      </c>
      <c r="N56" s="7" t="s">
        <v>6</v>
      </c>
      <c r="O56" s="7">
        <v>2078.0140000000001</v>
      </c>
      <c r="P56" s="7">
        <v>1716.6110000000001</v>
      </c>
      <c r="R56" s="5">
        <f t="shared" si="0"/>
        <v>2056.1476666666663</v>
      </c>
      <c r="S56" s="5">
        <f t="shared" si="1"/>
        <v>96.673704639771998</v>
      </c>
      <c r="U56" s="7">
        <v>57.5</v>
      </c>
      <c r="V56" s="7">
        <v>1893.981</v>
      </c>
      <c r="W56" s="7">
        <v>1822.4649999999999</v>
      </c>
      <c r="X56" s="7">
        <v>1815.16</v>
      </c>
      <c r="Y56" s="7" t="s">
        <v>6</v>
      </c>
      <c r="Z56" s="7">
        <v>2001.44</v>
      </c>
      <c r="AA56" s="7">
        <v>2149.8939999999998</v>
      </c>
      <c r="AB56" s="7" t="s">
        <v>6</v>
      </c>
      <c r="AC56" s="7">
        <v>2020.3720000000001</v>
      </c>
      <c r="AD56" s="7">
        <v>1832.5640000000001</v>
      </c>
      <c r="AE56" s="7">
        <v>2012.4159999999999</v>
      </c>
      <c r="AF56" s="7" t="s">
        <v>6</v>
      </c>
      <c r="AG56" s="7">
        <v>2025.018</v>
      </c>
      <c r="AH56" s="7">
        <v>1912.7670000000001</v>
      </c>
      <c r="AI56" s="7">
        <v>2169.674</v>
      </c>
      <c r="AJ56" s="7">
        <v>1632.489</v>
      </c>
      <c r="AL56" s="6">
        <f t="shared" si="2"/>
        <v>1943.6142857142859</v>
      </c>
      <c r="AM56" s="6">
        <f t="shared" si="3"/>
        <v>65.180636570597386</v>
      </c>
    </row>
    <row r="57" spans="1:39" x14ac:dyDescent="0.2">
      <c r="A57" s="7">
        <v>58.75</v>
      </c>
      <c r="B57" s="7">
        <v>1924.0450000000001</v>
      </c>
      <c r="C57" s="7">
        <v>2203.4229999999998</v>
      </c>
      <c r="D57" s="7">
        <v>2370.2950000000001</v>
      </c>
      <c r="E57" s="7">
        <v>2369.5450000000001</v>
      </c>
      <c r="F57" s="7" t="s">
        <v>6</v>
      </c>
      <c r="G57" s="7">
        <v>2115.288</v>
      </c>
      <c r="H57" s="7">
        <v>2263.5329999999999</v>
      </c>
      <c r="I57" s="7">
        <v>1728.835</v>
      </c>
      <c r="J57" s="7" t="s">
        <v>6</v>
      </c>
      <c r="K57" s="7">
        <v>1597.866</v>
      </c>
      <c r="L57" s="7">
        <v>1509.299</v>
      </c>
      <c r="M57" s="7">
        <v>1533.8530000000001</v>
      </c>
      <c r="N57" s="7" t="s">
        <v>6</v>
      </c>
      <c r="O57" s="7">
        <v>1963.624</v>
      </c>
      <c r="P57" s="7">
        <v>1600.3</v>
      </c>
      <c r="R57" s="5">
        <f t="shared" si="0"/>
        <v>1931.6588333333332</v>
      </c>
      <c r="S57" s="5">
        <f t="shared" si="1"/>
        <v>95.423012315167156</v>
      </c>
      <c r="U57" s="7">
        <v>58.75</v>
      </c>
      <c r="V57" s="7">
        <v>1794.0550000000001</v>
      </c>
      <c r="W57" s="7">
        <v>1718.7550000000001</v>
      </c>
      <c r="X57" s="7">
        <v>1723.962</v>
      </c>
      <c r="Y57" s="7" t="s">
        <v>6</v>
      </c>
      <c r="Z57" s="7">
        <v>1890.4280000000001</v>
      </c>
      <c r="AA57" s="7">
        <v>2017.74</v>
      </c>
      <c r="AB57" s="7" t="s">
        <v>6</v>
      </c>
      <c r="AC57" s="7">
        <v>1892.7919999999999</v>
      </c>
      <c r="AD57" s="7">
        <v>1732.6420000000001</v>
      </c>
      <c r="AE57" s="7">
        <v>1867.922</v>
      </c>
      <c r="AF57" s="7" t="s">
        <v>6</v>
      </c>
      <c r="AG57" s="7">
        <v>1909.604</v>
      </c>
      <c r="AH57" s="7">
        <v>1771.7370000000001</v>
      </c>
      <c r="AI57" s="7">
        <v>2054.6999999999998</v>
      </c>
      <c r="AJ57" s="7">
        <v>1522.4390000000001</v>
      </c>
      <c r="AL57" s="6">
        <f t="shared" si="2"/>
        <v>1821.6908571428573</v>
      </c>
      <c r="AM57" s="6">
        <f t="shared" si="3"/>
        <v>63.469421439975058</v>
      </c>
    </row>
    <row r="58" spans="1:39" x14ac:dyDescent="0.2">
      <c r="A58" s="7">
        <v>60</v>
      </c>
      <c r="B58" s="7">
        <v>1830.691</v>
      </c>
      <c r="C58" s="7">
        <v>2090.797</v>
      </c>
      <c r="D58" s="7">
        <v>2269.491</v>
      </c>
      <c r="E58" s="7">
        <v>2268.752</v>
      </c>
      <c r="F58" s="7" t="s">
        <v>6</v>
      </c>
      <c r="G58" s="7">
        <v>2016.1510000000001</v>
      </c>
      <c r="H58" s="7">
        <v>2157.38</v>
      </c>
      <c r="I58" s="7">
        <v>1658.287</v>
      </c>
      <c r="J58" s="7" t="s">
        <v>6</v>
      </c>
      <c r="K58" s="7">
        <v>1516.654</v>
      </c>
      <c r="L58" s="7">
        <v>1442.59</v>
      </c>
      <c r="M58" s="7">
        <v>1458.6310000000001</v>
      </c>
      <c r="N58" s="7" t="s">
        <v>6</v>
      </c>
      <c r="O58" s="7">
        <v>1886.54</v>
      </c>
      <c r="P58" s="7">
        <v>1531.1669999999999</v>
      </c>
      <c r="R58" s="5">
        <f t="shared" si="0"/>
        <v>1843.9275833333334</v>
      </c>
      <c r="S58" s="5">
        <f t="shared" si="1"/>
        <v>91.342835025312453</v>
      </c>
      <c r="U58" s="7">
        <v>60</v>
      </c>
      <c r="V58" s="7">
        <v>1704.239</v>
      </c>
      <c r="W58" s="7">
        <v>1643.9949999999999</v>
      </c>
      <c r="X58" s="7">
        <v>1653.1880000000001</v>
      </c>
      <c r="Y58" s="7" t="s">
        <v>6</v>
      </c>
      <c r="Z58" s="7">
        <v>1776.672</v>
      </c>
      <c r="AA58" s="7">
        <v>1919.816</v>
      </c>
      <c r="AB58" s="7" t="s">
        <v>6</v>
      </c>
      <c r="AC58" s="7">
        <v>1822.3389999999999</v>
      </c>
      <c r="AD58" s="7">
        <v>1660.0260000000001</v>
      </c>
      <c r="AE58" s="7">
        <v>1791.0709999999999</v>
      </c>
      <c r="AF58" s="7" t="s">
        <v>6</v>
      </c>
      <c r="AG58" s="7">
        <v>1825.6320000000001</v>
      </c>
      <c r="AH58" s="7">
        <v>1687.2929999999999</v>
      </c>
      <c r="AI58" s="7">
        <v>1963.6189999999999</v>
      </c>
      <c r="AJ58" s="7">
        <v>1472.848</v>
      </c>
      <c r="AL58" s="6">
        <f t="shared" si="2"/>
        <v>1746.1182857142855</v>
      </c>
      <c r="AM58" s="6">
        <f t="shared" si="3"/>
        <v>59.162464016152882</v>
      </c>
    </row>
    <row r="59" spans="1:39" x14ac:dyDescent="0.2">
      <c r="A59" s="7">
        <v>61.25</v>
      </c>
      <c r="B59" s="7">
        <v>1781.4369999999999</v>
      </c>
      <c r="C59" s="7">
        <v>2006.2059999999999</v>
      </c>
      <c r="D59" s="7">
        <v>2196.7849999999999</v>
      </c>
      <c r="E59" s="7">
        <v>2196.9229999999998</v>
      </c>
      <c r="F59" s="7" t="s">
        <v>6</v>
      </c>
      <c r="G59" s="7">
        <v>1950.421</v>
      </c>
      <c r="H59" s="7">
        <v>2084.7939999999999</v>
      </c>
      <c r="I59" s="7">
        <v>1591.105</v>
      </c>
      <c r="J59" s="7" t="s">
        <v>6</v>
      </c>
      <c r="K59" s="7">
        <v>1460.355</v>
      </c>
      <c r="L59" s="7">
        <v>1397.672</v>
      </c>
      <c r="M59" s="7">
        <v>1406.9449999999999</v>
      </c>
      <c r="N59" s="7" t="s">
        <v>6</v>
      </c>
      <c r="O59" s="7">
        <v>1824.8030000000001</v>
      </c>
      <c r="P59" s="7">
        <v>1486.9860000000001</v>
      </c>
      <c r="R59" s="5">
        <f t="shared" si="0"/>
        <v>1782.0359999999998</v>
      </c>
      <c r="S59" s="5">
        <f t="shared" si="1"/>
        <v>88.406010368656823</v>
      </c>
      <c r="U59" s="7">
        <v>61.25</v>
      </c>
      <c r="V59" s="7">
        <v>1644.4380000000001</v>
      </c>
      <c r="W59" s="7">
        <v>1571.0619999999999</v>
      </c>
      <c r="X59" s="7">
        <v>1584.586</v>
      </c>
      <c r="Y59" s="7" t="s">
        <v>6</v>
      </c>
      <c r="Z59" s="7">
        <v>1676.241</v>
      </c>
      <c r="AA59" s="7">
        <v>1857.27</v>
      </c>
      <c r="AB59" s="7" t="s">
        <v>6</v>
      </c>
      <c r="AC59" s="7">
        <v>1751.806</v>
      </c>
      <c r="AD59" s="7">
        <v>1595.3969999999999</v>
      </c>
      <c r="AE59" s="7">
        <v>1740.287</v>
      </c>
      <c r="AF59" s="7" t="s">
        <v>6</v>
      </c>
      <c r="AG59" s="7">
        <v>1758.903</v>
      </c>
      <c r="AH59" s="7">
        <v>1642.963</v>
      </c>
      <c r="AI59" s="7">
        <v>1880.277</v>
      </c>
      <c r="AJ59" s="7">
        <v>1435.335</v>
      </c>
      <c r="AL59" s="6">
        <f t="shared" si="2"/>
        <v>1686.4240000000002</v>
      </c>
      <c r="AM59" s="6">
        <f t="shared" si="3"/>
        <v>54.166559468172316</v>
      </c>
    </row>
    <row r="60" spans="1:39" x14ac:dyDescent="0.2">
      <c r="A60" s="7">
        <v>62.5</v>
      </c>
      <c r="B60" s="7">
        <v>1723.8969999999999</v>
      </c>
      <c r="C60" s="7">
        <v>1966.354</v>
      </c>
      <c r="D60" s="7">
        <v>2134.951</v>
      </c>
      <c r="E60" s="7">
        <v>2129.5529999999999</v>
      </c>
      <c r="F60" s="7" t="s">
        <v>6</v>
      </c>
      <c r="G60" s="7">
        <v>1901.104</v>
      </c>
      <c r="H60" s="7">
        <v>2025.845</v>
      </c>
      <c r="I60" s="7">
        <v>1538.3150000000001</v>
      </c>
      <c r="J60" s="7" t="s">
        <v>6</v>
      </c>
      <c r="K60" s="7">
        <v>1412.1030000000001</v>
      </c>
      <c r="L60" s="7">
        <v>1376.943</v>
      </c>
      <c r="M60" s="7">
        <v>1361.992</v>
      </c>
      <c r="N60" s="7" t="s">
        <v>6</v>
      </c>
      <c r="O60" s="7">
        <v>1767.9760000000001</v>
      </c>
      <c r="P60" s="7">
        <v>1463.0920000000001</v>
      </c>
      <c r="R60" s="5">
        <f t="shared" si="0"/>
        <v>1733.5104166666663</v>
      </c>
      <c r="S60" s="5">
        <f t="shared" si="1"/>
        <v>85.579316871655266</v>
      </c>
      <c r="U60" s="7">
        <v>62.5</v>
      </c>
      <c r="V60" s="7">
        <v>1597.268</v>
      </c>
      <c r="W60" s="7">
        <v>1519.4380000000001</v>
      </c>
      <c r="X60" s="7">
        <v>1525.799</v>
      </c>
      <c r="Y60" s="7" t="s">
        <v>6</v>
      </c>
      <c r="Z60" s="7">
        <v>1629.069</v>
      </c>
      <c r="AA60" s="7">
        <v>1754.431</v>
      </c>
      <c r="AB60" s="7" t="s">
        <v>6</v>
      </c>
      <c r="AC60" s="7">
        <v>1683.9690000000001</v>
      </c>
      <c r="AD60" s="7">
        <v>1542.021</v>
      </c>
      <c r="AE60" s="7">
        <v>1702.204</v>
      </c>
      <c r="AF60" s="7" t="s">
        <v>6</v>
      </c>
      <c r="AG60" s="7">
        <v>1710.741</v>
      </c>
      <c r="AH60" s="7">
        <v>1611.904</v>
      </c>
      <c r="AI60" s="7">
        <v>1812.2809999999999</v>
      </c>
      <c r="AJ60" s="7">
        <v>1387.3720000000001</v>
      </c>
      <c r="AL60" s="6">
        <f t="shared" si="2"/>
        <v>1635.7845714285711</v>
      </c>
      <c r="AM60" s="6">
        <f t="shared" si="3"/>
        <v>52.229673602390456</v>
      </c>
    </row>
    <row r="61" spans="1:39" x14ac:dyDescent="0.2">
      <c r="A61" s="7">
        <v>63.75</v>
      </c>
      <c r="B61" s="7">
        <v>1669.261</v>
      </c>
      <c r="C61" s="7">
        <v>1925.068</v>
      </c>
      <c r="D61" s="7">
        <v>2068.6709999999998</v>
      </c>
      <c r="E61" s="7">
        <v>2060.5129999999999</v>
      </c>
      <c r="F61" s="7" t="s">
        <v>6</v>
      </c>
      <c r="G61" s="7">
        <v>1847.5129999999999</v>
      </c>
      <c r="H61" s="7">
        <v>1970.884</v>
      </c>
      <c r="I61" s="7">
        <v>1501.0940000000001</v>
      </c>
      <c r="J61" s="7" t="s">
        <v>6</v>
      </c>
      <c r="K61" s="7">
        <v>1360.674</v>
      </c>
      <c r="L61" s="7">
        <v>1351.538</v>
      </c>
      <c r="M61" s="7">
        <v>1319.8140000000001</v>
      </c>
      <c r="N61" s="7" t="s">
        <v>6</v>
      </c>
      <c r="O61" s="7">
        <v>1711.0709999999999</v>
      </c>
      <c r="P61" s="7">
        <v>1421.951</v>
      </c>
      <c r="R61" s="5">
        <f t="shared" si="0"/>
        <v>1684.0043333333333</v>
      </c>
      <c r="S61" s="5">
        <f t="shared" si="1"/>
        <v>82.923066533067242</v>
      </c>
      <c r="U61" s="7">
        <v>63.75</v>
      </c>
      <c r="V61" s="7">
        <v>1544.9739999999999</v>
      </c>
      <c r="W61" s="7">
        <v>1469.547</v>
      </c>
      <c r="X61" s="7">
        <v>1478.56</v>
      </c>
      <c r="Y61" s="7" t="s">
        <v>6</v>
      </c>
      <c r="Z61" s="7">
        <v>1608.954</v>
      </c>
      <c r="AA61" s="7">
        <v>1699.8789999999999</v>
      </c>
      <c r="AB61" s="7" t="s">
        <v>6</v>
      </c>
      <c r="AC61" s="7">
        <v>1642.777</v>
      </c>
      <c r="AD61" s="7">
        <v>1486.1959999999999</v>
      </c>
      <c r="AE61" s="7">
        <v>1652.5340000000001</v>
      </c>
      <c r="AF61" s="7" t="s">
        <v>6</v>
      </c>
      <c r="AG61" s="7">
        <v>1669.357</v>
      </c>
      <c r="AH61" s="7">
        <v>1562.9580000000001</v>
      </c>
      <c r="AI61" s="7">
        <v>1756.307</v>
      </c>
      <c r="AJ61" s="7">
        <v>1341.9090000000001</v>
      </c>
      <c r="AL61" s="6">
        <f t="shared" si="2"/>
        <v>1587.434</v>
      </c>
      <c r="AM61" s="6">
        <f t="shared" si="3"/>
        <v>52.021300251046426</v>
      </c>
    </row>
    <row r="62" spans="1:39" x14ac:dyDescent="0.2">
      <c r="A62" s="7">
        <v>65</v>
      </c>
      <c r="B62" s="7">
        <v>1630.739</v>
      </c>
      <c r="C62" s="7">
        <v>1854.913</v>
      </c>
      <c r="D62" s="7">
        <v>1976.028</v>
      </c>
      <c r="E62" s="7">
        <v>1985.8230000000001</v>
      </c>
      <c r="F62" s="7" t="s">
        <v>6</v>
      </c>
      <c r="G62" s="7">
        <v>1800.539</v>
      </c>
      <c r="H62" s="7">
        <v>1916.605</v>
      </c>
      <c r="I62" s="7">
        <v>1461.8140000000001</v>
      </c>
      <c r="J62" s="7" t="s">
        <v>6</v>
      </c>
      <c r="K62" s="7">
        <v>1319.249</v>
      </c>
      <c r="L62" s="7">
        <v>1324.471</v>
      </c>
      <c r="M62" s="7">
        <v>1279.1379999999999</v>
      </c>
      <c r="N62" s="7" t="s">
        <v>6</v>
      </c>
      <c r="O62" s="7">
        <v>1684.373</v>
      </c>
      <c r="P62" s="7">
        <v>1380.925</v>
      </c>
      <c r="R62" s="5">
        <f t="shared" si="0"/>
        <v>1634.5514166666665</v>
      </c>
      <c r="S62" s="5">
        <f t="shared" si="1"/>
        <v>78.538196934576106</v>
      </c>
      <c r="U62" s="7">
        <v>65</v>
      </c>
      <c r="V62" s="7">
        <v>1489.152</v>
      </c>
      <c r="W62" s="7">
        <v>1406.396</v>
      </c>
      <c r="X62" s="7">
        <v>1441.288</v>
      </c>
      <c r="Y62" s="7" t="s">
        <v>6</v>
      </c>
      <c r="Z62" s="7">
        <v>1526.8219999999999</v>
      </c>
      <c r="AA62" s="7">
        <v>1618.479</v>
      </c>
      <c r="AB62" s="7" t="s">
        <v>6</v>
      </c>
      <c r="AC62" s="7">
        <v>1595.567</v>
      </c>
      <c r="AD62" s="7">
        <v>1429.0809999999999</v>
      </c>
      <c r="AE62" s="7">
        <v>1622.9549999999999</v>
      </c>
      <c r="AF62" s="7" t="s">
        <v>6</v>
      </c>
      <c r="AG62" s="7">
        <v>1633.07</v>
      </c>
      <c r="AH62" s="7">
        <v>1533.4069999999999</v>
      </c>
      <c r="AI62" s="7">
        <v>1716.269</v>
      </c>
      <c r="AJ62" s="7">
        <v>1318.9259999999999</v>
      </c>
      <c r="AL62" s="6">
        <f t="shared" si="2"/>
        <v>1549.8964285714285</v>
      </c>
      <c r="AM62" s="6">
        <f t="shared" si="3"/>
        <v>51.231649298092307</v>
      </c>
    </row>
    <row r="63" spans="1:39" x14ac:dyDescent="0.2">
      <c r="A63" s="7">
        <v>66.25</v>
      </c>
      <c r="B63" s="7">
        <v>1602.7370000000001</v>
      </c>
      <c r="C63" s="7">
        <v>1803.4860000000001</v>
      </c>
      <c r="D63" s="7">
        <v>1869.682</v>
      </c>
      <c r="E63" s="7">
        <v>1912.9649999999999</v>
      </c>
      <c r="F63" s="7" t="s">
        <v>6</v>
      </c>
      <c r="G63" s="7">
        <v>1753.7950000000001</v>
      </c>
      <c r="H63" s="7">
        <v>1874.6859999999999</v>
      </c>
      <c r="I63" s="7">
        <v>1425.355</v>
      </c>
      <c r="J63" s="7" t="s">
        <v>6</v>
      </c>
      <c r="K63" s="7">
        <v>1284.634</v>
      </c>
      <c r="L63" s="7">
        <v>1314.998</v>
      </c>
      <c r="M63" s="7">
        <v>1239.7560000000001</v>
      </c>
      <c r="N63" s="7" t="s">
        <v>6</v>
      </c>
      <c r="O63" s="7">
        <v>1645.819</v>
      </c>
      <c r="P63" s="7">
        <v>1346.0889999999999</v>
      </c>
      <c r="R63" s="5">
        <f t="shared" si="0"/>
        <v>1589.5001666666667</v>
      </c>
      <c r="S63" s="5">
        <f t="shared" si="1"/>
        <v>73.721450793534231</v>
      </c>
      <c r="U63" s="7">
        <v>66.25</v>
      </c>
      <c r="V63" s="7">
        <v>1431.923</v>
      </c>
      <c r="W63" s="7">
        <v>1328.5519999999999</v>
      </c>
      <c r="X63" s="7">
        <v>1390.723</v>
      </c>
      <c r="Y63" s="7" t="s">
        <v>6</v>
      </c>
      <c r="Z63" s="7">
        <v>1453.653</v>
      </c>
      <c r="AA63" s="7">
        <v>1461.443</v>
      </c>
      <c r="AB63" s="7" t="s">
        <v>6</v>
      </c>
      <c r="AC63" s="7">
        <v>1554.3140000000001</v>
      </c>
      <c r="AD63" s="7">
        <v>1381.8689999999999</v>
      </c>
      <c r="AE63" s="7">
        <v>1607.818</v>
      </c>
      <c r="AF63" s="7" t="s">
        <v>6</v>
      </c>
      <c r="AG63" s="7">
        <v>1607.3920000000001</v>
      </c>
      <c r="AH63" s="7">
        <v>1495.5170000000001</v>
      </c>
      <c r="AI63" s="7">
        <v>1657.596</v>
      </c>
      <c r="AJ63" s="7">
        <v>1291.5830000000001</v>
      </c>
      <c r="AL63" s="6">
        <f t="shared" si="2"/>
        <v>1513.7270000000001</v>
      </c>
      <c r="AM63" s="6">
        <f t="shared" si="3"/>
        <v>50.482890839608324</v>
      </c>
    </row>
    <row r="64" spans="1:39" x14ac:dyDescent="0.2">
      <c r="A64" s="7">
        <v>67.5</v>
      </c>
      <c r="B64" s="7">
        <v>1581.4680000000001</v>
      </c>
      <c r="C64" s="7">
        <v>1763.9549999999999</v>
      </c>
      <c r="D64" s="7">
        <v>1763.143</v>
      </c>
      <c r="E64" s="7">
        <v>1828.8119999999999</v>
      </c>
      <c r="F64" s="7" t="s">
        <v>6</v>
      </c>
      <c r="G64" s="7">
        <v>1709.499</v>
      </c>
      <c r="H64" s="7">
        <v>1839.12</v>
      </c>
      <c r="I64" s="7">
        <v>1402.367</v>
      </c>
      <c r="J64" s="7" t="s">
        <v>6</v>
      </c>
      <c r="K64" s="7">
        <v>1256.0930000000001</v>
      </c>
      <c r="L64" s="7">
        <v>1316.578</v>
      </c>
      <c r="M64" s="7">
        <v>1209.115</v>
      </c>
      <c r="N64" s="7" t="s">
        <v>6</v>
      </c>
      <c r="O64" s="7">
        <v>1614.242</v>
      </c>
      <c r="P64" s="7">
        <v>1330.5709999999999</v>
      </c>
      <c r="R64" s="5">
        <f t="shared" si="0"/>
        <v>1551.2469166666667</v>
      </c>
      <c r="S64" s="5">
        <f t="shared" si="1"/>
        <v>67.984292742543886</v>
      </c>
      <c r="U64" s="7">
        <v>67.5</v>
      </c>
      <c r="V64" s="7">
        <v>1390.2080000000001</v>
      </c>
      <c r="W64" s="7">
        <v>1262.4749999999999</v>
      </c>
      <c r="X64" s="7">
        <v>1334.3040000000001</v>
      </c>
      <c r="Y64" s="7" t="s">
        <v>6</v>
      </c>
      <c r="Z64" s="7">
        <v>1358.799</v>
      </c>
      <c r="AA64" s="7">
        <v>1364.41</v>
      </c>
      <c r="AB64" s="7" t="s">
        <v>6</v>
      </c>
      <c r="AC64" s="7">
        <v>1514.3019999999999</v>
      </c>
      <c r="AD64" s="7">
        <v>1316.1969999999999</v>
      </c>
      <c r="AE64" s="7">
        <v>1575.491</v>
      </c>
      <c r="AF64" s="7" t="s">
        <v>6</v>
      </c>
      <c r="AG64" s="7">
        <v>1583.7270000000001</v>
      </c>
      <c r="AH64" s="7">
        <v>1478.181</v>
      </c>
      <c r="AI64" s="7">
        <v>1610.4280000000001</v>
      </c>
      <c r="AJ64" s="7">
        <v>1274.9780000000001</v>
      </c>
      <c r="AL64" s="6">
        <f t="shared" si="2"/>
        <v>1479.0434285714286</v>
      </c>
      <c r="AM64" s="6">
        <f t="shared" si="3"/>
        <v>50.457020571900578</v>
      </c>
    </row>
    <row r="65" spans="1:39" x14ac:dyDescent="0.2">
      <c r="A65" s="7">
        <v>68.75</v>
      </c>
      <c r="B65" s="7">
        <v>1558.2819999999999</v>
      </c>
      <c r="C65" s="7">
        <v>1736.4659999999999</v>
      </c>
      <c r="D65" s="7">
        <v>1688.171</v>
      </c>
      <c r="E65" s="7">
        <v>1756.0440000000001</v>
      </c>
      <c r="F65" s="7" t="s">
        <v>6</v>
      </c>
      <c r="G65" s="7">
        <v>1675.893</v>
      </c>
      <c r="H65" s="7">
        <v>1807.144</v>
      </c>
      <c r="I65" s="7">
        <v>1378.8040000000001</v>
      </c>
      <c r="J65" s="7" t="s">
        <v>6</v>
      </c>
      <c r="K65" s="7">
        <v>1224.3820000000001</v>
      </c>
      <c r="L65" s="7">
        <v>1334.7159999999999</v>
      </c>
      <c r="M65" s="7">
        <v>1190.913</v>
      </c>
      <c r="N65" s="7" t="s">
        <v>6</v>
      </c>
      <c r="O65" s="7">
        <v>1578.4770000000001</v>
      </c>
      <c r="P65" s="7">
        <v>1312.7860000000001</v>
      </c>
      <c r="R65" s="5">
        <f t="shared" si="0"/>
        <v>1520.1731666666667</v>
      </c>
      <c r="S65" s="5">
        <f t="shared" si="1"/>
        <v>63.686445925595763</v>
      </c>
      <c r="U65" s="7">
        <v>68.75</v>
      </c>
      <c r="V65" s="7">
        <v>1351.9269999999999</v>
      </c>
      <c r="W65" s="7">
        <v>1199.605</v>
      </c>
      <c r="X65" s="7">
        <v>1284.1759999999999</v>
      </c>
      <c r="Y65" s="7" t="s">
        <v>6</v>
      </c>
      <c r="Z65" s="7">
        <v>1304.6320000000001</v>
      </c>
      <c r="AA65" s="7">
        <v>1329.2180000000001</v>
      </c>
      <c r="AB65" s="7" t="s">
        <v>6</v>
      </c>
      <c r="AC65" s="7">
        <v>1486.76</v>
      </c>
      <c r="AD65" s="7">
        <v>1238.8440000000001</v>
      </c>
      <c r="AE65" s="7">
        <v>1564.895</v>
      </c>
      <c r="AF65" s="7" t="s">
        <v>6</v>
      </c>
      <c r="AG65" s="7">
        <v>1566.2919999999999</v>
      </c>
      <c r="AH65" s="7">
        <v>1485.2349999999999</v>
      </c>
      <c r="AI65" s="7">
        <v>1549.568</v>
      </c>
      <c r="AJ65" s="7">
        <v>1261.9849999999999</v>
      </c>
      <c r="AL65" s="6">
        <f t="shared" si="2"/>
        <v>1450.5112857142856</v>
      </c>
      <c r="AM65" s="6">
        <f t="shared" si="3"/>
        <v>53.266165980593243</v>
      </c>
    </row>
    <row r="66" spans="1:39" x14ac:dyDescent="0.2">
      <c r="A66" s="7">
        <v>70</v>
      </c>
      <c r="B66" s="7">
        <v>1543.1389999999999</v>
      </c>
      <c r="C66" s="7">
        <v>1709.7629999999999</v>
      </c>
      <c r="D66" s="7">
        <v>1639.183</v>
      </c>
      <c r="E66" s="7">
        <v>1714.307</v>
      </c>
      <c r="F66" s="7" t="s">
        <v>6</v>
      </c>
      <c r="G66" s="7">
        <v>1661.0409999999999</v>
      </c>
      <c r="H66" s="7">
        <v>1783.473</v>
      </c>
      <c r="I66" s="7">
        <v>1355.277</v>
      </c>
      <c r="J66" s="7" t="s">
        <v>6</v>
      </c>
      <c r="K66" s="7">
        <v>1203.1079999999999</v>
      </c>
      <c r="L66" s="7">
        <v>1343.095</v>
      </c>
      <c r="M66" s="7">
        <v>1167.673</v>
      </c>
      <c r="N66" s="7" t="s">
        <v>6</v>
      </c>
      <c r="O66" s="7">
        <v>1547.0119999999999</v>
      </c>
      <c r="P66" s="7">
        <v>1281.9069999999999</v>
      </c>
      <c r="R66" s="5">
        <f t="shared" si="0"/>
        <v>1495.7481666666665</v>
      </c>
      <c r="S66" s="5">
        <f t="shared" si="1"/>
        <v>62.228793438898919</v>
      </c>
      <c r="U66" s="7">
        <v>70</v>
      </c>
      <c r="V66" s="7">
        <v>1326.25</v>
      </c>
      <c r="W66" s="7">
        <v>1130.3689999999999</v>
      </c>
      <c r="X66" s="7">
        <v>1257.327</v>
      </c>
      <c r="Y66" s="7" t="s">
        <v>6</v>
      </c>
      <c r="Z66" s="7">
        <v>1189.5150000000001</v>
      </c>
      <c r="AA66" s="7">
        <v>1395.7560000000001</v>
      </c>
      <c r="AB66" s="7" t="s">
        <v>6</v>
      </c>
      <c r="AC66" s="7">
        <v>1469.248</v>
      </c>
      <c r="AD66" s="7">
        <v>1203.0889999999999</v>
      </c>
      <c r="AE66" s="7">
        <v>1550.4570000000001</v>
      </c>
      <c r="AF66" s="7" t="s">
        <v>6</v>
      </c>
      <c r="AG66" s="7">
        <v>1549.4849999999999</v>
      </c>
      <c r="AH66" s="7">
        <v>1442.31</v>
      </c>
      <c r="AI66" s="7">
        <v>1511.817</v>
      </c>
      <c r="AJ66" s="7">
        <v>1242.529</v>
      </c>
      <c r="AL66" s="6">
        <f t="shared" si="2"/>
        <v>1424.1335714285713</v>
      </c>
      <c r="AM66" s="6">
        <f t="shared" si="3"/>
        <v>54.240555473634636</v>
      </c>
    </row>
    <row r="67" spans="1:39" x14ac:dyDescent="0.2">
      <c r="A67" s="7">
        <v>71.25</v>
      </c>
      <c r="B67" s="7">
        <v>1525.058</v>
      </c>
      <c r="C67" s="7">
        <v>1689.86</v>
      </c>
      <c r="D67" s="7">
        <v>1618.4490000000001</v>
      </c>
      <c r="E67" s="7">
        <v>1688.7660000000001</v>
      </c>
      <c r="F67" s="7" t="s">
        <v>6</v>
      </c>
      <c r="G67" s="7">
        <v>1636.69</v>
      </c>
      <c r="H67" s="7">
        <v>1763.5540000000001</v>
      </c>
      <c r="I67" s="7">
        <v>1342.0519999999999</v>
      </c>
      <c r="J67" s="7" t="s">
        <v>6</v>
      </c>
      <c r="K67" s="7">
        <v>1185.8019999999999</v>
      </c>
      <c r="L67" s="7">
        <v>1328.9549999999999</v>
      </c>
      <c r="M67" s="7">
        <v>1153.3219999999999</v>
      </c>
      <c r="N67" s="7" t="s">
        <v>6</v>
      </c>
      <c r="O67" s="7">
        <v>1526.732</v>
      </c>
      <c r="P67" s="7">
        <v>1265.3240000000001</v>
      </c>
      <c r="R67" s="5">
        <f t="shared" si="0"/>
        <v>1477.0469999999998</v>
      </c>
      <c r="S67" s="5">
        <f t="shared" si="1"/>
        <v>61.364391155324455</v>
      </c>
      <c r="U67" s="7">
        <v>71.25</v>
      </c>
      <c r="V67" s="7">
        <v>1310.58</v>
      </c>
      <c r="W67" s="7">
        <v>1096.5999999999999</v>
      </c>
      <c r="X67" s="7">
        <v>1246.6020000000001</v>
      </c>
      <c r="Y67" s="7" t="s">
        <v>6</v>
      </c>
      <c r="Z67" s="7">
        <v>1157.4259999999999</v>
      </c>
      <c r="AA67" s="7">
        <v>1365.18</v>
      </c>
      <c r="AB67" s="7" t="s">
        <v>6</v>
      </c>
      <c r="AC67" s="7">
        <v>1456.2449999999999</v>
      </c>
      <c r="AD67" s="7">
        <v>1187.2380000000001</v>
      </c>
      <c r="AE67" s="7">
        <v>1543.835</v>
      </c>
      <c r="AF67" s="7" t="s">
        <v>6</v>
      </c>
      <c r="AG67" s="7">
        <v>1528.018</v>
      </c>
      <c r="AH67" s="7">
        <v>1413.1389999999999</v>
      </c>
      <c r="AI67" s="7">
        <v>1493.885</v>
      </c>
      <c r="AJ67" s="7">
        <v>1229.4079999999999</v>
      </c>
      <c r="AL67" s="6">
        <f t="shared" si="2"/>
        <v>1407.3954285714285</v>
      </c>
      <c r="AM67" s="6">
        <f t="shared" si="3"/>
        <v>54.163354041207576</v>
      </c>
    </row>
    <row r="68" spans="1:39" x14ac:dyDescent="0.2">
      <c r="A68" s="7">
        <v>72.5</v>
      </c>
      <c r="B68" s="7">
        <v>1499.8119999999999</v>
      </c>
      <c r="C68" s="7">
        <v>1671.4770000000001</v>
      </c>
      <c r="D68" s="7">
        <v>1596.402</v>
      </c>
      <c r="E68" s="7">
        <v>1669.5889999999999</v>
      </c>
      <c r="F68" s="7" t="s">
        <v>6</v>
      </c>
      <c r="G68" s="7">
        <v>1614.645</v>
      </c>
      <c r="H68" s="7">
        <v>1750.2329999999999</v>
      </c>
      <c r="I68" s="7">
        <v>1323.884</v>
      </c>
      <c r="J68" s="7" t="s">
        <v>6</v>
      </c>
      <c r="K68" s="7">
        <v>1170.1010000000001</v>
      </c>
      <c r="L68" s="7">
        <v>1308.0139999999999</v>
      </c>
      <c r="M68" s="7">
        <v>1139.164</v>
      </c>
      <c r="N68" s="7" t="s">
        <v>6</v>
      </c>
      <c r="O68" s="7">
        <v>1506.1579999999999</v>
      </c>
      <c r="P68" s="7">
        <v>1259.21</v>
      </c>
      <c r="R68" s="5">
        <f t="shared" si="0"/>
        <v>1459.0574166666665</v>
      </c>
      <c r="S68" s="5">
        <f t="shared" si="1"/>
        <v>60.804695041815236</v>
      </c>
      <c r="U68" s="7">
        <v>72.5</v>
      </c>
      <c r="V68" s="7">
        <v>1284.6780000000001</v>
      </c>
      <c r="W68" s="7">
        <v>1066.181</v>
      </c>
      <c r="X68" s="7">
        <v>1225.2260000000001</v>
      </c>
      <c r="Y68" s="7" t="s">
        <v>6</v>
      </c>
      <c r="Z68" s="7">
        <v>1138.56</v>
      </c>
      <c r="AA68" s="7">
        <v>1289.5409999999999</v>
      </c>
      <c r="AB68" s="7" t="s">
        <v>6</v>
      </c>
      <c r="AC68" s="7">
        <v>1431.144</v>
      </c>
      <c r="AD68" s="7">
        <v>1169.6030000000001</v>
      </c>
      <c r="AE68" s="7">
        <v>1516.309</v>
      </c>
      <c r="AF68" s="7" t="s">
        <v>6</v>
      </c>
      <c r="AG68" s="7">
        <v>1512.039</v>
      </c>
      <c r="AH68" s="7">
        <v>1367.796</v>
      </c>
      <c r="AI68" s="7">
        <v>1476.8579999999999</v>
      </c>
      <c r="AJ68" s="7">
        <v>1204.835</v>
      </c>
      <c r="AL68" s="6">
        <f t="shared" si="2"/>
        <v>1382.6548571428571</v>
      </c>
      <c r="AM68" s="6">
        <f t="shared" si="3"/>
        <v>54.129671575995815</v>
      </c>
    </row>
    <row r="69" spans="1:39" x14ac:dyDescent="0.2">
      <c r="A69" s="7">
        <v>73.75</v>
      </c>
      <c r="B69" s="7">
        <v>1486.453</v>
      </c>
      <c r="C69" s="7">
        <v>1645.36</v>
      </c>
      <c r="D69" s="7">
        <v>1592.973</v>
      </c>
      <c r="E69" s="7">
        <v>1655.2239999999999</v>
      </c>
      <c r="F69" s="7" t="s">
        <v>6</v>
      </c>
      <c r="G69" s="7">
        <v>1597.6780000000001</v>
      </c>
      <c r="H69" s="7">
        <v>1735.4880000000001</v>
      </c>
      <c r="I69" s="7">
        <v>1312.346</v>
      </c>
      <c r="J69" s="7" t="s">
        <v>6</v>
      </c>
      <c r="K69" s="7">
        <v>1155.7180000000001</v>
      </c>
      <c r="L69" s="7">
        <v>1290.269</v>
      </c>
      <c r="M69" s="7">
        <v>1129.8140000000001</v>
      </c>
      <c r="N69" s="7" t="s">
        <v>6</v>
      </c>
      <c r="O69" s="7">
        <v>1487.87</v>
      </c>
      <c r="P69" s="7">
        <v>1263.58</v>
      </c>
      <c r="R69" s="5">
        <f t="shared" ref="R69:R96" si="4">AVERAGE(B69:P69)</f>
        <v>1446.0644166666668</v>
      </c>
      <c r="S69" s="5">
        <f t="shared" ref="S69:S96" si="5">STDEV(B69:P69)/SQRT(COUNT(B69:P69))</f>
        <v>59.984150889347831</v>
      </c>
      <c r="U69" s="7">
        <v>73.75</v>
      </c>
      <c r="V69" s="7">
        <v>1277.809</v>
      </c>
      <c r="W69" s="7">
        <v>1071.742</v>
      </c>
      <c r="X69" s="7">
        <v>1204.8230000000001</v>
      </c>
      <c r="Y69" s="7" t="s">
        <v>6</v>
      </c>
      <c r="Z69" s="7">
        <v>1135.806</v>
      </c>
      <c r="AA69" s="7">
        <v>1233.873</v>
      </c>
      <c r="AB69" s="7" t="s">
        <v>6</v>
      </c>
      <c r="AC69" s="7">
        <v>1415.3610000000001</v>
      </c>
      <c r="AD69" s="7">
        <v>1162.316</v>
      </c>
      <c r="AE69" s="7">
        <v>1490.3579999999999</v>
      </c>
      <c r="AF69" s="7" t="s">
        <v>6</v>
      </c>
      <c r="AG69" s="7">
        <v>1495.8789999999999</v>
      </c>
      <c r="AH69" s="7">
        <v>1321.982</v>
      </c>
      <c r="AI69" s="7">
        <v>1466.0239999999999</v>
      </c>
      <c r="AJ69" s="7">
        <v>1205.2460000000001</v>
      </c>
      <c r="AL69" s="6">
        <f t="shared" ref="AL69:AL96" si="6">AVERAGE(AC69:AJ69)</f>
        <v>1365.3094285714287</v>
      </c>
      <c r="AM69" s="6">
        <f t="shared" ref="AM69:AM96" si="7">STDEV(AC69:AJ69)/SQRT(COUNT(AC69:AJ69))</f>
        <v>52.107499271929626</v>
      </c>
    </row>
    <row r="70" spans="1:39" x14ac:dyDescent="0.2">
      <c r="A70" s="7">
        <v>75</v>
      </c>
      <c r="B70" s="7">
        <v>1544.4649999999999</v>
      </c>
      <c r="C70" s="7">
        <v>1693.59</v>
      </c>
      <c r="D70" s="7">
        <v>1662.7639999999999</v>
      </c>
      <c r="E70" s="7">
        <v>1706.307</v>
      </c>
      <c r="F70" s="7" t="s">
        <v>6</v>
      </c>
      <c r="G70" s="7">
        <v>1650.6959999999999</v>
      </c>
      <c r="H70" s="7">
        <v>1784.2560000000001</v>
      </c>
      <c r="I70" s="7">
        <v>1363.0920000000001</v>
      </c>
      <c r="J70" s="7" t="s">
        <v>6</v>
      </c>
      <c r="K70" s="7">
        <v>1208.165</v>
      </c>
      <c r="L70" s="7">
        <v>1326.1469999999999</v>
      </c>
      <c r="M70" s="7">
        <v>1168.8920000000001</v>
      </c>
      <c r="N70" s="7" t="s">
        <v>6</v>
      </c>
      <c r="O70" s="7">
        <v>1537.6880000000001</v>
      </c>
      <c r="P70" s="7">
        <v>1304.298</v>
      </c>
      <c r="R70" s="5">
        <f t="shared" si="4"/>
        <v>1495.863333333333</v>
      </c>
      <c r="S70" s="5">
        <f t="shared" si="5"/>
        <v>61.25597281939632</v>
      </c>
      <c r="U70" s="7">
        <v>75</v>
      </c>
      <c r="V70" s="7">
        <v>1338.7080000000001</v>
      </c>
      <c r="W70" s="7">
        <v>1129.395</v>
      </c>
      <c r="X70" s="7">
        <v>1273.6389999999999</v>
      </c>
      <c r="Y70" s="7" t="s">
        <v>6</v>
      </c>
      <c r="Z70" s="7">
        <v>1215.895</v>
      </c>
      <c r="AA70" s="7">
        <v>1334.6590000000001</v>
      </c>
      <c r="AB70" s="7" t="s">
        <v>6</v>
      </c>
      <c r="AC70" s="7">
        <v>1474.18</v>
      </c>
      <c r="AD70" s="7">
        <v>1207.2360000000001</v>
      </c>
      <c r="AE70" s="7">
        <v>1538.31</v>
      </c>
      <c r="AF70" s="7" t="s">
        <v>6</v>
      </c>
      <c r="AG70" s="7">
        <v>1542.346</v>
      </c>
      <c r="AH70" s="7">
        <v>1391.954</v>
      </c>
      <c r="AI70" s="7">
        <v>1524.9490000000001</v>
      </c>
      <c r="AJ70" s="7">
        <v>1243.0809999999999</v>
      </c>
      <c r="AL70" s="6">
        <f t="shared" si="6"/>
        <v>1417.4365714285716</v>
      </c>
      <c r="AM70" s="6">
        <f t="shared" si="7"/>
        <v>53.502335736220829</v>
      </c>
    </row>
    <row r="71" spans="1:39" x14ac:dyDescent="0.2">
      <c r="A71" s="7">
        <v>76.25</v>
      </c>
      <c r="B71" s="7">
        <v>1727.7840000000001</v>
      </c>
      <c r="C71" s="7">
        <v>1877.652</v>
      </c>
      <c r="D71" s="7">
        <v>1790.1759999999999</v>
      </c>
      <c r="E71" s="7">
        <v>1850.895</v>
      </c>
      <c r="F71" s="7" t="s">
        <v>6</v>
      </c>
      <c r="G71" s="7">
        <v>1808.634</v>
      </c>
      <c r="H71" s="7">
        <v>1938.683</v>
      </c>
      <c r="I71" s="7">
        <v>1522.86</v>
      </c>
      <c r="J71" s="7" t="s">
        <v>6</v>
      </c>
      <c r="K71" s="7">
        <v>1340.9259999999999</v>
      </c>
      <c r="L71" s="7">
        <v>1470.596</v>
      </c>
      <c r="M71" s="7">
        <v>1296.075</v>
      </c>
      <c r="N71" s="7" t="s">
        <v>6</v>
      </c>
      <c r="O71" s="7">
        <v>1681.346</v>
      </c>
      <c r="P71" s="7">
        <v>1433.5619999999999</v>
      </c>
      <c r="R71" s="5">
        <f t="shared" si="4"/>
        <v>1644.9324166666665</v>
      </c>
      <c r="S71" s="5">
        <f t="shared" si="5"/>
        <v>64.140373334285371</v>
      </c>
      <c r="U71" s="7">
        <v>76.25</v>
      </c>
      <c r="V71" s="7">
        <v>1476.933</v>
      </c>
      <c r="W71" s="7">
        <v>1333.7149999999999</v>
      </c>
      <c r="X71" s="7">
        <v>1409.3889999999999</v>
      </c>
      <c r="Y71" s="7" t="s">
        <v>6</v>
      </c>
      <c r="Z71" s="7">
        <v>1459.366</v>
      </c>
      <c r="AA71" s="7">
        <v>1614.454</v>
      </c>
      <c r="AB71" s="7" t="s">
        <v>6</v>
      </c>
      <c r="AC71" s="7">
        <v>1655.1379999999999</v>
      </c>
      <c r="AD71" s="7">
        <v>1333.143</v>
      </c>
      <c r="AE71" s="7">
        <v>1743.8420000000001</v>
      </c>
      <c r="AF71" s="7" t="s">
        <v>6</v>
      </c>
      <c r="AG71" s="7">
        <v>1726.6320000000001</v>
      </c>
      <c r="AH71" s="7">
        <v>1571.1969999999999</v>
      </c>
      <c r="AI71" s="7">
        <v>1674.183</v>
      </c>
      <c r="AJ71" s="7">
        <v>1376.9269999999999</v>
      </c>
      <c r="AL71" s="6">
        <f t="shared" si="6"/>
        <v>1583.0088571428569</v>
      </c>
      <c r="AM71" s="6">
        <f t="shared" si="7"/>
        <v>62.688276977828799</v>
      </c>
    </row>
    <row r="72" spans="1:39" x14ac:dyDescent="0.2">
      <c r="A72" s="7">
        <v>77.5</v>
      </c>
      <c r="B72" s="7">
        <v>1796.1010000000001</v>
      </c>
      <c r="C72" s="7">
        <v>1979.105</v>
      </c>
      <c r="D72" s="7">
        <v>1847.8030000000001</v>
      </c>
      <c r="E72" s="7">
        <v>1912.1410000000001</v>
      </c>
      <c r="F72" s="7" t="s">
        <v>6</v>
      </c>
      <c r="G72" s="7">
        <v>1895.9880000000001</v>
      </c>
      <c r="H72" s="7">
        <v>2023.5640000000001</v>
      </c>
      <c r="I72" s="7">
        <v>1601.848</v>
      </c>
      <c r="J72" s="7" t="s">
        <v>6</v>
      </c>
      <c r="K72" s="7">
        <v>1389.758</v>
      </c>
      <c r="L72" s="7">
        <v>1548.758</v>
      </c>
      <c r="M72" s="7">
        <v>1351.135</v>
      </c>
      <c r="N72" s="7" t="s">
        <v>6</v>
      </c>
      <c r="O72" s="7">
        <v>1747.521</v>
      </c>
      <c r="P72" s="7">
        <v>1481.92</v>
      </c>
      <c r="R72" s="5">
        <f t="shared" si="4"/>
        <v>1714.6368333333332</v>
      </c>
      <c r="S72" s="5">
        <f t="shared" si="5"/>
        <v>67.127232527270294</v>
      </c>
      <c r="U72" s="7">
        <v>77.5</v>
      </c>
      <c r="V72" s="7">
        <v>1542.0319999999999</v>
      </c>
      <c r="W72" s="7">
        <v>1410.492</v>
      </c>
      <c r="X72" s="7">
        <v>1455.7529999999999</v>
      </c>
      <c r="Y72" s="7" t="s">
        <v>6</v>
      </c>
      <c r="Z72" s="7">
        <v>1562.373</v>
      </c>
      <c r="AA72" s="7">
        <v>1732.819</v>
      </c>
      <c r="AB72" s="7" t="s">
        <v>6</v>
      </c>
      <c r="AC72" s="7">
        <v>1744.7719999999999</v>
      </c>
      <c r="AD72" s="7">
        <v>1381.248</v>
      </c>
      <c r="AE72" s="7">
        <v>1842.0940000000001</v>
      </c>
      <c r="AF72" s="7" t="s">
        <v>6</v>
      </c>
      <c r="AG72" s="7">
        <v>1826.346</v>
      </c>
      <c r="AH72" s="7">
        <v>1652.748</v>
      </c>
      <c r="AI72" s="7">
        <v>1740.569</v>
      </c>
      <c r="AJ72" s="7">
        <v>1443.2449999999999</v>
      </c>
      <c r="AL72" s="6">
        <f t="shared" si="6"/>
        <v>1661.5745714285711</v>
      </c>
      <c r="AM72" s="6">
        <f t="shared" si="7"/>
        <v>68.873160921557457</v>
      </c>
    </row>
    <row r="73" spans="1:39" x14ac:dyDescent="0.2">
      <c r="A73" s="7">
        <v>78.75</v>
      </c>
      <c r="B73" s="7">
        <v>1749.299</v>
      </c>
      <c r="C73" s="7">
        <v>1927.586</v>
      </c>
      <c r="D73" s="7">
        <v>1803.1780000000001</v>
      </c>
      <c r="E73" s="7">
        <v>1863.874</v>
      </c>
      <c r="F73" s="7" t="s">
        <v>6</v>
      </c>
      <c r="G73" s="7">
        <v>1845.472</v>
      </c>
      <c r="H73" s="7">
        <v>1985.1079999999999</v>
      </c>
      <c r="I73" s="7">
        <v>1549.403</v>
      </c>
      <c r="J73" s="7" t="s">
        <v>6</v>
      </c>
      <c r="K73" s="7">
        <v>1352.816</v>
      </c>
      <c r="L73" s="7">
        <v>1507.01</v>
      </c>
      <c r="M73" s="7">
        <v>1317.712</v>
      </c>
      <c r="N73" s="7" t="s">
        <v>6</v>
      </c>
      <c r="O73" s="7">
        <v>1705.2460000000001</v>
      </c>
      <c r="P73" s="7">
        <v>1444.357</v>
      </c>
      <c r="R73" s="5">
        <f t="shared" si="4"/>
        <v>1670.9217500000002</v>
      </c>
      <c r="S73" s="5">
        <f t="shared" si="5"/>
        <v>66.058663701417956</v>
      </c>
      <c r="U73" s="7">
        <v>78.75</v>
      </c>
      <c r="V73" s="7">
        <v>1494.2370000000001</v>
      </c>
      <c r="W73" s="7">
        <v>1340.6759999999999</v>
      </c>
      <c r="X73" s="7">
        <v>1422.6859999999999</v>
      </c>
      <c r="Y73" s="7" t="s">
        <v>6</v>
      </c>
      <c r="Z73" s="7">
        <v>1492.8810000000001</v>
      </c>
      <c r="AA73" s="7">
        <v>1649.4760000000001</v>
      </c>
      <c r="AB73" s="7" t="s">
        <v>6</v>
      </c>
      <c r="AC73" s="7">
        <v>1688.01</v>
      </c>
      <c r="AD73" s="7">
        <v>1348.38</v>
      </c>
      <c r="AE73" s="7">
        <v>1782.8440000000001</v>
      </c>
      <c r="AF73" s="7" t="s">
        <v>6</v>
      </c>
      <c r="AG73" s="7">
        <v>1761.53</v>
      </c>
      <c r="AH73" s="7">
        <v>1614.992</v>
      </c>
      <c r="AI73" s="7">
        <v>1702.7449999999999</v>
      </c>
      <c r="AJ73" s="7">
        <v>1404.3140000000001</v>
      </c>
      <c r="AL73" s="6">
        <f t="shared" si="6"/>
        <v>1614.6878571428572</v>
      </c>
      <c r="AM73" s="6">
        <f t="shared" si="7"/>
        <v>65.127425901048753</v>
      </c>
    </row>
    <row r="74" spans="1:39" x14ac:dyDescent="0.2">
      <c r="A74" s="7">
        <v>80</v>
      </c>
      <c r="B74" s="7">
        <v>1678.712</v>
      </c>
      <c r="C74" s="7">
        <v>1853.443</v>
      </c>
      <c r="D74" s="7">
        <v>1745.64</v>
      </c>
      <c r="E74" s="7">
        <v>1796.63</v>
      </c>
      <c r="F74" s="7" t="s">
        <v>6</v>
      </c>
      <c r="G74" s="7">
        <v>1771.1030000000001</v>
      </c>
      <c r="H74" s="7">
        <v>1924.204</v>
      </c>
      <c r="I74" s="7">
        <v>1482.9939999999999</v>
      </c>
      <c r="J74" s="7" t="s">
        <v>6</v>
      </c>
      <c r="K74" s="7">
        <v>1297.556</v>
      </c>
      <c r="L74" s="7">
        <v>1453.5070000000001</v>
      </c>
      <c r="M74" s="7">
        <v>1261.0350000000001</v>
      </c>
      <c r="N74" s="7" t="s">
        <v>6</v>
      </c>
      <c r="O74" s="7">
        <v>1646.5630000000001</v>
      </c>
      <c r="P74" s="7">
        <v>1397.0350000000001</v>
      </c>
      <c r="R74" s="5">
        <f t="shared" si="4"/>
        <v>1609.0351666666668</v>
      </c>
      <c r="S74" s="5">
        <f t="shared" si="5"/>
        <v>64.467005345092048</v>
      </c>
      <c r="U74" s="7">
        <v>80</v>
      </c>
      <c r="V74" s="7">
        <v>1437.8209999999999</v>
      </c>
      <c r="W74" s="7">
        <v>1268.6590000000001</v>
      </c>
      <c r="X74" s="7">
        <v>1374.5029999999999</v>
      </c>
      <c r="Y74" s="7" t="s">
        <v>6</v>
      </c>
      <c r="Z74" s="7">
        <v>1375.761</v>
      </c>
      <c r="AA74" s="7">
        <v>1546.3530000000001</v>
      </c>
      <c r="AB74" s="7" t="s">
        <v>6</v>
      </c>
      <c r="AC74" s="7">
        <v>1611.308</v>
      </c>
      <c r="AD74" s="7">
        <v>1309.248</v>
      </c>
      <c r="AE74" s="7">
        <v>1720.1179999999999</v>
      </c>
      <c r="AF74" s="7" t="s">
        <v>6</v>
      </c>
      <c r="AG74" s="7">
        <v>1670.537</v>
      </c>
      <c r="AH74" s="7">
        <v>1553.0039999999999</v>
      </c>
      <c r="AI74" s="7">
        <v>1642.4780000000001</v>
      </c>
      <c r="AJ74" s="7">
        <v>1348.1089999999999</v>
      </c>
      <c r="AL74" s="6">
        <f t="shared" si="6"/>
        <v>1550.6859999999999</v>
      </c>
      <c r="AM74" s="6">
        <f t="shared" si="7"/>
        <v>60.652677260031346</v>
      </c>
    </row>
    <row r="75" spans="1:39" x14ac:dyDescent="0.2">
      <c r="A75" s="7">
        <v>81.25</v>
      </c>
      <c r="B75" s="7">
        <v>1735.499</v>
      </c>
      <c r="C75" s="7">
        <v>1875.3420000000001</v>
      </c>
      <c r="D75" s="7">
        <v>1778.06</v>
      </c>
      <c r="E75" s="7">
        <v>1822.585</v>
      </c>
      <c r="F75" s="7" t="s">
        <v>6</v>
      </c>
      <c r="G75" s="7">
        <v>1819.771</v>
      </c>
      <c r="H75" s="7">
        <v>1988.527</v>
      </c>
      <c r="I75" s="7">
        <v>1522.0039999999999</v>
      </c>
      <c r="J75" s="7" t="s">
        <v>6</v>
      </c>
      <c r="K75" s="7">
        <v>1325.8440000000001</v>
      </c>
      <c r="L75" s="7">
        <v>1498.752</v>
      </c>
      <c r="M75" s="7">
        <v>1281.9960000000001</v>
      </c>
      <c r="N75" s="7" t="s">
        <v>6</v>
      </c>
      <c r="O75" s="7">
        <v>1682.4929999999999</v>
      </c>
      <c r="P75" s="7">
        <v>1455.8340000000001</v>
      </c>
      <c r="R75" s="5">
        <f t="shared" si="4"/>
        <v>1648.8922499999999</v>
      </c>
      <c r="S75" s="5">
        <f t="shared" si="5"/>
        <v>65.493537682380676</v>
      </c>
      <c r="U75" s="7">
        <v>81.25</v>
      </c>
      <c r="V75" s="7">
        <v>1515.249</v>
      </c>
      <c r="W75" s="7">
        <v>1375.6510000000001</v>
      </c>
      <c r="X75" s="7">
        <v>1426.32</v>
      </c>
      <c r="Y75" s="7" t="s">
        <v>6</v>
      </c>
      <c r="Z75" s="7">
        <v>1546.4690000000001</v>
      </c>
      <c r="AA75" s="7">
        <v>1647.3040000000001</v>
      </c>
      <c r="AB75" s="7" t="s">
        <v>6</v>
      </c>
      <c r="AC75" s="7">
        <v>1684.7550000000001</v>
      </c>
      <c r="AD75" s="7">
        <v>1348.66</v>
      </c>
      <c r="AE75" s="7">
        <v>1798.204</v>
      </c>
      <c r="AF75" s="7" t="s">
        <v>6</v>
      </c>
      <c r="AG75" s="7">
        <v>1696.53</v>
      </c>
      <c r="AH75" s="7">
        <v>1615.3140000000001</v>
      </c>
      <c r="AI75" s="7">
        <v>1689.028</v>
      </c>
      <c r="AJ75" s="7">
        <v>1385.8209999999999</v>
      </c>
      <c r="AL75" s="6">
        <f t="shared" si="6"/>
        <v>1602.616</v>
      </c>
      <c r="AM75" s="6">
        <f t="shared" si="7"/>
        <v>64.169291604318019</v>
      </c>
    </row>
    <row r="76" spans="1:39" x14ac:dyDescent="0.2">
      <c r="A76" s="7">
        <v>82.5</v>
      </c>
      <c r="B76" s="7">
        <v>2211.4740000000002</v>
      </c>
      <c r="C76" s="7">
        <v>2301.5450000000001</v>
      </c>
      <c r="D76" s="7">
        <v>2108.1320000000001</v>
      </c>
      <c r="E76" s="7">
        <v>2133.3380000000002</v>
      </c>
      <c r="F76" s="7" t="s">
        <v>6</v>
      </c>
      <c r="G76" s="7">
        <v>2267.6190000000001</v>
      </c>
      <c r="H76" s="7">
        <v>2470.5790000000002</v>
      </c>
      <c r="I76" s="7">
        <v>1914.499</v>
      </c>
      <c r="J76" s="7" t="s">
        <v>6</v>
      </c>
      <c r="K76" s="7">
        <v>1634.796</v>
      </c>
      <c r="L76" s="7">
        <v>1889.7919999999999</v>
      </c>
      <c r="M76" s="7">
        <v>1577.3510000000001</v>
      </c>
      <c r="N76" s="7" t="s">
        <v>6</v>
      </c>
      <c r="O76" s="7">
        <v>2021.4190000000001</v>
      </c>
      <c r="P76" s="7">
        <v>1826.6020000000001</v>
      </c>
      <c r="R76" s="5">
        <f t="shared" si="4"/>
        <v>2029.7621666666666</v>
      </c>
      <c r="S76" s="5">
        <f t="shared" si="5"/>
        <v>78.312954153157108</v>
      </c>
      <c r="U76" s="7">
        <v>82.5</v>
      </c>
      <c r="V76" s="7">
        <v>1961.8820000000001</v>
      </c>
      <c r="W76" s="7">
        <v>1777.0609999999999</v>
      </c>
      <c r="X76" s="7">
        <v>1808.4870000000001</v>
      </c>
      <c r="Y76" s="7" t="s">
        <v>6</v>
      </c>
      <c r="Z76" s="7">
        <v>2106.3000000000002</v>
      </c>
      <c r="AA76" s="7">
        <v>2219.2750000000001</v>
      </c>
      <c r="AB76" s="7" t="s">
        <v>6</v>
      </c>
      <c r="AC76" s="7">
        <v>2159.6030000000001</v>
      </c>
      <c r="AD76" s="7">
        <v>1636.643</v>
      </c>
      <c r="AE76" s="7">
        <v>2254.085</v>
      </c>
      <c r="AF76" s="7" t="s">
        <v>6</v>
      </c>
      <c r="AG76" s="7">
        <v>2104.6619999999998</v>
      </c>
      <c r="AH76" s="7">
        <v>2033.364</v>
      </c>
      <c r="AI76" s="7">
        <v>2066.8620000000001</v>
      </c>
      <c r="AJ76" s="7">
        <v>1727.932</v>
      </c>
      <c r="AL76" s="6">
        <f t="shared" si="6"/>
        <v>1997.5930000000003</v>
      </c>
      <c r="AM76" s="6">
        <f t="shared" si="7"/>
        <v>86.269079759617767</v>
      </c>
    </row>
    <row r="77" spans="1:39" x14ac:dyDescent="0.2">
      <c r="A77" s="7">
        <v>83.75</v>
      </c>
      <c r="B77" s="7">
        <v>3210.306</v>
      </c>
      <c r="C77" s="7">
        <v>3318.0819999999999</v>
      </c>
      <c r="D77" s="7">
        <v>2771.3429999999998</v>
      </c>
      <c r="E77" s="7">
        <v>2832.4780000000001</v>
      </c>
      <c r="F77" s="7" t="s">
        <v>6</v>
      </c>
      <c r="G77" s="7">
        <v>3187.8040000000001</v>
      </c>
      <c r="H77" s="7">
        <v>3450.489</v>
      </c>
      <c r="I77" s="7">
        <v>2731.152</v>
      </c>
      <c r="J77" s="7" t="s">
        <v>6</v>
      </c>
      <c r="K77" s="7">
        <v>2271.828</v>
      </c>
      <c r="L77" s="7">
        <v>2703.6350000000002</v>
      </c>
      <c r="M77" s="7">
        <v>2223.1460000000002</v>
      </c>
      <c r="N77" s="7" t="s">
        <v>6</v>
      </c>
      <c r="O77" s="7">
        <v>2707.317</v>
      </c>
      <c r="P77" s="7">
        <v>2504.8339999999998</v>
      </c>
      <c r="R77" s="5">
        <f t="shared" si="4"/>
        <v>2826.0345000000002</v>
      </c>
      <c r="S77" s="5">
        <f t="shared" si="5"/>
        <v>114.33257976453446</v>
      </c>
      <c r="U77" s="7">
        <v>83.75</v>
      </c>
      <c r="V77" s="7">
        <v>2807.9589999999998</v>
      </c>
      <c r="W77" s="7">
        <v>2452.5219999999999</v>
      </c>
      <c r="X77" s="7">
        <v>2500.1559999999999</v>
      </c>
      <c r="Y77" s="7" t="s">
        <v>6</v>
      </c>
      <c r="Z77" s="7">
        <v>2911.7840000000001</v>
      </c>
      <c r="AA77" s="7">
        <v>3278.7469999999998</v>
      </c>
      <c r="AB77" s="7" t="s">
        <v>6</v>
      </c>
      <c r="AC77" s="7">
        <v>3071.768</v>
      </c>
      <c r="AD77" s="7">
        <v>2256.9340000000002</v>
      </c>
      <c r="AE77" s="7">
        <v>3203.806</v>
      </c>
      <c r="AF77" s="7" t="s">
        <v>6</v>
      </c>
      <c r="AG77" s="7">
        <v>3033.3760000000002</v>
      </c>
      <c r="AH77" s="7">
        <v>2897.9450000000002</v>
      </c>
      <c r="AI77" s="7">
        <v>2811.6</v>
      </c>
      <c r="AJ77" s="7">
        <v>2428.107</v>
      </c>
      <c r="AL77" s="6">
        <f t="shared" si="6"/>
        <v>2814.790857142857</v>
      </c>
      <c r="AM77" s="6">
        <f t="shared" si="7"/>
        <v>132.08970341985241</v>
      </c>
    </row>
    <row r="78" spans="1:39" x14ac:dyDescent="0.2">
      <c r="A78" s="7">
        <v>85</v>
      </c>
      <c r="B78" s="7">
        <v>4156.59</v>
      </c>
      <c r="C78" s="7">
        <v>4420.2169999999996</v>
      </c>
      <c r="D78" s="7">
        <v>3432.623</v>
      </c>
      <c r="E78" s="7">
        <v>3591.212</v>
      </c>
      <c r="F78" s="7" t="s">
        <v>6</v>
      </c>
      <c r="G78" s="7">
        <v>4227.4719999999998</v>
      </c>
      <c r="H78" s="7">
        <v>4489.5690000000004</v>
      </c>
      <c r="I78" s="7">
        <v>3609.0729999999999</v>
      </c>
      <c r="J78" s="7" t="s">
        <v>6</v>
      </c>
      <c r="K78" s="7">
        <v>2956.7649999999999</v>
      </c>
      <c r="L78" s="7">
        <v>3543.614</v>
      </c>
      <c r="M78" s="7">
        <v>2904.4670000000001</v>
      </c>
      <c r="N78" s="7" t="s">
        <v>6</v>
      </c>
      <c r="O78" s="7">
        <v>3411.5709999999999</v>
      </c>
      <c r="P78" s="7">
        <v>3151.3539999999998</v>
      </c>
      <c r="R78" s="5">
        <f t="shared" si="4"/>
        <v>3657.8772499999995</v>
      </c>
      <c r="S78" s="5">
        <f t="shared" si="5"/>
        <v>157.94766320065455</v>
      </c>
      <c r="U78" s="7">
        <v>85</v>
      </c>
      <c r="V78" s="7">
        <v>3647.2220000000002</v>
      </c>
      <c r="W78" s="7">
        <v>3097.6489999999999</v>
      </c>
      <c r="X78" s="7">
        <v>3196.1089999999999</v>
      </c>
      <c r="Y78" s="7" t="s">
        <v>6</v>
      </c>
      <c r="Z78" s="7">
        <v>3601.8270000000002</v>
      </c>
      <c r="AA78" s="7">
        <v>4338.3180000000002</v>
      </c>
      <c r="AB78" s="7" t="s">
        <v>6</v>
      </c>
      <c r="AC78" s="7">
        <v>4056.1219999999998</v>
      </c>
      <c r="AD78" s="7">
        <v>2860.576</v>
      </c>
      <c r="AE78" s="7">
        <v>4206.4539999999997</v>
      </c>
      <c r="AF78" s="7" t="s">
        <v>6</v>
      </c>
      <c r="AG78" s="7">
        <v>4095.268</v>
      </c>
      <c r="AH78" s="7">
        <v>3784.9810000000002</v>
      </c>
      <c r="AI78" s="7">
        <v>3570.0909999999999</v>
      </c>
      <c r="AJ78" s="7">
        <v>3187.0740000000001</v>
      </c>
      <c r="AL78" s="6">
        <f t="shared" si="6"/>
        <v>3680.0808571428574</v>
      </c>
      <c r="AM78" s="6">
        <f t="shared" si="7"/>
        <v>190.77547080477038</v>
      </c>
    </row>
    <row r="79" spans="1:39" x14ac:dyDescent="0.2">
      <c r="A79" s="7">
        <v>86.25</v>
      </c>
      <c r="B79" s="7">
        <v>4535.7610000000004</v>
      </c>
      <c r="C79" s="7">
        <v>4963.6930000000002</v>
      </c>
      <c r="D79" s="7">
        <v>3692.7979999999998</v>
      </c>
      <c r="E79" s="7">
        <v>3903.355</v>
      </c>
      <c r="F79" s="7" t="s">
        <v>6</v>
      </c>
      <c r="G79" s="7">
        <v>4725.6210000000001</v>
      </c>
      <c r="H79" s="7">
        <v>4974.4679999999998</v>
      </c>
      <c r="I79" s="7">
        <v>4078.8220000000001</v>
      </c>
      <c r="J79" s="7" t="s">
        <v>6</v>
      </c>
      <c r="K79" s="7">
        <v>3222.904</v>
      </c>
      <c r="L79" s="7">
        <v>4003.9720000000002</v>
      </c>
      <c r="M79" s="7">
        <v>3232.2950000000001</v>
      </c>
      <c r="N79" s="7" t="s">
        <v>6</v>
      </c>
      <c r="O79" s="7">
        <v>3653.768</v>
      </c>
      <c r="P79" s="7">
        <v>3399.9140000000002</v>
      </c>
      <c r="R79" s="5">
        <f t="shared" si="4"/>
        <v>4032.2809166666661</v>
      </c>
      <c r="S79" s="5">
        <f t="shared" si="5"/>
        <v>183.86680063961211</v>
      </c>
      <c r="U79" s="7">
        <v>86.25</v>
      </c>
      <c r="V79" s="7">
        <v>3957.1840000000002</v>
      </c>
      <c r="W79" s="7">
        <v>3366.8850000000002</v>
      </c>
      <c r="X79" s="7">
        <v>3499.6509999999998</v>
      </c>
      <c r="Y79" s="7" t="s">
        <v>6</v>
      </c>
      <c r="Z79" s="7">
        <v>3817.1909999999998</v>
      </c>
      <c r="AA79" s="7">
        <v>4817.9549999999999</v>
      </c>
      <c r="AB79" s="7" t="s">
        <v>6</v>
      </c>
      <c r="AC79" s="7">
        <v>4635.0060000000003</v>
      </c>
      <c r="AD79" s="7">
        <v>3094.83</v>
      </c>
      <c r="AE79" s="7">
        <v>4676.5249999999996</v>
      </c>
      <c r="AF79" s="7" t="s">
        <v>6</v>
      </c>
      <c r="AG79" s="7">
        <v>4665.9309999999996</v>
      </c>
      <c r="AH79" s="7">
        <v>4187.4170000000004</v>
      </c>
      <c r="AI79" s="7">
        <v>3871.0740000000001</v>
      </c>
      <c r="AJ79" s="7">
        <v>3583.5819999999999</v>
      </c>
      <c r="AL79" s="6">
        <f t="shared" si="6"/>
        <v>4102.0521428571428</v>
      </c>
      <c r="AM79" s="6">
        <f t="shared" si="7"/>
        <v>232.78664042723932</v>
      </c>
    </row>
    <row r="80" spans="1:39" x14ac:dyDescent="0.2">
      <c r="A80" s="7">
        <v>87.5</v>
      </c>
      <c r="B80" s="7">
        <v>4178.5069999999996</v>
      </c>
      <c r="C80" s="7">
        <v>4704.0360000000001</v>
      </c>
      <c r="D80" s="7">
        <v>3385.6579999999999</v>
      </c>
      <c r="E80" s="7">
        <v>3612.5720000000001</v>
      </c>
      <c r="F80" s="7" t="s">
        <v>6</v>
      </c>
      <c r="G80" s="7">
        <v>4439.3739999999998</v>
      </c>
      <c r="H80" s="7">
        <v>4705.799</v>
      </c>
      <c r="I80" s="7">
        <v>3849.8649999999998</v>
      </c>
      <c r="J80" s="7" t="s">
        <v>6</v>
      </c>
      <c r="K80" s="7">
        <v>2952.047</v>
      </c>
      <c r="L80" s="7">
        <v>3805.3530000000001</v>
      </c>
      <c r="M80" s="7">
        <v>3017.42</v>
      </c>
      <c r="N80" s="7" t="s">
        <v>6</v>
      </c>
      <c r="O80" s="7">
        <v>3347.9780000000001</v>
      </c>
      <c r="P80" s="7">
        <v>3126.7330000000002</v>
      </c>
      <c r="R80" s="5">
        <f t="shared" si="4"/>
        <v>3760.4451666666664</v>
      </c>
      <c r="S80" s="5">
        <f t="shared" si="5"/>
        <v>181.93897515679291</v>
      </c>
      <c r="U80" s="7">
        <v>87.5</v>
      </c>
      <c r="V80" s="7">
        <v>3648.5740000000001</v>
      </c>
      <c r="W80" s="7">
        <v>3107.953</v>
      </c>
      <c r="X80" s="7">
        <v>3233.683</v>
      </c>
      <c r="Y80" s="7" t="s">
        <v>6</v>
      </c>
      <c r="Z80" s="7">
        <v>3430.9769999999999</v>
      </c>
      <c r="AA80" s="7">
        <v>4502.0879999999997</v>
      </c>
      <c r="AB80" s="7" t="s">
        <v>6</v>
      </c>
      <c r="AC80" s="7">
        <v>4444.6989999999996</v>
      </c>
      <c r="AD80" s="7">
        <v>2816.7</v>
      </c>
      <c r="AE80" s="7">
        <v>4420.3379999999997</v>
      </c>
      <c r="AF80" s="7" t="s">
        <v>6</v>
      </c>
      <c r="AG80" s="7">
        <v>4483.0879999999997</v>
      </c>
      <c r="AH80" s="7">
        <v>3915.2640000000001</v>
      </c>
      <c r="AI80" s="7">
        <v>3574.8220000000001</v>
      </c>
      <c r="AJ80" s="7">
        <v>3387.616</v>
      </c>
      <c r="AL80" s="6">
        <f t="shared" si="6"/>
        <v>3863.218142857143</v>
      </c>
      <c r="AM80" s="6">
        <f t="shared" si="7"/>
        <v>241.03052021332411</v>
      </c>
    </row>
    <row r="81" spans="1:39" x14ac:dyDescent="0.2">
      <c r="A81" s="7">
        <v>88.75</v>
      </c>
      <c r="B81" s="7">
        <v>3428.0909999999999</v>
      </c>
      <c r="C81" s="7">
        <v>3905.1959999999999</v>
      </c>
      <c r="D81" s="7">
        <v>2839.9140000000002</v>
      </c>
      <c r="E81" s="7">
        <v>3012.0160000000001</v>
      </c>
      <c r="F81" s="7" t="s">
        <v>6</v>
      </c>
      <c r="G81" s="7">
        <v>3734.6469999999999</v>
      </c>
      <c r="H81" s="7">
        <v>3978.366</v>
      </c>
      <c r="I81" s="7">
        <v>3202.66</v>
      </c>
      <c r="J81" s="7" t="s">
        <v>6</v>
      </c>
      <c r="K81" s="7">
        <v>2430.1129999999998</v>
      </c>
      <c r="L81" s="7">
        <v>3190.4189999999999</v>
      </c>
      <c r="M81" s="7">
        <v>2483.098</v>
      </c>
      <c r="N81" s="7" t="s">
        <v>6</v>
      </c>
      <c r="O81" s="7">
        <v>2776.6019999999999</v>
      </c>
      <c r="P81" s="7">
        <v>2602.5</v>
      </c>
      <c r="R81" s="5">
        <f t="shared" si="4"/>
        <v>3131.9685000000004</v>
      </c>
      <c r="S81" s="5">
        <f t="shared" si="5"/>
        <v>155.54240133551838</v>
      </c>
      <c r="U81" s="7">
        <v>88.75</v>
      </c>
      <c r="V81" s="7">
        <v>2987.0680000000002</v>
      </c>
      <c r="W81" s="7">
        <v>2578.1179999999999</v>
      </c>
      <c r="X81" s="7">
        <v>2685.596</v>
      </c>
      <c r="Y81" s="7" t="s">
        <v>6</v>
      </c>
      <c r="Z81" s="7">
        <v>2832.5540000000001</v>
      </c>
      <c r="AA81" s="7">
        <v>3738.3270000000002</v>
      </c>
      <c r="AB81" s="7" t="s">
        <v>6</v>
      </c>
      <c r="AC81" s="7">
        <v>3699.7640000000001</v>
      </c>
      <c r="AD81" s="7">
        <v>2303.886</v>
      </c>
      <c r="AE81" s="7">
        <v>3728.2020000000002</v>
      </c>
      <c r="AF81" s="7" t="s">
        <v>6</v>
      </c>
      <c r="AG81" s="7">
        <v>3786.35</v>
      </c>
      <c r="AH81" s="7">
        <v>3245.181</v>
      </c>
      <c r="AI81" s="7">
        <v>2950.3409999999999</v>
      </c>
      <c r="AJ81" s="7">
        <v>2810.806</v>
      </c>
      <c r="AL81" s="6">
        <f t="shared" si="6"/>
        <v>3217.79</v>
      </c>
      <c r="AM81" s="6">
        <f t="shared" si="7"/>
        <v>212.08800688876289</v>
      </c>
    </row>
    <row r="82" spans="1:39" x14ac:dyDescent="0.2">
      <c r="A82" s="7">
        <v>90</v>
      </c>
      <c r="B82" s="7">
        <v>3052.8069999999998</v>
      </c>
      <c r="C82" s="7">
        <v>3410.2959999999998</v>
      </c>
      <c r="D82" s="7">
        <v>2531.7060000000001</v>
      </c>
      <c r="E82" s="7">
        <v>2691.797</v>
      </c>
      <c r="F82" s="7" t="s">
        <v>6</v>
      </c>
      <c r="G82" s="7">
        <v>3323.8409999999999</v>
      </c>
      <c r="H82" s="7">
        <v>3492.076</v>
      </c>
      <c r="I82" s="7">
        <v>2788.0279999999998</v>
      </c>
      <c r="J82" s="7" t="s">
        <v>6</v>
      </c>
      <c r="K82" s="7">
        <v>2148.8960000000002</v>
      </c>
      <c r="L82" s="7">
        <v>2801.5230000000001</v>
      </c>
      <c r="M82" s="7">
        <v>2174.797</v>
      </c>
      <c r="N82" s="7" t="s">
        <v>6</v>
      </c>
      <c r="O82" s="7">
        <v>2453.576</v>
      </c>
      <c r="P82" s="7">
        <v>2338.145</v>
      </c>
      <c r="R82" s="5">
        <f t="shared" si="4"/>
        <v>2767.2906666666663</v>
      </c>
      <c r="S82" s="5">
        <f t="shared" si="5"/>
        <v>135.08926372286925</v>
      </c>
      <c r="U82" s="7">
        <v>90</v>
      </c>
      <c r="V82" s="7">
        <v>2645.259</v>
      </c>
      <c r="W82" s="7">
        <v>2282.9430000000002</v>
      </c>
      <c r="X82" s="7">
        <v>2413.81</v>
      </c>
      <c r="Y82" s="7" t="s">
        <v>6</v>
      </c>
      <c r="Z82" s="7">
        <v>2606.3020000000001</v>
      </c>
      <c r="AA82" s="7">
        <v>3292.0430000000001</v>
      </c>
      <c r="AB82" s="7" t="s">
        <v>6</v>
      </c>
      <c r="AC82" s="7">
        <v>3160.2910000000002</v>
      </c>
      <c r="AD82" s="7">
        <v>2045.3710000000001</v>
      </c>
      <c r="AE82" s="7">
        <v>3217.8919999999998</v>
      </c>
      <c r="AF82" s="7" t="s">
        <v>6</v>
      </c>
      <c r="AG82" s="7">
        <v>3256.471</v>
      </c>
      <c r="AH82" s="7">
        <v>2874.2530000000002</v>
      </c>
      <c r="AI82" s="7">
        <v>2549.5219999999999</v>
      </c>
      <c r="AJ82" s="7">
        <v>2456.6419999999998</v>
      </c>
      <c r="AL82" s="6">
        <f t="shared" si="6"/>
        <v>2794.348857142857</v>
      </c>
      <c r="AM82" s="6">
        <f t="shared" si="7"/>
        <v>173.76762908680419</v>
      </c>
    </row>
    <row r="83" spans="1:39" x14ac:dyDescent="0.2">
      <c r="A83" s="7">
        <v>91.25</v>
      </c>
      <c r="B83" s="7">
        <v>3242.8339999999998</v>
      </c>
      <c r="C83" s="7">
        <v>3590.6239999999998</v>
      </c>
      <c r="D83" s="7">
        <v>2545.6210000000001</v>
      </c>
      <c r="E83" s="7">
        <v>2719.6880000000001</v>
      </c>
      <c r="F83" s="7" t="s">
        <v>6</v>
      </c>
      <c r="G83" s="7">
        <v>3436.319</v>
      </c>
      <c r="H83" s="7">
        <v>3597.0160000000001</v>
      </c>
      <c r="I83" s="7">
        <v>2919.2429999999999</v>
      </c>
      <c r="J83" s="7" t="s">
        <v>6</v>
      </c>
      <c r="K83" s="7">
        <v>2225.0920000000001</v>
      </c>
      <c r="L83" s="7">
        <v>2930.5349999999999</v>
      </c>
      <c r="M83" s="7">
        <v>2270.5929999999998</v>
      </c>
      <c r="N83" s="7" t="s">
        <v>6</v>
      </c>
      <c r="O83" s="7">
        <v>2496.328</v>
      </c>
      <c r="P83" s="7">
        <v>2452.41</v>
      </c>
      <c r="R83" s="5">
        <f t="shared" si="4"/>
        <v>2868.8585833333332</v>
      </c>
      <c r="S83" s="5">
        <f t="shared" si="5"/>
        <v>143.82939243752099</v>
      </c>
      <c r="U83" s="7">
        <v>91.25</v>
      </c>
      <c r="V83" s="7">
        <v>2779.8829999999998</v>
      </c>
      <c r="W83" s="7">
        <v>2345.5050000000001</v>
      </c>
      <c r="X83" s="7">
        <v>2503.279</v>
      </c>
      <c r="Y83" s="7" t="s">
        <v>6</v>
      </c>
      <c r="Z83" s="7">
        <v>2716.03</v>
      </c>
      <c r="AA83" s="7">
        <v>3470.4769999999999</v>
      </c>
      <c r="AB83" s="7" t="s">
        <v>6</v>
      </c>
      <c r="AC83" s="7">
        <v>3300.1950000000002</v>
      </c>
      <c r="AD83" s="7">
        <v>2090.9609999999998</v>
      </c>
      <c r="AE83" s="7">
        <v>3300.25</v>
      </c>
      <c r="AF83" s="7" t="s">
        <v>6</v>
      </c>
      <c r="AG83" s="7">
        <v>3350.8139999999999</v>
      </c>
      <c r="AH83" s="7">
        <v>3043.4369999999999</v>
      </c>
      <c r="AI83" s="7">
        <v>2591.9349999999999</v>
      </c>
      <c r="AJ83" s="7">
        <v>2543.2359999999999</v>
      </c>
      <c r="AL83" s="6">
        <f t="shared" si="6"/>
        <v>2888.6897142857147</v>
      </c>
      <c r="AM83" s="6">
        <f t="shared" si="7"/>
        <v>183.87345399896651</v>
      </c>
    </row>
    <row r="84" spans="1:39" x14ac:dyDescent="0.2">
      <c r="A84" s="7">
        <v>92.5</v>
      </c>
      <c r="B84" s="7">
        <v>3557.0740000000001</v>
      </c>
      <c r="C84" s="7">
        <v>3927.48</v>
      </c>
      <c r="D84" s="7">
        <v>2747.4720000000002</v>
      </c>
      <c r="E84" s="7">
        <v>2883.067</v>
      </c>
      <c r="F84" s="7" t="s">
        <v>6</v>
      </c>
      <c r="G84" s="7">
        <v>3735.5520000000001</v>
      </c>
      <c r="H84" s="7">
        <v>3900.6239999999998</v>
      </c>
      <c r="I84" s="7">
        <v>3210.3159999999998</v>
      </c>
      <c r="J84" s="7" t="s">
        <v>6</v>
      </c>
      <c r="K84" s="7">
        <v>2417.2919999999999</v>
      </c>
      <c r="L84" s="7">
        <v>3227.04</v>
      </c>
      <c r="M84" s="7">
        <v>2496.2759999999998</v>
      </c>
      <c r="N84" s="7" t="s">
        <v>6</v>
      </c>
      <c r="O84" s="7">
        <v>2733.3470000000002</v>
      </c>
      <c r="P84" s="7">
        <v>2679.3980000000001</v>
      </c>
      <c r="R84" s="5">
        <f t="shared" si="4"/>
        <v>3126.2448333333336</v>
      </c>
      <c r="S84" s="5">
        <f t="shared" si="5"/>
        <v>157.43823886753043</v>
      </c>
      <c r="U84" s="7">
        <v>92.5</v>
      </c>
      <c r="V84" s="7">
        <v>3011.982</v>
      </c>
      <c r="W84" s="7">
        <v>2507.6860000000001</v>
      </c>
      <c r="X84" s="7">
        <v>2690.3139999999999</v>
      </c>
      <c r="Y84" s="7" t="s">
        <v>6</v>
      </c>
      <c r="Z84" s="7">
        <v>2929.585</v>
      </c>
      <c r="AA84" s="7">
        <v>3805.8420000000001</v>
      </c>
      <c r="AB84" s="7" t="s">
        <v>6</v>
      </c>
      <c r="AC84" s="7">
        <v>3671.37</v>
      </c>
      <c r="AD84" s="7">
        <v>2268.5590000000002</v>
      </c>
      <c r="AE84" s="7">
        <v>3657.72</v>
      </c>
      <c r="AF84" s="7" t="s">
        <v>6</v>
      </c>
      <c r="AG84" s="7">
        <v>3732.2020000000002</v>
      </c>
      <c r="AH84" s="7">
        <v>3333.33</v>
      </c>
      <c r="AI84" s="7">
        <v>2835.1970000000001</v>
      </c>
      <c r="AJ84" s="7">
        <v>2795.6669999999999</v>
      </c>
      <c r="AL84" s="6">
        <f t="shared" si="6"/>
        <v>3184.863571428571</v>
      </c>
      <c r="AM84" s="6">
        <f t="shared" si="7"/>
        <v>212.42691140235905</v>
      </c>
    </row>
    <row r="85" spans="1:39" x14ac:dyDescent="0.2">
      <c r="A85" s="7">
        <v>93.75</v>
      </c>
      <c r="B85" s="7">
        <v>3766.8110000000001</v>
      </c>
      <c r="C85" s="7">
        <v>4192.0240000000003</v>
      </c>
      <c r="D85" s="7">
        <v>3082.4070000000002</v>
      </c>
      <c r="E85" s="7">
        <v>3213.4430000000002</v>
      </c>
      <c r="F85" s="7" t="s">
        <v>6</v>
      </c>
      <c r="G85" s="7">
        <v>4020.299</v>
      </c>
      <c r="H85" s="7">
        <v>4183.0929999999998</v>
      </c>
      <c r="I85" s="7">
        <v>3462.4520000000002</v>
      </c>
      <c r="J85" s="7" t="s">
        <v>6</v>
      </c>
      <c r="K85" s="7">
        <v>2668.634</v>
      </c>
      <c r="L85" s="7">
        <v>3461.9850000000001</v>
      </c>
      <c r="M85" s="7">
        <v>2719.002</v>
      </c>
      <c r="N85" s="7" t="s">
        <v>6</v>
      </c>
      <c r="O85" s="7">
        <v>3076.8130000000001</v>
      </c>
      <c r="P85" s="7">
        <v>2900.462</v>
      </c>
      <c r="R85" s="5">
        <f t="shared" si="4"/>
        <v>3395.6187500000001</v>
      </c>
      <c r="S85" s="5">
        <f t="shared" si="5"/>
        <v>157.04856542156438</v>
      </c>
      <c r="U85" s="7">
        <v>93.75</v>
      </c>
      <c r="V85" s="7">
        <v>3214.79</v>
      </c>
      <c r="W85" s="7">
        <v>2706.9119999999998</v>
      </c>
      <c r="X85" s="7">
        <v>2883.5459999999998</v>
      </c>
      <c r="Y85" s="7" t="s">
        <v>6</v>
      </c>
      <c r="Z85" s="7">
        <v>3171.18</v>
      </c>
      <c r="AA85" s="7">
        <v>4069.7809999999999</v>
      </c>
      <c r="AB85" s="7" t="s">
        <v>6</v>
      </c>
      <c r="AC85" s="7">
        <v>3941.5909999999999</v>
      </c>
      <c r="AD85" s="7">
        <v>2511.855</v>
      </c>
      <c r="AE85" s="7">
        <v>3996.0120000000002</v>
      </c>
      <c r="AF85" s="7" t="s">
        <v>6</v>
      </c>
      <c r="AG85" s="7">
        <v>4052.0529999999999</v>
      </c>
      <c r="AH85" s="7">
        <v>3588.5030000000002</v>
      </c>
      <c r="AI85" s="7">
        <v>3171.9209999999998</v>
      </c>
      <c r="AJ85" s="7">
        <v>3029.9090000000001</v>
      </c>
      <c r="AL85" s="6">
        <f t="shared" si="6"/>
        <v>3470.263428571428</v>
      </c>
      <c r="AM85" s="6">
        <f t="shared" si="7"/>
        <v>221.06279462480043</v>
      </c>
    </row>
    <row r="86" spans="1:39" x14ac:dyDescent="0.2">
      <c r="A86" s="7">
        <v>95</v>
      </c>
      <c r="B86" s="7">
        <v>3790.741</v>
      </c>
      <c r="C86" s="7">
        <v>4256.875</v>
      </c>
      <c r="D86" s="7">
        <v>3419.3020000000001</v>
      </c>
      <c r="E86" s="7">
        <v>3545.7910000000002</v>
      </c>
      <c r="F86" s="7" t="s">
        <v>6</v>
      </c>
      <c r="G86" s="7">
        <v>4136.6229999999996</v>
      </c>
      <c r="H86" s="7">
        <v>4311.5940000000001</v>
      </c>
      <c r="I86" s="7">
        <v>3547.0059999999999</v>
      </c>
      <c r="J86" s="7" t="s">
        <v>6</v>
      </c>
      <c r="K86" s="7">
        <v>2845.1179999999999</v>
      </c>
      <c r="L86" s="7">
        <v>3531.5430000000001</v>
      </c>
      <c r="M86" s="7">
        <v>2837.8870000000002</v>
      </c>
      <c r="N86" s="7" t="s">
        <v>6</v>
      </c>
      <c r="O86" s="7">
        <v>3366.8960000000002</v>
      </c>
      <c r="P86" s="7">
        <v>3032.2440000000001</v>
      </c>
      <c r="R86" s="5">
        <f t="shared" si="4"/>
        <v>3551.8016666666667</v>
      </c>
      <c r="S86" s="5">
        <f t="shared" si="5"/>
        <v>145.76737186489584</v>
      </c>
      <c r="U86" s="7">
        <v>95</v>
      </c>
      <c r="V86" s="7">
        <v>3274.2139999999999</v>
      </c>
      <c r="W86" s="7">
        <v>2876.2069999999999</v>
      </c>
      <c r="X86" s="7">
        <v>3000.049</v>
      </c>
      <c r="Y86" s="7" t="s">
        <v>6</v>
      </c>
      <c r="Z86" s="7">
        <v>3344.0889999999999</v>
      </c>
      <c r="AA86" s="7">
        <v>4141.317</v>
      </c>
      <c r="AB86" s="7" t="s">
        <v>6</v>
      </c>
      <c r="AC86" s="7">
        <v>4003.6019999999999</v>
      </c>
      <c r="AD86" s="7">
        <v>2721.1889999999999</v>
      </c>
      <c r="AE86" s="7">
        <v>4118.0739999999996</v>
      </c>
      <c r="AF86" s="7" t="s">
        <v>6</v>
      </c>
      <c r="AG86" s="7">
        <v>4124.8100000000004</v>
      </c>
      <c r="AH86" s="7">
        <v>3706.1109999999999</v>
      </c>
      <c r="AI86" s="7">
        <v>3447.5439999999999</v>
      </c>
      <c r="AJ86" s="7">
        <v>3142.1</v>
      </c>
      <c r="AL86" s="6">
        <f t="shared" si="6"/>
        <v>3609.0614285714287</v>
      </c>
      <c r="AM86" s="6">
        <f t="shared" si="7"/>
        <v>202.52157871762421</v>
      </c>
    </row>
    <row r="87" spans="1:39" x14ac:dyDescent="0.2">
      <c r="A87" s="7">
        <v>96.25</v>
      </c>
      <c r="B87" s="7">
        <v>3740.9119999999998</v>
      </c>
      <c r="C87" s="7">
        <v>4214.6090000000004</v>
      </c>
      <c r="D87" s="7">
        <v>3702.8989999999999</v>
      </c>
      <c r="E87" s="7">
        <v>3795.2719999999999</v>
      </c>
      <c r="F87" s="7" t="s">
        <v>6</v>
      </c>
      <c r="G87" s="7">
        <v>4082.5189999999998</v>
      </c>
      <c r="H87" s="7">
        <v>4292.6580000000004</v>
      </c>
      <c r="I87" s="7">
        <v>3495.7840000000001</v>
      </c>
      <c r="J87" s="7" t="s">
        <v>6</v>
      </c>
      <c r="K87" s="7">
        <v>2924.788</v>
      </c>
      <c r="L87" s="7">
        <v>3456.7060000000001</v>
      </c>
      <c r="M87" s="7">
        <v>2875.9969999999998</v>
      </c>
      <c r="N87" s="7" t="s">
        <v>6</v>
      </c>
      <c r="O87" s="7">
        <v>3577.4050000000002</v>
      </c>
      <c r="P87" s="7">
        <v>3091.3989999999999</v>
      </c>
      <c r="R87" s="5">
        <f t="shared" si="4"/>
        <v>3604.2456666666662</v>
      </c>
      <c r="S87" s="5">
        <f t="shared" si="5"/>
        <v>135.66263861697678</v>
      </c>
      <c r="U87" s="7">
        <v>96.25</v>
      </c>
      <c r="V87" s="7">
        <v>3205.6469999999999</v>
      </c>
      <c r="W87" s="7">
        <v>2976.26</v>
      </c>
      <c r="X87" s="7">
        <v>3058.7869999999998</v>
      </c>
      <c r="Y87" s="7" t="s">
        <v>6</v>
      </c>
      <c r="Z87" s="7">
        <v>3442.009</v>
      </c>
      <c r="AA87" s="7">
        <v>4085.7559999999999</v>
      </c>
      <c r="AB87" s="7" t="s">
        <v>6</v>
      </c>
      <c r="AC87" s="7">
        <v>3901.078</v>
      </c>
      <c r="AD87" s="7">
        <v>2836.6660000000002</v>
      </c>
      <c r="AE87" s="7">
        <v>4020.3130000000001</v>
      </c>
      <c r="AF87" s="7" t="s">
        <v>6</v>
      </c>
      <c r="AG87" s="7">
        <v>4019.8560000000002</v>
      </c>
      <c r="AH87" s="7">
        <v>3663.2420000000002</v>
      </c>
      <c r="AI87" s="7">
        <v>3594.982</v>
      </c>
      <c r="AJ87" s="7">
        <v>3112.25</v>
      </c>
      <c r="AL87" s="6">
        <f t="shared" si="6"/>
        <v>3592.6267142857141</v>
      </c>
      <c r="AM87" s="6">
        <f t="shared" si="7"/>
        <v>173.74126030348594</v>
      </c>
    </row>
    <row r="88" spans="1:39" x14ac:dyDescent="0.2">
      <c r="A88" s="7">
        <v>97.5</v>
      </c>
      <c r="B88" s="7">
        <v>3861.1439999999998</v>
      </c>
      <c r="C88" s="7">
        <v>4289.9430000000002</v>
      </c>
      <c r="D88" s="7">
        <v>4069.7559999999999</v>
      </c>
      <c r="E88" s="7">
        <v>4133.8900000000003</v>
      </c>
      <c r="F88" s="7" t="s">
        <v>6</v>
      </c>
      <c r="G88" s="7">
        <v>4153.4290000000001</v>
      </c>
      <c r="H88" s="7">
        <v>4415.7359999999999</v>
      </c>
      <c r="I88" s="7">
        <v>3514.3020000000001</v>
      </c>
      <c r="J88" s="7" t="s">
        <v>6</v>
      </c>
      <c r="K88" s="7">
        <v>3078.3409999999999</v>
      </c>
      <c r="L88" s="7">
        <v>3451.3980000000001</v>
      </c>
      <c r="M88" s="7">
        <v>2994.837</v>
      </c>
      <c r="N88" s="7" t="s">
        <v>6</v>
      </c>
      <c r="O88" s="7">
        <v>3881.8240000000001</v>
      </c>
      <c r="P88" s="7">
        <v>3236.6840000000002</v>
      </c>
      <c r="R88" s="5">
        <f t="shared" si="4"/>
        <v>3756.7736666666665</v>
      </c>
      <c r="S88" s="5">
        <f t="shared" si="5"/>
        <v>140.50504697952073</v>
      </c>
      <c r="U88" s="7">
        <v>97.5</v>
      </c>
      <c r="V88" s="7">
        <v>3258.8009999999999</v>
      </c>
      <c r="W88" s="7">
        <v>3146.9090000000001</v>
      </c>
      <c r="X88" s="7">
        <v>3201.556</v>
      </c>
      <c r="Y88" s="7" t="s">
        <v>6</v>
      </c>
      <c r="Z88" s="7">
        <v>3641.2249999999999</v>
      </c>
      <c r="AA88" s="7">
        <v>4118.9030000000002</v>
      </c>
      <c r="AB88" s="7" t="s">
        <v>6</v>
      </c>
      <c r="AC88" s="7">
        <v>3841.8919999999998</v>
      </c>
      <c r="AD88" s="7">
        <v>3015.0169999999998</v>
      </c>
      <c r="AE88" s="7">
        <v>3982.2080000000001</v>
      </c>
      <c r="AF88" s="7" t="s">
        <v>6</v>
      </c>
      <c r="AG88" s="7">
        <v>3979.0909999999999</v>
      </c>
      <c r="AH88" s="7">
        <v>3696.8040000000001</v>
      </c>
      <c r="AI88" s="7">
        <v>3811.9789999999998</v>
      </c>
      <c r="AJ88" s="7">
        <v>3133.875</v>
      </c>
      <c r="AL88" s="6">
        <f t="shared" si="6"/>
        <v>3637.2665714285718</v>
      </c>
      <c r="AM88" s="6">
        <f t="shared" si="7"/>
        <v>150.58353452626159</v>
      </c>
    </row>
    <row r="89" spans="1:39" x14ac:dyDescent="0.2">
      <c r="A89" s="7">
        <v>98.75</v>
      </c>
      <c r="B89" s="7">
        <v>4147.9759999999997</v>
      </c>
      <c r="C89" s="7">
        <v>4578.0420000000004</v>
      </c>
      <c r="D89" s="7">
        <v>4333.8770000000004</v>
      </c>
      <c r="E89" s="7">
        <v>4435.5079999999998</v>
      </c>
      <c r="F89" s="7" t="s">
        <v>6</v>
      </c>
      <c r="G89" s="7">
        <v>4378.4669999999996</v>
      </c>
      <c r="H89" s="7">
        <v>4697.174</v>
      </c>
      <c r="I89" s="7">
        <v>3729.65</v>
      </c>
      <c r="J89" s="7" t="s">
        <v>6</v>
      </c>
      <c r="K89" s="7">
        <v>3294.4839999999999</v>
      </c>
      <c r="L89" s="7">
        <v>3599.6660000000002</v>
      </c>
      <c r="M89" s="7">
        <v>3184.3119999999999</v>
      </c>
      <c r="N89" s="7" t="s">
        <v>6</v>
      </c>
      <c r="O89" s="7">
        <v>4142.7749999999996</v>
      </c>
      <c r="P89" s="7">
        <v>3456.6529999999998</v>
      </c>
      <c r="R89" s="5">
        <f t="shared" si="4"/>
        <v>3998.2153333333331</v>
      </c>
      <c r="S89" s="5">
        <f t="shared" si="5"/>
        <v>150.71767687459553</v>
      </c>
      <c r="U89" s="7">
        <v>98.75</v>
      </c>
      <c r="V89" s="7">
        <v>3514.3829999999998</v>
      </c>
      <c r="W89" s="7">
        <v>3369.29</v>
      </c>
      <c r="X89" s="7">
        <v>3415.7240000000002</v>
      </c>
      <c r="Y89" s="7" t="s">
        <v>6</v>
      </c>
      <c r="Z89" s="7">
        <v>3867.4389999999999</v>
      </c>
      <c r="AA89" s="7">
        <v>4357.134</v>
      </c>
      <c r="AB89" s="7" t="s">
        <v>6</v>
      </c>
      <c r="AC89" s="7">
        <v>3997.3809999999999</v>
      </c>
      <c r="AD89" s="7">
        <v>3221.9690000000001</v>
      </c>
      <c r="AE89" s="7">
        <v>4182.6279999999997</v>
      </c>
      <c r="AF89" s="7" t="s">
        <v>6</v>
      </c>
      <c r="AG89" s="7">
        <v>4112.7489999999998</v>
      </c>
      <c r="AH89" s="7">
        <v>3910.98</v>
      </c>
      <c r="AI89" s="7">
        <v>4053.0720000000001</v>
      </c>
      <c r="AJ89" s="7">
        <v>3319.5529999999999</v>
      </c>
      <c r="AL89" s="6">
        <f t="shared" si="6"/>
        <v>3828.3331428571428</v>
      </c>
      <c r="AM89" s="6">
        <f t="shared" si="7"/>
        <v>147.91142523329361</v>
      </c>
    </row>
    <row r="90" spans="1:39" x14ac:dyDescent="0.2">
      <c r="A90" s="7">
        <v>100</v>
      </c>
      <c r="B90" s="7">
        <v>4270.0619999999999</v>
      </c>
      <c r="C90" s="7">
        <v>4712.4530000000004</v>
      </c>
      <c r="D90" s="7">
        <v>4374.4690000000001</v>
      </c>
      <c r="E90" s="7">
        <v>4487.665</v>
      </c>
      <c r="F90" s="7" t="s">
        <v>6</v>
      </c>
      <c r="G90" s="7">
        <v>4477.1059999999998</v>
      </c>
      <c r="H90" s="7">
        <v>4819.34</v>
      </c>
      <c r="I90" s="7">
        <v>3816.1410000000001</v>
      </c>
      <c r="J90" s="7" t="s">
        <v>6</v>
      </c>
      <c r="K90" s="7">
        <v>3350.3780000000002</v>
      </c>
      <c r="L90" s="7">
        <v>3666.0880000000002</v>
      </c>
      <c r="M90" s="7">
        <v>3228.5509999999999</v>
      </c>
      <c r="N90" s="7" t="s">
        <v>6</v>
      </c>
      <c r="O90" s="7">
        <v>4205.9610000000002</v>
      </c>
      <c r="P90" s="7">
        <v>3549.3139999999999</v>
      </c>
      <c r="R90" s="5">
        <f t="shared" si="4"/>
        <v>4079.7940000000003</v>
      </c>
      <c r="S90" s="5">
        <f t="shared" si="5"/>
        <v>155.43418145852453</v>
      </c>
      <c r="U90" s="7">
        <v>100</v>
      </c>
      <c r="V90" s="7">
        <v>3647.337</v>
      </c>
      <c r="W90" s="7">
        <v>3454.3159999999998</v>
      </c>
      <c r="X90" s="7">
        <v>3489.2429999999999</v>
      </c>
      <c r="Y90" s="7" t="s">
        <v>6</v>
      </c>
      <c r="Z90" s="7">
        <v>3936.3090000000002</v>
      </c>
      <c r="AA90" s="7">
        <v>4434.8509999999997</v>
      </c>
      <c r="AB90" s="7" t="s">
        <v>6</v>
      </c>
      <c r="AC90" s="7">
        <v>4146.8050000000003</v>
      </c>
      <c r="AD90" s="7">
        <v>3274.58</v>
      </c>
      <c r="AE90" s="7">
        <v>4320.268</v>
      </c>
      <c r="AF90" s="7" t="s">
        <v>6</v>
      </c>
      <c r="AG90" s="7">
        <v>4217.99</v>
      </c>
      <c r="AH90" s="7">
        <v>4006.703</v>
      </c>
      <c r="AI90" s="7">
        <v>4129.1729999999998</v>
      </c>
      <c r="AJ90" s="7">
        <v>3422.3240000000001</v>
      </c>
      <c r="AL90" s="6">
        <f t="shared" si="6"/>
        <v>3931.1204285714289</v>
      </c>
      <c r="AM90" s="6">
        <f t="shared" si="7"/>
        <v>155.46447335260464</v>
      </c>
    </row>
    <row r="91" spans="1:39" x14ac:dyDescent="0.2">
      <c r="A91" s="7">
        <v>101.25</v>
      </c>
      <c r="B91" s="7">
        <v>4194.9960000000001</v>
      </c>
      <c r="C91" s="7">
        <v>4679.4930000000004</v>
      </c>
      <c r="D91" s="7">
        <v>4263.3829999999998</v>
      </c>
      <c r="E91" s="7">
        <v>4390.3620000000001</v>
      </c>
      <c r="F91" s="7" t="s">
        <v>6</v>
      </c>
      <c r="G91" s="7">
        <v>4402.3620000000001</v>
      </c>
      <c r="H91" s="7">
        <v>4722.7150000000001</v>
      </c>
      <c r="I91" s="7">
        <v>3751.0940000000001</v>
      </c>
      <c r="J91" s="7" t="s">
        <v>6</v>
      </c>
      <c r="K91" s="7">
        <v>3281.42</v>
      </c>
      <c r="L91" s="7">
        <v>3584.922</v>
      </c>
      <c r="M91" s="7">
        <v>3156.942</v>
      </c>
      <c r="N91" s="7" t="s">
        <v>6</v>
      </c>
      <c r="O91" s="7">
        <v>4129.9430000000002</v>
      </c>
      <c r="P91" s="7">
        <v>3522.636</v>
      </c>
      <c r="R91" s="5">
        <f t="shared" si="4"/>
        <v>4006.6890000000003</v>
      </c>
      <c r="S91" s="5">
        <f t="shared" si="5"/>
        <v>153.52603255819656</v>
      </c>
      <c r="U91" s="7">
        <v>101.25</v>
      </c>
      <c r="V91" s="7">
        <v>3601.5360000000001</v>
      </c>
      <c r="W91" s="7">
        <v>3383.8560000000002</v>
      </c>
      <c r="X91" s="7">
        <v>3424.1489999999999</v>
      </c>
      <c r="Y91" s="7" t="s">
        <v>6</v>
      </c>
      <c r="Z91" s="7">
        <v>3840.2530000000002</v>
      </c>
      <c r="AA91" s="7">
        <v>4339.7690000000002</v>
      </c>
      <c r="AB91" s="7" t="s">
        <v>6</v>
      </c>
      <c r="AC91" s="7">
        <v>4130.8</v>
      </c>
      <c r="AD91" s="7">
        <v>3199.2269999999999</v>
      </c>
      <c r="AE91" s="7">
        <v>4273.2510000000002</v>
      </c>
      <c r="AF91" s="7" t="s">
        <v>6</v>
      </c>
      <c r="AG91" s="7">
        <v>4182.8220000000001</v>
      </c>
      <c r="AH91" s="7">
        <v>3965.3760000000002</v>
      </c>
      <c r="AI91" s="7">
        <v>4055.7220000000002</v>
      </c>
      <c r="AJ91" s="7">
        <v>3389.0720000000001</v>
      </c>
      <c r="AL91" s="6">
        <f t="shared" si="6"/>
        <v>3885.181428571429</v>
      </c>
      <c r="AM91" s="6">
        <f t="shared" si="7"/>
        <v>158.24105207861072</v>
      </c>
    </row>
    <row r="92" spans="1:39" x14ac:dyDescent="0.2">
      <c r="A92" s="7">
        <v>102.5</v>
      </c>
      <c r="B92" s="7">
        <v>4015.442</v>
      </c>
      <c r="C92" s="7">
        <v>4493.21</v>
      </c>
      <c r="D92" s="7">
        <v>4003.547</v>
      </c>
      <c r="E92" s="7">
        <v>4123.692</v>
      </c>
      <c r="F92" s="7" t="s">
        <v>6</v>
      </c>
      <c r="G92" s="7">
        <v>4177.027</v>
      </c>
      <c r="H92" s="7">
        <v>4509.2209999999995</v>
      </c>
      <c r="I92" s="7">
        <v>3594.0210000000002</v>
      </c>
      <c r="J92" s="7" t="s">
        <v>6</v>
      </c>
      <c r="K92" s="7">
        <v>3102.1109999999999</v>
      </c>
      <c r="L92" s="7">
        <v>3401.17</v>
      </c>
      <c r="M92" s="7">
        <v>2991.0790000000002</v>
      </c>
      <c r="N92" s="7" t="s">
        <v>6</v>
      </c>
      <c r="O92" s="7">
        <v>3918.7359999999999</v>
      </c>
      <c r="P92" s="7">
        <v>3376.45</v>
      </c>
      <c r="R92" s="5">
        <f t="shared" si="4"/>
        <v>3808.8088333333326</v>
      </c>
      <c r="S92" s="5">
        <f t="shared" si="5"/>
        <v>147.03544431143541</v>
      </c>
      <c r="U92" s="7">
        <v>102.5</v>
      </c>
      <c r="V92" s="7">
        <v>3444.0529999999999</v>
      </c>
      <c r="W92" s="7">
        <v>3191.9490000000001</v>
      </c>
      <c r="X92" s="7">
        <v>3257.498</v>
      </c>
      <c r="Y92" s="7" t="s">
        <v>6</v>
      </c>
      <c r="Z92" s="7">
        <v>3606.0010000000002</v>
      </c>
      <c r="AA92" s="7">
        <v>4121.1189999999997</v>
      </c>
      <c r="AB92" s="7" t="s">
        <v>6</v>
      </c>
      <c r="AC92" s="7">
        <v>3989.6990000000001</v>
      </c>
      <c r="AD92" s="7">
        <v>2996.5720000000001</v>
      </c>
      <c r="AE92" s="7">
        <v>4085.154</v>
      </c>
      <c r="AF92" s="7" t="s">
        <v>6</v>
      </c>
      <c r="AG92" s="7">
        <v>4000.3609999999999</v>
      </c>
      <c r="AH92" s="7">
        <v>3795.04</v>
      </c>
      <c r="AI92" s="7">
        <v>3850.39</v>
      </c>
      <c r="AJ92" s="7">
        <v>3264.6970000000001</v>
      </c>
      <c r="AL92" s="6">
        <f t="shared" si="6"/>
        <v>3711.7018571428571</v>
      </c>
      <c r="AM92" s="6">
        <f t="shared" si="7"/>
        <v>157.16814752926916</v>
      </c>
    </row>
    <row r="93" spans="1:39" x14ac:dyDescent="0.2">
      <c r="A93" s="7">
        <v>103.75</v>
      </c>
      <c r="B93" s="7">
        <v>3675.4279999999999</v>
      </c>
      <c r="C93" s="7">
        <v>4102.2709999999997</v>
      </c>
      <c r="D93" s="7">
        <v>3611.8629999999998</v>
      </c>
      <c r="E93" s="7">
        <v>3697.973</v>
      </c>
      <c r="F93" s="7" t="s">
        <v>6</v>
      </c>
      <c r="G93" s="7">
        <v>3796.2170000000001</v>
      </c>
      <c r="H93" s="7">
        <v>4128.1509999999998</v>
      </c>
      <c r="I93" s="7">
        <v>3295.8890000000001</v>
      </c>
      <c r="J93" s="7" t="s">
        <v>6</v>
      </c>
      <c r="K93" s="7">
        <v>2810.2359999999999</v>
      </c>
      <c r="L93" s="7">
        <v>3071.7779999999998</v>
      </c>
      <c r="M93" s="7">
        <v>2702.6350000000002</v>
      </c>
      <c r="N93" s="7" t="s">
        <v>6</v>
      </c>
      <c r="O93" s="7">
        <v>3566.11</v>
      </c>
      <c r="P93" s="7">
        <v>3104.4589999999998</v>
      </c>
      <c r="R93" s="5">
        <f t="shared" si="4"/>
        <v>3463.584166666667</v>
      </c>
      <c r="S93" s="5">
        <f t="shared" si="5"/>
        <v>135.09370289901426</v>
      </c>
      <c r="U93" s="7">
        <v>103.75</v>
      </c>
      <c r="V93" s="7">
        <v>3145.473</v>
      </c>
      <c r="W93" s="7">
        <v>2881.86</v>
      </c>
      <c r="X93" s="7">
        <v>2961.377</v>
      </c>
      <c r="Y93" s="7" t="s">
        <v>6</v>
      </c>
      <c r="Z93" s="7">
        <v>3247.953</v>
      </c>
      <c r="AA93" s="7">
        <v>3725.82</v>
      </c>
      <c r="AB93" s="7" t="s">
        <v>6</v>
      </c>
      <c r="AC93" s="7">
        <v>3683.261</v>
      </c>
      <c r="AD93" s="7">
        <v>2684.5340000000001</v>
      </c>
      <c r="AE93" s="7">
        <v>3725.2919999999999</v>
      </c>
      <c r="AF93" s="7" t="s">
        <v>6</v>
      </c>
      <c r="AG93" s="7">
        <v>3644.0230000000001</v>
      </c>
      <c r="AH93" s="7">
        <v>3478.346</v>
      </c>
      <c r="AI93" s="7">
        <v>3493.9859999999999</v>
      </c>
      <c r="AJ93" s="7">
        <v>3007.8939999999998</v>
      </c>
      <c r="AL93" s="6">
        <f t="shared" si="6"/>
        <v>3388.1908571428576</v>
      </c>
      <c r="AM93" s="6">
        <f t="shared" si="7"/>
        <v>148.42289077343801</v>
      </c>
    </row>
    <row r="94" spans="1:39" x14ac:dyDescent="0.2">
      <c r="A94" s="7">
        <v>105</v>
      </c>
      <c r="B94" s="7">
        <v>3248.895</v>
      </c>
      <c r="C94" s="7">
        <v>3681.1210000000001</v>
      </c>
      <c r="D94" s="7">
        <v>3301.0790000000002</v>
      </c>
      <c r="E94" s="7">
        <v>3380.1529999999998</v>
      </c>
      <c r="F94" s="7" t="s">
        <v>6</v>
      </c>
      <c r="G94" s="7">
        <v>3419.2809999999999</v>
      </c>
      <c r="H94" s="7">
        <v>3732.5189999999998</v>
      </c>
      <c r="I94" s="7">
        <v>2998.701</v>
      </c>
      <c r="J94" s="7" t="s">
        <v>6</v>
      </c>
      <c r="K94" s="7">
        <v>2556.3960000000002</v>
      </c>
      <c r="L94" s="7">
        <v>2738.9609999999998</v>
      </c>
      <c r="M94" s="7">
        <v>2426.23</v>
      </c>
      <c r="N94" s="7" t="s">
        <v>6</v>
      </c>
      <c r="O94" s="7">
        <v>3266.1370000000002</v>
      </c>
      <c r="P94" s="7">
        <v>2872.3330000000001</v>
      </c>
      <c r="R94" s="5">
        <f t="shared" si="4"/>
        <v>3135.1504999999997</v>
      </c>
      <c r="S94" s="5">
        <f t="shared" si="5"/>
        <v>121.09035851476783</v>
      </c>
      <c r="U94" s="7">
        <v>105</v>
      </c>
      <c r="V94" s="7">
        <v>2831.1439999999998</v>
      </c>
      <c r="W94" s="7">
        <v>2610.1590000000001</v>
      </c>
      <c r="X94" s="7">
        <v>2691.3310000000001</v>
      </c>
      <c r="Y94" s="7" t="s">
        <v>6</v>
      </c>
      <c r="Z94" s="7">
        <v>2957.3739999999998</v>
      </c>
      <c r="AA94" s="7">
        <v>3362.4540000000002</v>
      </c>
      <c r="AB94" s="7" t="s">
        <v>6</v>
      </c>
      <c r="AC94" s="7">
        <v>3328.2620000000002</v>
      </c>
      <c r="AD94" s="7">
        <v>2428.1390000000001</v>
      </c>
      <c r="AE94" s="7">
        <v>3365.8710000000001</v>
      </c>
      <c r="AF94" s="7" t="s">
        <v>6</v>
      </c>
      <c r="AG94" s="7">
        <v>3280.4830000000002</v>
      </c>
      <c r="AH94" s="7">
        <v>3169.5039999999999</v>
      </c>
      <c r="AI94" s="7">
        <v>3148.1179999999999</v>
      </c>
      <c r="AJ94" s="7">
        <v>2735.578</v>
      </c>
      <c r="AL94" s="6">
        <f t="shared" si="6"/>
        <v>3065.136428571429</v>
      </c>
      <c r="AM94" s="6">
        <f t="shared" si="7"/>
        <v>132.57554069730844</v>
      </c>
    </row>
    <row r="95" spans="1:39" x14ac:dyDescent="0.2">
      <c r="A95" s="7">
        <v>106.25</v>
      </c>
      <c r="B95" s="7">
        <v>2965.5210000000002</v>
      </c>
      <c r="C95" s="7">
        <v>3450.3560000000002</v>
      </c>
      <c r="D95" s="7">
        <v>3125.8009999999999</v>
      </c>
      <c r="E95" s="7">
        <v>3209.087</v>
      </c>
      <c r="F95" s="7" t="s">
        <v>6</v>
      </c>
      <c r="G95" s="7">
        <v>3196.83</v>
      </c>
      <c r="H95" s="7">
        <v>3491.2379999999998</v>
      </c>
      <c r="I95" s="7">
        <v>2826.413</v>
      </c>
      <c r="J95" s="7" t="s">
        <v>6</v>
      </c>
      <c r="K95" s="7">
        <v>2407.0810000000001</v>
      </c>
      <c r="L95" s="7">
        <v>2543.8380000000002</v>
      </c>
      <c r="M95" s="7">
        <v>2277.8270000000002</v>
      </c>
      <c r="N95" s="7" t="s">
        <v>6</v>
      </c>
      <c r="O95" s="7">
        <v>3086.3150000000001</v>
      </c>
      <c r="P95" s="7">
        <v>2727.1610000000001</v>
      </c>
      <c r="R95" s="5">
        <f t="shared" si="4"/>
        <v>2942.2889999999993</v>
      </c>
      <c r="S95" s="5">
        <f t="shared" si="5"/>
        <v>113.37912730411566</v>
      </c>
      <c r="U95" s="7">
        <v>106.25</v>
      </c>
      <c r="V95" s="7">
        <v>2637.346</v>
      </c>
      <c r="W95" s="7">
        <v>2447.6089999999999</v>
      </c>
      <c r="X95" s="7">
        <v>2527.8969999999999</v>
      </c>
      <c r="Y95" s="7" t="s">
        <v>6</v>
      </c>
      <c r="Z95" s="7">
        <v>2790.8359999999998</v>
      </c>
      <c r="AA95" s="7">
        <v>3146.8150000000001</v>
      </c>
      <c r="AB95" s="7" t="s">
        <v>6</v>
      </c>
      <c r="AC95" s="7">
        <v>3110.942</v>
      </c>
      <c r="AD95" s="7">
        <v>2281.7370000000001</v>
      </c>
      <c r="AE95" s="7">
        <v>3147.6320000000001</v>
      </c>
      <c r="AF95" s="7" t="s">
        <v>6</v>
      </c>
      <c r="AG95" s="7">
        <v>3067.8310000000001</v>
      </c>
      <c r="AH95" s="7">
        <v>2986.6469999999999</v>
      </c>
      <c r="AI95" s="7">
        <v>2945.518</v>
      </c>
      <c r="AJ95" s="7">
        <v>2565.9870000000001</v>
      </c>
      <c r="AL95" s="6">
        <f t="shared" si="6"/>
        <v>2872.3277142857146</v>
      </c>
      <c r="AM95" s="6">
        <f t="shared" si="7"/>
        <v>122.67053279137448</v>
      </c>
    </row>
    <row r="96" spans="1:39" x14ac:dyDescent="0.2">
      <c r="A96" s="7">
        <v>107.5</v>
      </c>
      <c r="B96" s="7">
        <v>2795.1179999999999</v>
      </c>
      <c r="C96" s="7">
        <v>3290.212</v>
      </c>
      <c r="D96" s="7">
        <v>2978.8690000000001</v>
      </c>
      <c r="E96" s="7">
        <v>3061.752</v>
      </c>
      <c r="F96" s="7" t="s">
        <v>6</v>
      </c>
      <c r="G96" s="7">
        <v>3052.7489999999998</v>
      </c>
      <c r="H96" s="7">
        <v>3319.0619999999999</v>
      </c>
      <c r="I96" s="7">
        <v>2701.0439999999999</v>
      </c>
      <c r="J96" s="7" t="s">
        <v>6</v>
      </c>
      <c r="K96" s="7">
        <v>2274.9340000000002</v>
      </c>
      <c r="L96" s="7">
        <v>2403.527</v>
      </c>
      <c r="M96" s="7">
        <v>2166.9409999999998</v>
      </c>
      <c r="N96" s="7" t="s">
        <v>6</v>
      </c>
      <c r="O96" s="7">
        <v>2935.3919999999998</v>
      </c>
      <c r="P96" s="7">
        <v>2606.547</v>
      </c>
      <c r="R96" s="5">
        <f t="shared" si="4"/>
        <v>2798.8455833333337</v>
      </c>
      <c r="S96" s="5">
        <f t="shared" si="5"/>
        <v>109.17484866234609</v>
      </c>
      <c r="U96" s="7">
        <v>107.5</v>
      </c>
      <c r="V96" s="7">
        <v>2506.1350000000002</v>
      </c>
      <c r="W96" s="7">
        <v>2322.2449999999999</v>
      </c>
      <c r="X96" s="7">
        <v>2400.2269999999999</v>
      </c>
      <c r="Y96" s="7" t="s">
        <v>6</v>
      </c>
      <c r="Z96" s="7">
        <v>2655.1590000000001</v>
      </c>
      <c r="AA96" s="7">
        <v>2996.732</v>
      </c>
      <c r="AB96" s="7" t="s">
        <v>6</v>
      </c>
      <c r="AC96" s="7">
        <v>2969.7860000000001</v>
      </c>
      <c r="AD96" s="7">
        <v>2169.0450000000001</v>
      </c>
      <c r="AE96" s="7">
        <v>2986.96</v>
      </c>
      <c r="AF96" s="7" t="s">
        <v>6</v>
      </c>
      <c r="AG96" s="7">
        <v>2928.7739999999999</v>
      </c>
      <c r="AH96" s="7">
        <v>2840.366</v>
      </c>
      <c r="AI96" s="7">
        <v>2801.7629999999999</v>
      </c>
      <c r="AJ96" s="7">
        <v>2441.1799999999998</v>
      </c>
      <c r="AL96" s="6">
        <f t="shared" si="6"/>
        <v>2733.982</v>
      </c>
      <c r="AM96" s="6">
        <f t="shared" si="7"/>
        <v>117.34604531591935</v>
      </c>
    </row>
  </sheetData>
  <mergeCells count="2">
    <mergeCell ref="A1:P1"/>
    <mergeCell ref="U1:AJ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DIM</vt:lpstr>
      <vt:lpstr>BRIGHT</vt:lpstr>
      <vt:lpstr>BRIGHT!OCT_RAW___\YA05\_dark_profiles_YA05_DARK</vt:lpstr>
      <vt:lpstr>DIM!OCT_RAW___\YA05\_dark_profiles_YA05_DARK_dim</vt:lpstr>
      <vt:lpstr>BRIGHT!OCT_RAW___\YA05\_light_profiles_YA05_LIGHT</vt:lpstr>
      <vt:lpstr>DIM!OCT_RAW___\YA05\_light_profiles_YA05_LIGHT_dim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2019-11-16T23:38:32Z</dcterms:modified>
</cp:coreProperties>
</file>