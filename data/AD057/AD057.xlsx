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057\"/>
    </mc:Choice>
  </mc:AlternateContent>
  <xr:revisionPtr revIDLastSave="0" documentId="13_ncr:1_{E8E5F3A8-229D-4943-8C54-2A68D8D5285E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12\_dark_profiles_AD12_DARK" localSheetId="0">BRIGHT!$A$2:$F$96</definedName>
    <definedName name="OCT_RAW___\AD12\_fovea_dark_profiles_AD12_DARK" localSheetId="0">BRIGHT!#REF!</definedName>
    <definedName name="OCT_RAW___\AD12\_fovea_light_profiles_AD12_LIGHT" localSheetId="0">BRIGHT!#REF!</definedName>
    <definedName name="OCT_RAW___\AD12\_light_profiles_AD12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405C92-6583-4875-AB78-CC361BC579F8}" name="[[[OCT RAW]]]\AD12\_dark_profiles_AD12_DARK" type="6" refreshedVersion="6" background="1" saveData="1">
    <textPr codePage="437" sourceFile="E:\[Documents]\[[[OCT RAW]]]\AD12\_dark_profiles_AD12_DARK.txt" space="1" consecutive="1">
      <textFields count="6">
        <textField/>
        <textField/>
        <textField/>
        <textField/>
        <textField/>
        <textField/>
      </textFields>
    </textPr>
  </connection>
  <connection id="2" xr16:uid="{263C97F0-3E56-4BCF-824A-63A3A878B7A3}" name="[[[OCT RAW]]]\AD12\_light_profiles_AD12_LIGHT" type="6" refreshedVersion="6" background="1" saveData="1">
    <textPr codePage="437" sourceFile="E:\[Documents]\[[[OCT RAW]]]\AD12\_light_profiles_AD12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<sst xmlns="http://schemas.openxmlformats.org/spreadsheetml/2006/main" count="12" uniqueCount="8">
  <si>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</si>
  <si>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</si>
  <si>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</si>
  <si>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</si>
  <si>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</si>
  <si>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</si>
  <si>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AD057_DARK</t>
  </si>
  <si>
    <t>AD057_LIGHT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</si>
</sst>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463.90300000000008</c:v>
                </c:pt>
                <c:pt idx="1">
                  <c:v>655.351</c:v>
                </c:pt>
                <c:pt idx="2">
                  <c:v>1155.2786000000001</c:v>
                </c:pt>
                <c:pt idx="3">
                  <c:v>1659.9342000000001</c:v>
                </c:pt>
                <c:pt idx="4">
                  <c:v>2227.0511999999999</c:v>
                </c:pt>
                <c:pt idx="5">
                  <c:v>2660.9611999999997</c:v>
                </c:pt>
                <c:pt idx="6">
                  <c:v>2876.1379999999999</c:v>
                </c:pt>
                <c:pt idx="7">
                  <c:v>2977.0515999999998</c:v>
                </c:pt>
                <c:pt idx="8">
                  <c:v>3022.3334</c:v>
                </c:pt>
                <c:pt idx="9">
                  <c:v>2978.2292000000002</c:v>
                </c:pt>
                <c:pt idx="10">
                  <c:v>2812.6349999999998</c:v>
                </c:pt>
                <c:pt idx="11">
                  <c:v>2487.3580000000002</c:v>
                </c:pt>
                <c:pt idx="12">
                  <c:v>2237.9382000000001</c:v>
                </c:pt>
                <c:pt idx="13">
                  <c:v>2116.5706</c:v>
                </c:pt>
                <c:pt idx="14">
                  <c:v>2081.1977999999999</c:v>
                </c:pt>
                <c:pt idx="15">
                  <c:v>2082.3219999999997</c:v>
                </c:pt>
                <c:pt idx="16">
                  <c:v>2097.1356000000001</c:v>
                </c:pt>
                <c:pt idx="17">
                  <c:v>2123.2341999999999</c:v>
                </c:pt>
                <c:pt idx="18">
                  <c:v>2158.7103999999999</c:v>
                </c:pt>
                <c:pt idx="19">
                  <c:v>2195.7714000000001</c:v>
                </c:pt>
                <c:pt idx="20">
                  <c:v>2217.0650000000001</c:v>
                </c:pt>
                <c:pt idx="21">
                  <c:v>2217.0446000000002</c:v>
                </c:pt>
                <c:pt idx="22">
                  <c:v>2213.0546000000004</c:v>
                </c:pt>
                <c:pt idx="23">
                  <c:v>2216.0513999999998</c:v>
                </c:pt>
                <c:pt idx="24">
                  <c:v>2229.9190000000003</c:v>
                </c:pt>
                <c:pt idx="25">
                  <c:v>2233.4802</c:v>
                </c:pt>
                <c:pt idx="26">
                  <c:v>2237.2869999999998</c:v>
                </c:pt>
                <c:pt idx="27">
                  <c:v>2258.5406000000003</c:v>
                </c:pt>
                <c:pt idx="28">
                  <c:v>2276.6088</c:v>
                </c:pt>
                <c:pt idx="29">
                  <c:v>2277.6686</c:v>
                </c:pt>
                <c:pt idx="30">
                  <c:v>2274.7475999999997</c:v>
                </c:pt>
                <c:pt idx="31">
                  <c:v>2252.7705999999998</c:v>
                </c:pt>
                <c:pt idx="32">
                  <c:v>2152.8204000000001</c:v>
                </c:pt>
                <c:pt idx="33">
                  <c:v>1998.3808000000001</c:v>
                </c:pt>
                <c:pt idx="34">
                  <c:v>1863.0774000000001</c:v>
                </c:pt>
                <c:pt idx="35">
                  <c:v>1782.8002000000001</c:v>
                </c:pt>
                <c:pt idx="36">
                  <c:v>1745.0565999999999</c:v>
                </c:pt>
                <c:pt idx="37">
                  <c:v>1735.5130000000001</c:v>
                </c:pt>
                <c:pt idx="38">
                  <c:v>1743.3979999999999</c:v>
                </c:pt>
                <c:pt idx="39">
                  <c:v>1767.4590000000001</c:v>
                </c:pt>
                <c:pt idx="40">
                  <c:v>1819.4222000000002</c:v>
                </c:pt>
                <c:pt idx="41">
                  <c:v>1901.2596000000001</c:v>
                </c:pt>
                <c:pt idx="42">
                  <c:v>1963.0752</c:v>
                </c:pt>
                <c:pt idx="43">
                  <c:v>2003.6515999999999</c:v>
                </c:pt>
                <c:pt idx="44">
                  <c:v>2054.2035999999998</c:v>
                </c:pt>
                <c:pt idx="45">
                  <c:v>2096.1469999999999</c:v>
                </c:pt>
                <c:pt idx="46">
                  <c:v>2124.7004000000002</c:v>
                </c:pt>
                <c:pt idx="47">
                  <c:v>2134.7654000000002</c:v>
                </c:pt>
                <c:pt idx="48">
                  <c:v>2094.2212</c:v>
                </c:pt>
                <c:pt idx="49">
                  <c:v>2004.6239999999998</c:v>
                </c:pt>
                <c:pt idx="50">
                  <c:v>1929.6912</c:v>
                </c:pt>
                <c:pt idx="51">
                  <c:v>1868.8162</c:v>
                </c:pt>
                <c:pt idx="52">
                  <c:v>1808.9856</c:v>
                </c:pt>
                <c:pt idx="53">
                  <c:v>1748.9360000000001</c:v>
                </c:pt>
                <c:pt idx="54">
                  <c:v>1686.4824000000001</c:v>
                </c:pt>
                <c:pt idx="55">
                  <c:v>1613.4187999999999</c:v>
                </c:pt>
                <c:pt idx="56">
                  <c:v>1540.3070000000002</c:v>
                </c:pt>
                <c:pt idx="57">
                  <c:v>1479.1958</c:v>
                </c:pt>
                <c:pt idx="58">
                  <c:v>1432.4023999999999</c:v>
                </c:pt>
                <c:pt idx="59">
                  <c:v>1407.1518000000001</c:v>
                </c:pt>
                <c:pt idx="60">
                  <c:v>1399.7975999999999</c:v>
                </c:pt>
                <c:pt idx="61">
                  <c:v>1393.6913999999999</c:v>
                </c:pt>
                <c:pt idx="62">
                  <c:v>1394.3598000000002</c:v>
                </c:pt>
                <c:pt idx="63">
                  <c:v>1450.0247999999999</c:v>
                </c:pt>
                <c:pt idx="64">
                  <c:v>1598.6282000000001</c:v>
                </c:pt>
                <c:pt idx="65">
                  <c:v>1686.4441999999999</c:v>
                </c:pt>
                <c:pt idx="66">
                  <c:v>1627.8003999999999</c:v>
                </c:pt>
                <c:pt idx="67">
                  <c:v>1531.6628000000001</c:v>
                </c:pt>
                <c:pt idx="68">
                  <c:v>1542.0520000000001</c:v>
                </c:pt>
                <c:pt idx="69">
                  <c:v>1852.3138000000004</c:v>
                </c:pt>
                <c:pt idx="70">
                  <c:v>2512.6933999999997</c:v>
                </c:pt>
                <c:pt idx="71">
                  <c:v>3237.1248000000005</c:v>
                </c:pt>
                <c:pt idx="72">
                  <c:v>3620.4404000000004</c:v>
                </c:pt>
                <c:pt idx="73">
                  <c:v>3446.2631999999999</c:v>
                </c:pt>
                <c:pt idx="74">
                  <c:v>2863.8584000000001</c:v>
                </c:pt>
                <c:pt idx="75">
                  <c:v>2393.4782</c:v>
                </c:pt>
                <c:pt idx="76">
                  <c:v>2418.4906000000001</c:v>
                </c:pt>
                <c:pt idx="77">
                  <c:v>2759.0567999999998</c:v>
                </c:pt>
                <c:pt idx="78">
                  <c:v>3216.1202000000003</c:v>
                </c:pt>
                <c:pt idx="79">
                  <c:v>3595.0801999999994</c:v>
                </c:pt>
                <c:pt idx="80">
                  <c:v>3770.442</c:v>
                </c:pt>
                <c:pt idx="81">
                  <c:v>3851.9459999999999</c:v>
                </c:pt>
                <c:pt idx="82">
                  <c:v>3987.6534000000001</c:v>
                </c:pt>
                <c:pt idx="83">
                  <c:v>4071.2877999999996</c:v>
                </c:pt>
                <c:pt idx="84">
                  <c:v>3942.9859999999999</c:v>
                </c:pt>
                <c:pt idx="85">
                  <c:v>3668.125</c:v>
                </c:pt>
                <c:pt idx="86">
                  <c:v>3297.5982000000004</c:v>
                </c:pt>
                <c:pt idx="87">
                  <c:v>2872.3454000000002</c:v>
                </c:pt>
                <c:pt idx="88">
                  <c:v>2573.7215999999999</c:v>
                </c:pt>
                <c:pt idx="89">
                  <c:v>2438.114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550.13519999999994</c:v>
                </c:pt>
                <c:pt idx="1">
                  <c:v>718.48699999999985</c:v>
                </c:pt>
                <c:pt idx="2">
                  <c:v>1216.7224000000001</c:v>
                </c:pt>
                <c:pt idx="3">
                  <c:v>1764.0990000000002</c:v>
                </c:pt>
                <c:pt idx="4">
                  <c:v>2362.7864</c:v>
                </c:pt>
                <c:pt idx="5">
                  <c:v>2819.8335999999999</c:v>
                </c:pt>
                <c:pt idx="6">
                  <c:v>3046.6131999999998</c:v>
                </c:pt>
                <c:pt idx="7">
                  <c:v>3129.5083999999997</c:v>
                </c:pt>
                <c:pt idx="8">
                  <c:v>3166.8845999999999</c:v>
                </c:pt>
                <c:pt idx="9">
                  <c:v>3108.6058000000003</c:v>
                </c:pt>
                <c:pt idx="10">
                  <c:v>2924.7246</c:v>
                </c:pt>
                <c:pt idx="11">
                  <c:v>2580.0473999999999</c:v>
                </c:pt>
                <c:pt idx="12">
                  <c:v>2307.7165999999997</c:v>
                </c:pt>
                <c:pt idx="13">
                  <c:v>2161.3982000000001</c:v>
                </c:pt>
                <c:pt idx="14">
                  <c:v>2115.5857999999998</c:v>
                </c:pt>
                <c:pt idx="15">
                  <c:v>2113.1446000000001</c:v>
                </c:pt>
                <c:pt idx="16">
                  <c:v>2132.1455999999998</c:v>
                </c:pt>
                <c:pt idx="17">
                  <c:v>2160.6988000000001</c:v>
                </c:pt>
                <c:pt idx="18">
                  <c:v>2191.7278000000001</c:v>
                </c:pt>
                <c:pt idx="19">
                  <c:v>2221.7073999999998</c:v>
                </c:pt>
                <c:pt idx="20">
                  <c:v>2244.4629999999997</c:v>
                </c:pt>
                <c:pt idx="21">
                  <c:v>2249.5354000000002</c:v>
                </c:pt>
                <c:pt idx="22">
                  <c:v>2251.0216</c:v>
                </c:pt>
                <c:pt idx="23">
                  <c:v>2262.3360000000002</c:v>
                </c:pt>
                <c:pt idx="24">
                  <c:v>2275.8735999999999</c:v>
                </c:pt>
                <c:pt idx="25">
                  <c:v>2280.6143999999999</c:v>
                </c:pt>
                <c:pt idx="26">
                  <c:v>2273.7814000000003</c:v>
                </c:pt>
                <c:pt idx="27">
                  <c:v>2291.7475999999997</c:v>
                </c:pt>
                <c:pt idx="28">
                  <c:v>2311.1248000000005</c:v>
                </c:pt>
                <c:pt idx="29">
                  <c:v>2316.5457999999999</c:v>
                </c:pt>
                <c:pt idx="30">
                  <c:v>2327.8322000000003</c:v>
                </c:pt>
                <c:pt idx="31">
                  <c:v>2300.6853999999998</c:v>
                </c:pt>
                <c:pt idx="32">
                  <c:v>2194.4252000000001</c:v>
                </c:pt>
                <c:pt idx="33">
                  <c:v>2037.5519999999997</c:v>
                </c:pt>
                <c:pt idx="34">
                  <c:v>1895.7336</c:v>
                </c:pt>
                <c:pt idx="35">
                  <c:v>1813.3307999999997</c:v>
                </c:pt>
                <c:pt idx="36">
                  <c:v>1773.9245999999998</c:v>
                </c:pt>
                <c:pt idx="37">
                  <c:v>1760.3576</c:v>
                </c:pt>
                <c:pt idx="38">
                  <c:v>1763.3365999999999</c:v>
                </c:pt>
                <c:pt idx="39">
                  <c:v>1782.4165999999998</c:v>
                </c:pt>
                <c:pt idx="40">
                  <c:v>1822.7990000000002</c:v>
                </c:pt>
                <c:pt idx="41">
                  <c:v>1897.9032</c:v>
                </c:pt>
                <c:pt idx="42">
                  <c:v>1963.0369999999998</c:v>
                </c:pt>
                <c:pt idx="43">
                  <c:v>2005.9360000000001</c:v>
                </c:pt>
                <c:pt idx="44">
                  <c:v>2040.3988000000002</c:v>
                </c:pt>
                <c:pt idx="45">
                  <c:v>2081.3152</c:v>
                </c:pt>
                <c:pt idx="46">
                  <c:v>2110.4268000000002</c:v>
                </c:pt>
                <c:pt idx="47">
                  <c:v>2109.8437999999996</c:v>
                </c:pt>
                <c:pt idx="48">
                  <c:v>2050.1257999999998</c:v>
                </c:pt>
                <c:pt idx="49">
                  <c:v>1960.4818</c:v>
                </c:pt>
                <c:pt idx="50">
                  <c:v>1882.8435999999997</c:v>
                </c:pt>
                <c:pt idx="51">
                  <c:v>1803.4083999999998</c:v>
                </c:pt>
                <c:pt idx="52">
                  <c:v>1730.8328000000001</c:v>
                </c:pt>
                <c:pt idx="53">
                  <c:v>1668.2223999999999</c:v>
                </c:pt>
                <c:pt idx="54">
                  <c:v>1615.0147999999999</c:v>
                </c:pt>
                <c:pt idx="55">
                  <c:v>1558.9766</c:v>
                </c:pt>
                <c:pt idx="56">
                  <c:v>1504.5013999999999</c:v>
                </c:pt>
                <c:pt idx="57">
                  <c:v>1458.3830000000003</c:v>
                </c:pt>
                <c:pt idx="58">
                  <c:v>1431.5565999999999</c:v>
                </c:pt>
                <c:pt idx="59">
                  <c:v>1419.2067999999999</c:v>
                </c:pt>
                <c:pt idx="60">
                  <c:v>1407.1586000000002</c:v>
                </c:pt>
                <c:pt idx="61">
                  <c:v>1397.2750000000001</c:v>
                </c:pt>
                <c:pt idx="62">
                  <c:v>1401.6943999999999</c:v>
                </c:pt>
                <c:pt idx="63">
                  <c:v>1475.9244000000001</c:v>
                </c:pt>
                <c:pt idx="64">
                  <c:v>1660.1124</c:v>
                </c:pt>
                <c:pt idx="65">
                  <c:v>1777.2072000000001</c:v>
                </c:pt>
                <c:pt idx="66">
                  <c:v>1702.27</c:v>
                </c:pt>
                <c:pt idx="67">
                  <c:v>1582.1118000000001</c:v>
                </c:pt>
                <c:pt idx="68">
                  <c:v>1607.5506</c:v>
                </c:pt>
                <c:pt idx="69">
                  <c:v>2024.1826000000001</c:v>
                </c:pt>
                <c:pt idx="70">
                  <c:v>2848.4512000000004</c:v>
                </c:pt>
                <c:pt idx="71">
                  <c:v>3721.1246000000001</c:v>
                </c:pt>
                <c:pt idx="72">
                  <c:v>4196.4496000000008</c:v>
                </c:pt>
                <c:pt idx="73">
                  <c:v>4005.7835999999998</c:v>
                </c:pt>
                <c:pt idx="74">
                  <c:v>3284.6524000000004</c:v>
                </c:pt>
                <c:pt idx="75">
                  <c:v>2681.4643999999998</c:v>
                </c:pt>
                <c:pt idx="76">
                  <c:v>2729.1701999999996</c:v>
                </c:pt>
                <c:pt idx="77">
                  <c:v>3208.8722000000002</c:v>
                </c:pt>
                <c:pt idx="78">
                  <c:v>3810.9262000000003</c:v>
                </c:pt>
                <c:pt idx="79">
                  <c:v>4236.9260000000004</c:v>
                </c:pt>
                <c:pt idx="80">
                  <c:v>4325.5146000000004</c:v>
                </c:pt>
                <c:pt idx="81">
                  <c:v>4191.7894000000006</c:v>
                </c:pt>
                <c:pt idx="82">
                  <c:v>4146.2906000000003</c:v>
                </c:pt>
                <c:pt idx="83">
                  <c:v>4198.9701999999997</c:v>
                </c:pt>
                <c:pt idx="84">
                  <c:v>4091.6380000000004</c:v>
                </c:pt>
                <c:pt idx="85">
                  <c:v>3817.8476000000001</c:v>
                </c:pt>
                <c:pt idx="86">
                  <c:v>3449.0455999999999</c:v>
                </c:pt>
                <c:pt idx="87">
                  <c:v>3012.1436000000003</c:v>
                </c:pt>
                <c:pt idx="88">
                  <c:v>2672.8589999999999</c:v>
                </c:pt>
                <c:pt idx="89">
                  <c:v>2510.2336000000005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12\_light_profiles_AD12_LIGHT" connectionId="2" xr16:uid="{A2939112-6C09-4136-8603-4515784FC58C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12\_dark_profiles_AD12_DARK" connectionId="1" xr16:uid="{205B1E8E-1A43-48E4-988A-46289A79834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5"/>
  <sheetViews>
    <sheetView tabSelected="1" workbookViewId="0">
      <selection activeCell="K3" sqref="K3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5" t="s">
        <v>4</v>
      </c>
      <c r="B1" s="5"/>
      <c r="C1" s="5"/>
      <c r="D1" s="5"/>
      <c r="E1" s="5"/>
      <c r="F1" s="5"/>
      <c r="K1" s="6" t="s">
        <v>5</v>
      </c>
      <c r="L1" s="6"/>
      <c r="M1" s="6"/>
      <c r="N1" s="6"/>
      <c r="O1" s="6"/>
      <c r="P1" s="6"/>
    </row>
    <row r="2" spans="1:19" x14ac:dyDescent="0.25">
      <c r="A2" s="4" t="s">
        <v>6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K2" s="4" t="s">
        <v>7</v>
      </c>
      <c r="L2" s="4">
        <v>1</v>
      </c>
      <c r="M2" s="4">
        <v>2</v>
      </c>
      <c r="N2" s="4">
        <v>3</v>
      </c>
      <c r="O2" s="4">
        <v>4</v>
      </c>
      <c r="P2" s="4">
        <v>5</v>
      </c>
    </row>
    <row r="3" spans="1:19" x14ac:dyDescent="0.25">
      <c r="A3" s="4" t="s">
        <v>0</v>
      </c>
      <c r="B3" s="4">
        <v>-0.63100000000000001</v>
      </c>
      <c r="C3" s="4">
        <v>-4.2619999999999996</v>
      </c>
      <c r="D3" s="4">
        <v>-2.7440000000000002</v>
      </c>
      <c r="E3" s="4">
        <v>-2.6520000000000001</v>
      </c>
      <c r="F3" s="4">
        <v>-4.8449999999999998</v>
      </c>
      <c r="K3" s="4" t="s">
        <v>0</v>
      </c>
      <c r="L3" s="4">
        <v>-1.476</v>
      </c>
      <c r="M3" s="4">
        <v>-2.0489999999999999</v>
      </c>
      <c r="N3" s="4">
        <v>-3.1309999999999998</v>
      </c>
      <c r="O3" s="4">
        <v>-1.6619999999999999</v>
      </c>
      <c r="P3" s="4">
        <v>-1.728</v>
      </c>
    </row>
    <row r="4" spans="1:19" x14ac:dyDescent="0.25">
      <c r="A4" s="4" t="s">
        <v>1</v>
      </c>
      <c r="B4" s="4">
        <v>338.33600000000001</v>
      </c>
      <c r="C4" s="4">
        <v>337.53300000000002</v>
      </c>
      <c r="D4" s="4">
        <v>338.40699999999998</v>
      </c>
      <c r="E4" s="4">
        <v>337.57600000000002</v>
      </c>
      <c r="F4" s="4">
        <v>337.69299999999998</v>
      </c>
      <c r="H4" s="2">
        <f>AVERAGE(B4:F4)</f>
        <v>337.90899999999999</v>
      </c>
      <c r="I4" s="2">
        <f>STDEV(B4:F4)/SQRT(COUNT(B4:F4))</f>
        <v>0.1909520882315737</v>
      </c>
      <c r="K4" s="4" t="s">
        <v>1</v>
      </c>
      <c r="L4" s="4">
        <v>336.71199999999999</v>
      </c>
      <c r="M4" s="4">
        <v>338.14400000000001</v>
      </c>
      <c r="N4" s="4">
        <v>337.22399999999999</v>
      </c>
      <c r="O4" s="4">
        <v>337.666</v>
      </c>
      <c r="P4" s="4">
        <v>337.92599999999999</v>
      </c>
      <c r="R4" s="3">
        <f>AVERAGE(L4:P4)</f>
        <v>337.53439999999995</v>
      </c>
      <c r="S4" s="3">
        <f>STDEV(L4:P4)/SQRT(COUNT(L4:P4))</f>
        <v>0.25641482016451589</v>
      </c>
    </row>
    <row r="5" spans="1:19" x14ac:dyDescent="0.25">
      <c r="A5" s="4" t="s">
        <v>2</v>
      </c>
      <c r="B5" s="4">
        <v>68.266000000000005</v>
      </c>
      <c r="C5" s="4">
        <v>68.545000000000002</v>
      </c>
      <c r="D5" s="4">
        <v>69.704999999999998</v>
      </c>
      <c r="E5" s="4">
        <v>68.614000000000004</v>
      </c>
      <c r="F5" s="4">
        <v>69.227999999999994</v>
      </c>
      <c r="H5" s="2">
        <f t="shared" ref="H5:H68" si="0">AVERAGE(B5:F5)</f>
        <v>68.871600000000001</v>
      </c>
      <c r="I5" s="2">
        <f t="shared" ref="I5:I68" si="1">STDEV(B5:F5)/SQRT(COUNT(B5:F5))</f>
        <v>0.26089779608114583</v>
      </c>
      <c r="K5" s="4" t="s">
        <v>2</v>
      </c>
      <c r="L5" s="4">
        <v>68.856999999999999</v>
      </c>
      <c r="M5" s="4">
        <v>69.295000000000002</v>
      </c>
      <c r="N5" s="4">
        <v>68.459000000000003</v>
      </c>
      <c r="O5" s="4">
        <v>69.144000000000005</v>
      </c>
      <c r="P5" s="4">
        <v>68.682000000000002</v>
      </c>
      <c r="R5" s="3">
        <f t="shared" ref="R5:R68" si="2">AVERAGE(L5:P5)</f>
        <v>68.8874</v>
      </c>
      <c r="S5" s="3">
        <f t="shared" ref="S5:S68" si="3">STDEV(L5:P5)/SQRT(COUNT(L5:P5))</f>
        <v>0.15143004985801209</v>
      </c>
    </row>
    <row r="6" spans="1:19" x14ac:dyDescent="0.25">
      <c r="A6" s="4" t="s">
        <v>3</v>
      </c>
      <c r="B6" s="4">
        <v>39.137</v>
      </c>
      <c r="C6" s="4">
        <v>37.018000000000001</v>
      </c>
      <c r="D6" s="4">
        <v>36.682000000000002</v>
      </c>
      <c r="E6" s="4">
        <v>36.695999999999998</v>
      </c>
      <c r="F6" s="4">
        <v>36.015000000000001</v>
      </c>
      <c r="H6" s="2">
        <f t="shared" si="0"/>
        <v>37.1096</v>
      </c>
      <c r="I6" s="2">
        <f t="shared" si="1"/>
        <v>0.53248461010624526</v>
      </c>
      <c r="K6" s="4" t="s">
        <v>3</v>
      </c>
      <c r="L6" s="4">
        <v>37.776000000000003</v>
      </c>
      <c r="M6" s="4">
        <v>35.527999999999999</v>
      </c>
      <c r="N6" s="4">
        <v>38.694000000000003</v>
      </c>
      <c r="O6" s="4">
        <v>37.216000000000001</v>
      </c>
      <c r="P6" s="4">
        <v>37.442</v>
      </c>
      <c r="R6" s="3">
        <f t="shared" si="2"/>
        <v>37.331200000000003</v>
      </c>
      <c r="S6" s="3">
        <f t="shared" si="3"/>
        <v>0.5163404303364213</v>
      </c>
    </row>
    <row r="7" spans="1:19" x14ac:dyDescent="0.25">
      <c r="A7" s="4">
        <v>-3.75</v>
      </c>
      <c r="B7" s="4">
        <v>418.69400000000002</v>
      </c>
      <c r="C7" s="4">
        <v>431.25200000000001</v>
      </c>
      <c r="D7" s="4">
        <v>560.99199999999996</v>
      </c>
      <c r="E7" s="4">
        <v>442.14800000000002</v>
      </c>
      <c r="F7" s="4">
        <v>466.42899999999997</v>
      </c>
      <c r="H7" s="2">
        <f t="shared" si="0"/>
        <v>463.90300000000008</v>
      </c>
      <c r="I7" s="2">
        <f t="shared" si="1"/>
        <v>25.510660618650743</v>
      </c>
      <c r="K7" s="4">
        <v>-3.75</v>
      </c>
      <c r="L7" s="4">
        <v>688.41399999999999</v>
      </c>
      <c r="M7" s="4">
        <v>502.58300000000003</v>
      </c>
      <c r="N7" s="4">
        <v>519.69399999999996</v>
      </c>
      <c r="O7" s="4">
        <v>540.62599999999998</v>
      </c>
      <c r="P7" s="4">
        <v>499.35899999999998</v>
      </c>
      <c r="R7" s="3">
        <f t="shared" si="2"/>
        <v>550.13519999999994</v>
      </c>
      <c r="S7" s="3">
        <f t="shared" si="3"/>
        <v>35.339462561561376</v>
      </c>
    </row>
    <row r="8" spans="1:19" x14ac:dyDescent="0.25">
      <c r="A8" s="4">
        <v>-2.5</v>
      </c>
      <c r="B8" s="4">
        <v>607.50099999999998</v>
      </c>
      <c r="C8" s="4">
        <v>681.06100000000004</v>
      </c>
      <c r="D8" s="4">
        <v>707.76599999999996</v>
      </c>
      <c r="E8" s="4">
        <v>674.27099999999996</v>
      </c>
      <c r="F8" s="4">
        <v>606.15599999999995</v>
      </c>
      <c r="H8" s="2">
        <f t="shared" si="0"/>
        <v>655.351</v>
      </c>
      <c r="I8" s="2">
        <f t="shared" si="1"/>
        <v>20.586492233986831</v>
      </c>
      <c r="K8" s="4">
        <v>-2.5</v>
      </c>
      <c r="L8" s="4">
        <v>816.34199999999998</v>
      </c>
      <c r="M8" s="4">
        <v>655.31799999999998</v>
      </c>
      <c r="N8" s="4">
        <v>720.71299999999997</v>
      </c>
      <c r="O8" s="4">
        <v>708.29200000000003</v>
      </c>
      <c r="P8" s="4">
        <v>691.77</v>
      </c>
      <c r="R8" s="3">
        <f t="shared" si="2"/>
        <v>718.48699999999985</v>
      </c>
      <c r="S8" s="3">
        <f t="shared" si="3"/>
        <v>26.822206076309232</v>
      </c>
    </row>
    <row r="9" spans="1:19" x14ac:dyDescent="0.25">
      <c r="A9" s="4">
        <v>-1.25</v>
      </c>
      <c r="B9" s="4">
        <v>1060.8630000000001</v>
      </c>
      <c r="C9" s="4">
        <v>1210.7470000000001</v>
      </c>
      <c r="D9" s="4">
        <v>1235.45</v>
      </c>
      <c r="E9" s="4">
        <v>1150.5340000000001</v>
      </c>
      <c r="F9" s="4">
        <v>1118.799</v>
      </c>
      <c r="H9" s="2">
        <f t="shared" si="0"/>
        <v>1155.2786000000001</v>
      </c>
      <c r="I9" s="2">
        <f t="shared" si="1"/>
        <v>31.441831009977779</v>
      </c>
      <c r="K9" s="4">
        <v>-1.25</v>
      </c>
      <c r="L9" s="4">
        <v>1332.3510000000001</v>
      </c>
      <c r="M9" s="4">
        <v>1141.604</v>
      </c>
      <c r="N9" s="4">
        <v>1286.5920000000001</v>
      </c>
      <c r="O9" s="4">
        <v>1159.0740000000001</v>
      </c>
      <c r="P9" s="4">
        <v>1163.991</v>
      </c>
      <c r="R9" s="3">
        <f t="shared" si="2"/>
        <v>1216.7224000000001</v>
      </c>
      <c r="S9" s="3">
        <f t="shared" si="3"/>
        <v>38.728830817105766</v>
      </c>
    </row>
    <row r="10" spans="1:19" x14ac:dyDescent="0.25">
      <c r="A10" s="4">
        <v>0</v>
      </c>
      <c r="B10" s="4">
        <v>1519.6030000000001</v>
      </c>
      <c r="C10" s="4">
        <v>1753.15</v>
      </c>
      <c r="D10" s="4">
        <v>1754.0350000000001</v>
      </c>
      <c r="E10" s="4">
        <v>1639.5319999999999</v>
      </c>
      <c r="F10" s="4">
        <v>1633.3510000000001</v>
      </c>
      <c r="H10" s="2">
        <f t="shared" si="0"/>
        <v>1659.9342000000001</v>
      </c>
      <c r="I10" s="2">
        <f t="shared" si="1"/>
        <v>43.794924312527364</v>
      </c>
      <c r="K10" s="4">
        <v>0</v>
      </c>
      <c r="L10" s="4">
        <v>1980.5340000000001</v>
      </c>
      <c r="M10" s="4">
        <v>1651.8920000000001</v>
      </c>
      <c r="N10" s="4">
        <v>1875.6679999999999</v>
      </c>
      <c r="O10" s="4">
        <v>1659.018</v>
      </c>
      <c r="P10" s="4">
        <v>1653.383</v>
      </c>
      <c r="R10" s="3">
        <f t="shared" si="2"/>
        <v>1764.0990000000002</v>
      </c>
      <c r="S10" s="3">
        <f t="shared" si="3"/>
        <v>68.986306993489649</v>
      </c>
    </row>
    <row r="11" spans="1:19" x14ac:dyDescent="0.25">
      <c r="A11" s="4">
        <v>1.25</v>
      </c>
      <c r="B11" s="4">
        <v>2005.9970000000001</v>
      </c>
      <c r="C11" s="4">
        <v>2399.3850000000002</v>
      </c>
      <c r="D11" s="4">
        <v>2334.645</v>
      </c>
      <c r="E11" s="4">
        <v>2206.23</v>
      </c>
      <c r="F11" s="4">
        <v>2188.9989999999998</v>
      </c>
      <c r="H11" s="2">
        <f t="shared" si="0"/>
        <v>2227.0511999999999</v>
      </c>
      <c r="I11" s="2">
        <f t="shared" si="1"/>
        <v>67.831340858337754</v>
      </c>
      <c r="K11" s="4">
        <v>1.25</v>
      </c>
      <c r="L11" s="4">
        <v>2669.4279999999999</v>
      </c>
      <c r="M11" s="4">
        <v>2204.7429999999999</v>
      </c>
      <c r="N11" s="4">
        <v>2536.7280000000001</v>
      </c>
      <c r="O11" s="4">
        <v>2203.3829999999998</v>
      </c>
      <c r="P11" s="4">
        <v>2199.65</v>
      </c>
      <c r="R11" s="3">
        <f t="shared" si="2"/>
        <v>2362.7864</v>
      </c>
      <c r="S11" s="3">
        <f t="shared" si="3"/>
        <v>100.32083439674931</v>
      </c>
    </row>
    <row r="12" spans="1:19" x14ac:dyDescent="0.25">
      <c r="A12" s="4">
        <v>2.5</v>
      </c>
      <c r="B12" s="4">
        <v>2409.2939999999999</v>
      </c>
      <c r="C12" s="4">
        <v>2865.91</v>
      </c>
      <c r="D12" s="4">
        <v>2745.4879999999998</v>
      </c>
      <c r="E12" s="4">
        <v>2664.067</v>
      </c>
      <c r="F12" s="4">
        <v>2620.047</v>
      </c>
      <c r="H12" s="2">
        <f t="shared" si="0"/>
        <v>2660.9611999999997</v>
      </c>
      <c r="I12" s="2">
        <f t="shared" si="1"/>
        <v>75.5542149223986</v>
      </c>
      <c r="K12" s="4">
        <v>2.5</v>
      </c>
      <c r="L12" s="4">
        <v>3190.5819999999999</v>
      </c>
      <c r="M12" s="4">
        <v>2637.058</v>
      </c>
      <c r="N12" s="4">
        <v>3045.1019999999999</v>
      </c>
      <c r="O12" s="4">
        <v>2591.6660000000002</v>
      </c>
      <c r="P12" s="4">
        <v>2634.76</v>
      </c>
      <c r="R12" s="3">
        <f t="shared" si="2"/>
        <v>2819.8335999999999</v>
      </c>
      <c r="S12" s="3">
        <f t="shared" si="3"/>
        <v>124.08058655631825</v>
      </c>
    </row>
    <row r="13" spans="1:19" x14ac:dyDescent="0.25">
      <c r="A13" s="4">
        <v>3.75</v>
      </c>
      <c r="B13" s="4">
        <v>2605.8510000000001</v>
      </c>
      <c r="C13" s="4">
        <v>3088.5830000000001</v>
      </c>
      <c r="D13" s="4">
        <v>2937.942</v>
      </c>
      <c r="E13" s="4">
        <v>2894.6819999999998</v>
      </c>
      <c r="F13" s="4">
        <v>2853.6320000000001</v>
      </c>
      <c r="H13" s="2">
        <f t="shared" si="0"/>
        <v>2876.1379999999999</v>
      </c>
      <c r="I13" s="2">
        <f t="shared" si="1"/>
        <v>78.37667854087718</v>
      </c>
      <c r="K13" s="4">
        <v>3.75</v>
      </c>
      <c r="L13" s="4">
        <v>3475.1610000000001</v>
      </c>
      <c r="M13" s="4">
        <v>2833.9870000000001</v>
      </c>
      <c r="N13" s="4">
        <v>3284.6149999999998</v>
      </c>
      <c r="O13" s="4">
        <v>2785.2739999999999</v>
      </c>
      <c r="P13" s="4">
        <v>2854.029</v>
      </c>
      <c r="R13" s="3">
        <f t="shared" si="2"/>
        <v>3046.6131999999998</v>
      </c>
      <c r="S13" s="3">
        <f t="shared" si="3"/>
        <v>139.80250823229173</v>
      </c>
    </row>
    <row r="14" spans="1:19" x14ac:dyDescent="0.25">
      <c r="A14" s="4">
        <v>5</v>
      </c>
      <c r="B14" s="4">
        <v>2681.92</v>
      </c>
      <c r="C14" s="4">
        <v>3224.9209999999998</v>
      </c>
      <c r="D14" s="4">
        <v>3031.4290000000001</v>
      </c>
      <c r="E14" s="4">
        <v>2981.221</v>
      </c>
      <c r="F14" s="4">
        <v>2965.7669999999998</v>
      </c>
      <c r="H14" s="2">
        <f t="shared" si="0"/>
        <v>2977.0515999999998</v>
      </c>
      <c r="I14" s="2">
        <f t="shared" si="1"/>
        <v>87.075693651902611</v>
      </c>
      <c r="K14" s="4">
        <v>5</v>
      </c>
      <c r="L14" s="4">
        <v>3559.7579999999998</v>
      </c>
      <c r="M14" s="4">
        <v>2934.48</v>
      </c>
      <c r="N14" s="4">
        <v>3378.7959999999998</v>
      </c>
      <c r="O14" s="4">
        <v>2853.8119999999999</v>
      </c>
      <c r="P14" s="4">
        <v>2920.6959999999999</v>
      </c>
      <c r="R14" s="3">
        <f t="shared" si="2"/>
        <v>3129.5083999999997</v>
      </c>
      <c r="S14" s="3">
        <f t="shared" si="3"/>
        <v>142.28601933907626</v>
      </c>
    </row>
    <row r="15" spans="1:19" x14ac:dyDescent="0.25">
      <c r="A15" s="4">
        <v>6.25</v>
      </c>
      <c r="B15" s="4">
        <v>2733.2269999999999</v>
      </c>
      <c r="C15" s="4">
        <v>3272.6390000000001</v>
      </c>
      <c r="D15" s="4">
        <v>3062.66</v>
      </c>
      <c r="E15" s="4">
        <v>3021.873</v>
      </c>
      <c r="F15" s="4">
        <v>3021.268</v>
      </c>
      <c r="H15" s="2">
        <f t="shared" si="0"/>
        <v>3022.3334</v>
      </c>
      <c r="I15" s="2">
        <f t="shared" si="1"/>
        <v>85.983424456461407</v>
      </c>
      <c r="K15" s="4">
        <v>6.25</v>
      </c>
      <c r="L15" s="4">
        <v>3615.23</v>
      </c>
      <c r="M15" s="4">
        <v>2954.1610000000001</v>
      </c>
      <c r="N15" s="4">
        <v>3413.2640000000001</v>
      </c>
      <c r="O15" s="4">
        <v>2885.453</v>
      </c>
      <c r="P15" s="4">
        <v>2966.3150000000001</v>
      </c>
      <c r="R15" s="3">
        <f t="shared" si="2"/>
        <v>3166.8845999999999</v>
      </c>
      <c r="S15" s="3">
        <f t="shared" si="3"/>
        <v>146.01363743931591</v>
      </c>
    </row>
    <row r="16" spans="1:19" x14ac:dyDescent="0.25">
      <c r="A16" s="4">
        <v>7.5</v>
      </c>
      <c r="B16" s="4">
        <v>2688.19</v>
      </c>
      <c r="C16" s="4">
        <v>3230.4369999999999</v>
      </c>
      <c r="D16" s="4">
        <v>3027.6309999999999</v>
      </c>
      <c r="E16" s="4">
        <v>2965.8560000000002</v>
      </c>
      <c r="F16" s="4">
        <v>2979.0320000000002</v>
      </c>
      <c r="H16" s="2">
        <f t="shared" si="0"/>
        <v>2978.2292000000002</v>
      </c>
      <c r="I16" s="2">
        <f t="shared" si="1"/>
        <v>86.696536933951364</v>
      </c>
      <c r="K16" s="4">
        <v>7.5</v>
      </c>
      <c r="L16" s="4">
        <v>3551.6419999999998</v>
      </c>
      <c r="M16" s="4">
        <v>2857.6280000000002</v>
      </c>
      <c r="N16" s="4">
        <v>3361.9340000000002</v>
      </c>
      <c r="O16" s="4">
        <v>2846.78</v>
      </c>
      <c r="P16" s="4">
        <v>2925.0450000000001</v>
      </c>
      <c r="R16" s="3">
        <f t="shared" si="2"/>
        <v>3108.6058000000003</v>
      </c>
      <c r="S16" s="3">
        <f t="shared" si="3"/>
        <v>145.8926701998424</v>
      </c>
    </row>
    <row r="17" spans="1:19" x14ac:dyDescent="0.25">
      <c r="A17" s="4">
        <v>8.75</v>
      </c>
      <c r="B17" s="4">
        <v>2519.9</v>
      </c>
      <c r="C17" s="4">
        <v>3056.6869999999999</v>
      </c>
      <c r="D17" s="4">
        <v>2875.4549999999999</v>
      </c>
      <c r="E17" s="4">
        <v>2800.277</v>
      </c>
      <c r="F17" s="4">
        <v>2810.8560000000002</v>
      </c>
      <c r="H17" s="2">
        <f t="shared" si="0"/>
        <v>2812.6349999999998</v>
      </c>
      <c r="I17" s="2">
        <f t="shared" si="1"/>
        <v>86.416837576365836</v>
      </c>
      <c r="K17" s="4">
        <v>8.75</v>
      </c>
      <c r="L17" s="4">
        <v>3341.4839999999999</v>
      </c>
      <c r="M17" s="4">
        <v>2695.377</v>
      </c>
      <c r="N17" s="4">
        <v>3181.5309999999999</v>
      </c>
      <c r="O17" s="4">
        <v>2665.4609999999998</v>
      </c>
      <c r="P17" s="4">
        <v>2739.77</v>
      </c>
      <c r="R17" s="3">
        <f t="shared" si="2"/>
        <v>2924.7246</v>
      </c>
      <c r="S17" s="3">
        <f t="shared" si="3"/>
        <v>140.29683969020826</v>
      </c>
    </row>
    <row r="18" spans="1:19" x14ac:dyDescent="0.25">
      <c r="A18" s="4">
        <v>10</v>
      </c>
      <c r="B18" s="4">
        <v>2190.7840000000001</v>
      </c>
      <c r="C18" s="4">
        <v>2708.42</v>
      </c>
      <c r="D18" s="4">
        <v>2525.962</v>
      </c>
      <c r="E18" s="4">
        <v>2489.6379999999999</v>
      </c>
      <c r="F18" s="4">
        <v>2521.9859999999999</v>
      </c>
      <c r="H18" s="2">
        <f t="shared" si="0"/>
        <v>2487.3580000000002</v>
      </c>
      <c r="I18" s="2">
        <f t="shared" si="1"/>
        <v>83.522185950799923</v>
      </c>
      <c r="K18" s="4">
        <v>10</v>
      </c>
      <c r="L18" s="4">
        <v>2961.87</v>
      </c>
      <c r="M18" s="4">
        <v>2407.2860000000001</v>
      </c>
      <c r="N18" s="4">
        <v>2805.81</v>
      </c>
      <c r="O18" s="4">
        <v>2317.0129999999999</v>
      </c>
      <c r="P18" s="4">
        <v>2408.2579999999998</v>
      </c>
      <c r="R18" s="3">
        <f t="shared" si="2"/>
        <v>2580.0473999999999</v>
      </c>
      <c r="S18" s="3">
        <f t="shared" si="3"/>
        <v>127.53478825308804</v>
      </c>
    </row>
    <row r="19" spans="1:19" x14ac:dyDescent="0.25">
      <c r="A19" s="4">
        <v>11.25</v>
      </c>
      <c r="B19" s="4">
        <v>1968.702</v>
      </c>
      <c r="C19" s="4">
        <v>2434.721</v>
      </c>
      <c r="D19" s="4">
        <v>2264.1379999999999</v>
      </c>
      <c r="E19" s="4">
        <v>2234.627</v>
      </c>
      <c r="F19" s="4">
        <v>2287.5030000000002</v>
      </c>
      <c r="H19" s="2">
        <f t="shared" si="0"/>
        <v>2237.9382000000001</v>
      </c>
      <c r="I19" s="2">
        <f t="shared" si="1"/>
        <v>75.619331103494957</v>
      </c>
      <c r="K19" s="4">
        <v>11.25</v>
      </c>
      <c r="L19" s="4">
        <v>2645.3069999999998</v>
      </c>
      <c r="M19" s="4">
        <v>2151.3229999999999</v>
      </c>
      <c r="N19" s="4">
        <v>2522.904</v>
      </c>
      <c r="O19" s="4">
        <v>2067.8009999999999</v>
      </c>
      <c r="P19" s="4">
        <v>2151.248</v>
      </c>
      <c r="R19" s="3">
        <f t="shared" si="2"/>
        <v>2307.7165999999997</v>
      </c>
      <c r="S19" s="3">
        <f t="shared" si="3"/>
        <v>115.49324034790951</v>
      </c>
    </row>
    <row r="20" spans="1:19" x14ac:dyDescent="0.25">
      <c r="A20" s="4">
        <v>12.5</v>
      </c>
      <c r="B20" s="4">
        <v>1854.7059999999999</v>
      </c>
      <c r="C20" s="4">
        <v>2310.3449999999998</v>
      </c>
      <c r="D20" s="4">
        <v>2141.0709999999999</v>
      </c>
      <c r="E20" s="4">
        <v>2106.8020000000001</v>
      </c>
      <c r="F20" s="4">
        <v>2169.9290000000001</v>
      </c>
      <c r="H20" s="2">
        <f t="shared" si="0"/>
        <v>2116.5706</v>
      </c>
      <c r="I20" s="2">
        <f t="shared" si="1"/>
        <v>74.048767992857236</v>
      </c>
      <c r="K20" s="4">
        <v>12.5</v>
      </c>
      <c r="L20" s="4">
        <v>2469.8090000000002</v>
      </c>
      <c r="M20" s="4">
        <v>2013.6980000000001</v>
      </c>
      <c r="N20" s="4">
        <v>2364.7640000000001</v>
      </c>
      <c r="O20" s="4">
        <v>1945.711</v>
      </c>
      <c r="P20" s="4">
        <v>2013.009</v>
      </c>
      <c r="R20" s="3">
        <f t="shared" si="2"/>
        <v>2161.3982000000001</v>
      </c>
      <c r="S20" s="3">
        <f t="shared" si="3"/>
        <v>106.49660608836324</v>
      </c>
    </row>
    <row r="21" spans="1:19" x14ac:dyDescent="0.25">
      <c r="A21" s="4">
        <v>13.75</v>
      </c>
      <c r="B21" s="4">
        <v>1813.7819999999999</v>
      </c>
      <c r="C21" s="4">
        <v>2282.2350000000001</v>
      </c>
      <c r="D21" s="4">
        <v>2116.732</v>
      </c>
      <c r="E21" s="4">
        <v>2071.768</v>
      </c>
      <c r="F21" s="4">
        <v>2121.4720000000002</v>
      </c>
      <c r="H21" s="2">
        <f t="shared" si="0"/>
        <v>2081.1977999999999</v>
      </c>
      <c r="I21" s="2">
        <f t="shared" si="1"/>
        <v>75.796034710530904</v>
      </c>
      <c r="K21" s="4">
        <v>13.75</v>
      </c>
      <c r="L21" s="4">
        <v>2404.96</v>
      </c>
      <c r="M21" s="4">
        <v>1971.4159999999999</v>
      </c>
      <c r="N21" s="4">
        <v>2312.89</v>
      </c>
      <c r="O21" s="4">
        <v>1913.807</v>
      </c>
      <c r="P21" s="4">
        <v>1974.856</v>
      </c>
      <c r="R21" s="3">
        <f t="shared" si="2"/>
        <v>2115.5857999999998</v>
      </c>
      <c r="S21" s="3">
        <f t="shared" si="3"/>
        <v>100.98783761740816</v>
      </c>
    </row>
    <row r="22" spans="1:19" x14ac:dyDescent="0.25">
      <c r="A22" s="4">
        <v>15</v>
      </c>
      <c r="B22" s="4">
        <v>1821.91</v>
      </c>
      <c r="C22" s="4">
        <v>2291.7269999999999</v>
      </c>
      <c r="D22" s="4">
        <v>2120.2689999999998</v>
      </c>
      <c r="E22" s="4">
        <v>2068.6509999999998</v>
      </c>
      <c r="F22" s="4">
        <v>2109.0529999999999</v>
      </c>
      <c r="H22" s="2">
        <f t="shared" si="0"/>
        <v>2082.3219999999997</v>
      </c>
      <c r="I22" s="2">
        <f t="shared" si="1"/>
        <v>75.500424230596167</v>
      </c>
      <c r="K22" s="4">
        <v>15</v>
      </c>
      <c r="L22" s="4">
        <v>2409.1559999999999</v>
      </c>
      <c r="M22" s="4">
        <v>1967.402</v>
      </c>
      <c r="N22" s="4">
        <v>2308.415</v>
      </c>
      <c r="O22" s="4">
        <v>1913.6</v>
      </c>
      <c r="P22" s="4">
        <v>1967.15</v>
      </c>
      <c r="R22" s="3">
        <f t="shared" si="2"/>
        <v>2113.1446000000001</v>
      </c>
      <c r="S22" s="3">
        <f t="shared" si="3"/>
        <v>102.01143419225119</v>
      </c>
    </row>
    <row r="23" spans="1:19" x14ac:dyDescent="0.25">
      <c r="A23" s="4">
        <v>16.25</v>
      </c>
      <c r="B23" s="4">
        <v>1841.046</v>
      </c>
      <c r="C23" s="4">
        <v>2313.1869999999999</v>
      </c>
      <c r="D23" s="4">
        <v>2130.674</v>
      </c>
      <c r="E23" s="4">
        <v>2085.9760000000001</v>
      </c>
      <c r="F23" s="4">
        <v>2114.7950000000001</v>
      </c>
      <c r="H23" s="2">
        <f t="shared" si="0"/>
        <v>2097.1356000000001</v>
      </c>
      <c r="I23" s="2">
        <f t="shared" si="1"/>
        <v>75.439149658913806</v>
      </c>
      <c r="K23" s="4">
        <v>16.25</v>
      </c>
      <c r="L23" s="4">
        <v>2430.3919999999998</v>
      </c>
      <c r="M23" s="4">
        <v>1987.402</v>
      </c>
      <c r="N23" s="4">
        <v>2330.9360000000001</v>
      </c>
      <c r="O23" s="4">
        <v>1933.4069999999999</v>
      </c>
      <c r="P23" s="4">
        <v>1978.5909999999999</v>
      </c>
      <c r="R23" s="3">
        <f t="shared" si="2"/>
        <v>2132.1455999999998</v>
      </c>
      <c r="S23" s="3">
        <f t="shared" si="3"/>
        <v>103.07649933355323</v>
      </c>
    </row>
    <row r="24" spans="1:19" x14ac:dyDescent="0.25">
      <c r="A24" s="4">
        <v>17.5</v>
      </c>
      <c r="B24" s="4">
        <v>1861.403</v>
      </c>
      <c r="C24" s="4">
        <v>2337.1709999999998</v>
      </c>
      <c r="D24" s="4">
        <v>2156.5770000000002</v>
      </c>
      <c r="E24" s="4">
        <v>2118.261</v>
      </c>
      <c r="F24" s="4">
        <v>2142.759</v>
      </c>
      <c r="H24" s="2">
        <f t="shared" si="0"/>
        <v>2123.2341999999999</v>
      </c>
      <c r="I24" s="2">
        <f t="shared" si="1"/>
        <v>76.105921101054918</v>
      </c>
      <c r="K24" s="4">
        <v>17.5</v>
      </c>
      <c r="L24" s="4">
        <v>2457.8389999999999</v>
      </c>
      <c r="M24" s="4">
        <v>2012.171</v>
      </c>
      <c r="N24" s="4">
        <v>2362.11</v>
      </c>
      <c r="O24" s="4">
        <v>1963.422</v>
      </c>
      <c r="P24" s="4">
        <v>2007.952</v>
      </c>
      <c r="R24" s="3">
        <f t="shared" si="2"/>
        <v>2160.6988000000001</v>
      </c>
      <c r="S24" s="3">
        <f t="shared" si="3"/>
        <v>103.23976899499532</v>
      </c>
    </row>
    <row r="25" spans="1:19" x14ac:dyDescent="0.25">
      <c r="A25" s="4">
        <v>18.75</v>
      </c>
      <c r="B25" s="4">
        <v>1894.645</v>
      </c>
      <c r="C25" s="4">
        <v>2369.538</v>
      </c>
      <c r="D25" s="4">
        <v>2192.27</v>
      </c>
      <c r="E25" s="4">
        <v>2150.1880000000001</v>
      </c>
      <c r="F25" s="4">
        <v>2186.9110000000001</v>
      </c>
      <c r="H25" s="2">
        <f t="shared" si="0"/>
        <v>2158.7103999999999</v>
      </c>
      <c r="I25" s="2">
        <f t="shared" si="1"/>
        <v>76.214488220154053</v>
      </c>
      <c r="K25" s="4">
        <v>18.75</v>
      </c>
      <c r="L25" s="4">
        <v>2484.8200000000002</v>
      </c>
      <c r="M25" s="4">
        <v>2040.587</v>
      </c>
      <c r="N25" s="4">
        <v>2403.6660000000002</v>
      </c>
      <c r="O25" s="4">
        <v>1989.6880000000001</v>
      </c>
      <c r="P25" s="4">
        <v>2039.8779999999999</v>
      </c>
      <c r="R25" s="3">
        <f t="shared" si="2"/>
        <v>2191.7278000000001</v>
      </c>
      <c r="S25" s="3">
        <f t="shared" si="3"/>
        <v>104.2935334258074</v>
      </c>
    </row>
    <row r="26" spans="1:19" x14ac:dyDescent="0.25">
      <c r="A26" s="4">
        <v>20</v>
      </c>
      <c r="B26" s="4">
        <v>1934.021</v>
      </c>
      <c r="C26" s="4">
        <v>2412.7849999999999</v>
      </c>
      <c r="D26" s="4">
        <v>2226.1469999999999</v>
      </c>
      <c r="E26" s="4">
        <v>2184.7750000000001</v>
      </c>
      <c r="F26" s="4">
        <v>2221.1289999999999</v>
      </c>
      <c r="H26" s="2">
        <f t="shared" si="0"/>
        <v>2195.7714000000001</v>
      </c>
      <c r="I26" s="2">
        <f t="shared" si="1"/>
        <v>76.58158403010475</v>
      </c>
      <c r="K26" s="4">
        <v>20</v>
      </c>
      <c r="L26" s="4">
        <v>2526.5100000000002</v>
      </c>
      <c r="M26" s="4">
        <v>2071.7559999999999</v>
      </c>
      <c r="N26" s="4">
        <v>2436.4969999999998</v>
      </c>
      <c r="O26" s="4">
        <v>2008.8040000000001</v>
      </c>
      <c r="P26" s="4">
        <v>2064.9699999999998</v>
      </c>
      <c r="R26" s="3">
        <f t="shared" si="2"/>
        <v>2221.7073999999998</v>
      </c>
      <c r="S26" s="3">
        <f t="shared" si="3"/>
        <v>107.56837125456538</v>
      </c>
    </row>
    <row r="27" spans="1:19" x14ac:dyDescent="0.25">
      <c r="A27" s="4">
        <v>21.25</v>
      </c>
      <c r="B27" s="4">
        <v>1955.212</v>
      </c>
      <c r="C27" s="4">
        <v>2442.5659999999998</v>
      </c>
      <c r="D27" s="4">
        <v>2251.9760000000001</v>
      </c>
      <c r="E27" s="4">
        <v>2207.8020000000001</v>
      </c>
      <c r="F27" s="4">
        <v>2227.7689999999998</v>
      </c>
      <c r="H27" s="2">
        <f t="shared" si="0"/>
        <v>2217.0650000000001</v>
      </c>
      <c r="I27" s="2">
        <f t="shared" si="1"/>
        <v>77.729290269498762</v>
      </c>
      <c r="K27" s="4">
        <v>21.25</v>
      </c>
      <c r="L27" s="4">
        <v>2564.0050000000001</v>
      </c>
      <c r="M27" s="4">
        <v>2099.36</v>
      </c>
      <c r="N27" s="4">
        <v>2461.7220000000002</v>
      </c>
      <c r="O27" s="4">
        <v>2019.952</v>
      </c>
      <c r="P27" s="4">
        <v>2077.2759999999998</v>
      </c>
      <c r="R27" s="3">
        <f t="shared" si="2"/>
        <v>2244.4629999999997</v>
      </c>
      <c r="S27" s="3">
        <f t="shared" si="3"/>
        <v>111.51684302023622</v>
      </c>
    </row>
    <row r="28" spans="1:19" x14ac:dyDescent="0.25">
      <c r="A28" s="4">
        <v>22.5</v>
      </c>
      <c r="B28" s="4">
        <v>1948.6880000000001</v>
      </c>
      <c r="C28" s="4">
        <v>2454.6849999999999</v>
      </c>
      <c r="D28" s="4">
        <v>2252.1080000000002</v>
      </c>
      <c r="E28" s="4">
        <v>2214.35</v>
      </c>
      <c r="F28" s="4">
        <v>2215.3919999999998</v>
      </c>
      <c r="H28" s="2">
        <f t="shared" si="0"/>
        <v>2217.0446000000002</v>
      </c>
      <c r="I28" s="2">
        <f t="shared" si="1"/>
        <v>80.53808367822019</v>
      </c>
      <c r="K28" s="4">
        <v>22.5</v>
      </c>
      <c r="L28" s="4">
        <v>2567.4160000000002</v>
      </c>
      <c r="M28" s="4">
        <v>2106.0540000000001</v>
      </c>
      <c r="N28" s="4">
        <v>2466.7559999999999</v>
      </c>
      <c r="O28" s="4">
        <v>2029.386</v>
      </c>
      <c r="P28" s="4">
        <v>2078.0650000000001</v>
      </c>
      <c r="R28" s="3">
        <f t="shared" si="2"/>
        <v>2249.5354000000002</v>
      </c>
      <c r="S28" s="3">
        <f t="shared" si="3"/>
        <v>111.06026144917902</v>
      </c>
    </row>
    <row r="29" spans="1:19" x14ac:dyDescent="0.25">
      <c r="A29" s="4">
        <v>23.75</v>
      </c>
      <c r="B29" s="4">
        <v>1939.3810000000001</v>
      </c>
      <c r="C29" s="4">
        <v>2449.7179999999998</v>
      </c>
      <c r="D29" s="4">
        <v>2241.663</v>
      </c>
      <c r="E29" s="4">
        <v>2222.181</v>
      </c>
      <c r="F29" s="4">
        <v>2212.33</v>
      </c>
      <c r="H29" s="2">
        <f t="shared" si="0"/>
        <v>2213.0546000000004</v>
      </c>
      <c r="I29" s="2">
        <f t="shared" si="1"/>
        <v>81.181605370059003</v>
      </c>
      <c r="K29" s="4">
        <v>23.75</v>
      </c>
      <c r="L29" s="4">
        <v>2563.1610000000001</v>
      </c>
      <c r="M29" s="4">
        <v>2112.1959999999999</v>
      </c>
      <c r="N29" s="4">
        <v>2456.6970000000001</v>
      </c>
      <c r="O29" s="4">
        <v>2036.277</v>
      </c>
      <c r="P29" s="4">
        <v>2086.777</v>
      </c>
      <c r="R29" s="3">
        <f t="shared" si="2"/>
        <v>2251.0216</v>
      </c>
      <c r="S29" s="3">
        <f t="shared" si="3"/>
        <v>107.72591477244463</v>
      </c>
    </row>
    <row r="30" spans="1:19" x14ac:dyDescent="0.25">
      <c r="A30" s="4">
        <v>25</v>
      </c>
      <c r="B30" s="4">
        <v>1938.66</v>
      </c>
      <c r="C30" s="4">
        <v>2436.098</v>
      </c>
      <c r="D30" s="4">
        <v>2242.759</v>
      </c>
      <c r="E30" s="4">
        <v>2238.6170000000002</v>
      </c>
      <c r="F30" s="4">
        <v>2224.123</v>
      </c>
      <c r="H30" s="2">
        <f t="shared" si="0"/>
        <v>2216.0513999999998</v>
      </c>
      <c r="I30" s="2">
        <f t="shared" si="1"/>
        <v>79.578309825353756</v>
      </c>
      <c r="K30" s="4">
        <v>25</v>
      </c>
      <c r="L30" s="4">
        <v>2566.835</v>
      </c>
      <c r="M30" s="4">
        <v>2142.0790000000002</v>
      </c>
      <c r="N30" s="4">
        <v>2452.7890000000002</v>
      </c>
      <c r="O30" s="4">
        <v>2055.1190000000001</v>
      </c>
      <c r="P30" s="4">
        <v>2094.8580000000002</v>
      </c>
      <c r="R30" s="3">
        <f t="shared" si="2"/>
        <v>2262.3360000000002</v>
      </c>
      <c r="S30" s="3">
        <f t="shared" si="3"/>
        <v>103.54745236653578</v>
      </c>
    </row>
    <row r="31" spans="1:19" x14ac:dyDescent="0.25">
      <c r="A31" s="4">
        <v>26.25</v>
      </c>
      <c r="B31" s="4">
        <v>1941.4780000000001</v>
      </c>
      <c r="C31" s="4">
        <v>2447.4560000000001</v>
      </c>
      <c r="D31" s="4">
        <v>2262.2570000000001</v>
      </c>
      <c r="E31" s="4">
        <v>2257.6489999999999</v>
      </c>
      <c r="F31" s="4">
        <v>2240.7550000000001</v>
      </c>
      <c r="H31" s="2">
        <f t="shared" si="0"/>
        <v>2229.9190000000003</v>
      </c>
      <c r="I31" s="2">
        <f t="shared" si="1"/>
        <v>81.379565890338839</v>
      </c>
      <c r="K31" s="4">
        <v>26.25</v>
      </c>
      <c r="L31" s="4">
        <v>2556.4830000000002</v>
      </c>
      <c r="M31" s="4">
        <v>2156.9270000000001</v>
      </c>
      <c r="N31" s="4">
        <v>2470.8609999999999</v>
      </c>
      <c r="O31" s="4">
        <v>2082.3910000000001</v>
      </c>
      <c r="P31" s="4">
        <v>2112.7060000000001</v>
      </c>
      <c r="R31" s="3">
        <f t="shared" si="2"/>
        <v>2275.8735999999999</v>
      </c>
      <c r="S31" s="3">
        <f t="shared" si="3"/>
        <v>98.73428922395702</v>
      </c>
    </row>
    <row r="32" spans="1:19" x14ac:dyDescent="0.25">
      <c r="A32" s="4">
        <v>27.5</v>
      </c>
      <c r="B32" s="4">
        <v>1945.867</v>
      </c>
      <c r="C32" s="4">
        <v>2451.5940000000001</v>
      </c>
      <c r="D32" s="4">
        <v>2272.9369999999999</v>
      </c>
      <c r="E32" s="4">
        <v>2259.663</v>
      </c>
      <c r="F32" s="4">
        <v>2237.34</v>
      </c>
      <c r="H32" s="2">
        <f t="shared" si="0"/>
        <v>2233.4802</v>
      </c>
      <c r="I32" s="2">
        <f t="shared" si="1"/>
        <v>81.410152531118641</v>
      </c>
      <c r="K32" s="4">
        <v>27.5</v>
      </c>
      <c r="L32" s="4">
        <v>2552.6619999999998</v>
      </c>
      <c r="M32" s="4">
        <v>2153.373</v>
      </c>
      <c r="N32" s="4">
        <v>2481.3380000000002</v>
      </c>
      <c r="O32" s="4">
        <v>2093.4899999999998</v>
      </c>
      <c r="P32" s="4">
        <v>2122.2089999999998</v>
      </c>
      <c r="R32" s="3">
        <f t="shared" si="2"/>
        <v>2280.6143999999999</v>
      </c>
      <c r="S32" s="3">
        <f t="shared" si="3"/>
        <v>97.621218482766366</v>
      </c>
    </row>
    <row r="33" spans="1:19" x14ac:dyDescent="0.25">
      <c r="A33" s="4">
        <v>28.75</v>
      </c>
      <c r="B33" s="4">
        <v>1955.962</v>
      </c>
      <c r="C33" s="4">
        <v>2450.614</v>
      </c>
      <c r="D33" s="4">
        <v>2283.7190000000001</v>
      </c>
      <c r="E33" s="4">
        <v>2257.7660000000001</v>
      </c>
      <c r="F33" s="4">
        <v>2238.3739999999998</v>
      </c>
      <c r="H33" s="2">
        <f t="shared" si="0"/>
        <v>2237.2869999999998</v>
      </c>
      <c r="I33" s="2">
        <f t="shared" si="1"/>
        <v>79.758593953253722</v>
      </c>
      <c r="K33" s="4">
        <v>28.75</v>
      </c>
      <c r="L33" s="4">
        <v>2554.328</v>
      </c>
      <c r="M33" s="4">
        <v>2120.1370000000002</v>
      </c>
      <c r="N33" s="4">
        <v>2485.2350000000001</v>
      </c>
      <c r="O33" s="4">
        <v>2087.7130000000002</v>
      </c>
      <c r="P33" s="4">
        <v>2121.4940000000001</v>
      </c>
      <c r="R33" s="3">
        <f t="shared" si="2"/>
        <v>2273.7814000000003</v>
      </c>
      <c r="S33" s="3">
        <f t="shared" si="3"/>
        <v>101.20240191151588</v>
      </c>
    </row>
    <row r="34" spans="1:19" x14ac:dyDescent="0.25">
      <c r="A34" s="4">
        <v>30</v>
      </c>
      <c r="B34" s="4">
        <v>1973.0619999999999</v>
      </c>
      <c r="C34" s="4">
        <v>2484.299</v>
      </c>
      <c r="D34" s="4">
        <v>2304.069</v>
      </c>
      <c r="E34" s="4">
        <v>2284.4029999999998</v>
      </c>
      <c r="F34" s="4">
        <v>2246.87</v>
      </c>
      <c r="H34" s="2">
        <f t="shared" si="0"/>
        <v>2258.5406000000003</v>
      </c>
      <c r="I34" s="2">
        <f t="shared" si="1"/>
        <v>82.262624585287824</v>
      </c>
      <c r="K34" s="4">
        <v>30</v>
      </c>
      <c r="L34" s="4">
        <v>2569.5700000000002</v>
      </c>
      <c r="M34" s="4">
        <v>2126.9209999999998</v>
      </c>
      <c r="N34" s="4">
        <v>2507.6219999999998</v>
      </c>
      <c r="O34" s="4">
        <v>2099.9490000000001</v>
      </c>
      <c r="P34" s="4">
        <v>2154.6759999999999</v>
      </c>
      <c r="R34" s="3">
        <f t="shared" si="2"/>
        <v>2291.7475999999997</v>
      </c>
      <c r="S34" s="3">
        <f t="shared" si="3"/>
        <v>101.6194314767604</v>
      </c>
    </row>
    <row r="35" spans="1:19" x14ac:dyDescent="0.25">
      <c r="A35" s="4">
        <v>31.25</v>
      </c>
      <c r="B35" s="4">
        <v>1985.0740000000001</v>
      </c>
      <c r="C35" s="4">
        <v>2513.19</v>
      </c>
      <c r="D35" s="4">
        <v>2314.076</v>
      </c>
      <c r="E35" s="4">
        <v>2307.4299999999998</v>
      </c>
      <c r="F35" s="4">
        <v>2263.2739999999999</v>
      </c>
      <c r="H35" s="2">
        <f t="shared" si="0"/>
        <v>2276.6088</v>
      </c>
      <c r="I35" s="2">
        <f t="shared" si="1"/>
        <v>84.703824630532466</v>
      </c>
      <c r="K35" s="4">
        <v>31.25</v>
      </c>
      <c r="L35" s="4">
        <v>2589.223</v>
      </c>
      <c r="M35" s="4">
        <v>2152.9209999999998</v>
      </c>
      <c r="N35" s="4">
        <v>2531.86</v>
      </c>
      <c r="O35" s="4">
        <v>2119.1469999999999</v>
      </c>
      <c r="P35" s="4">
        <v>2162.473</v>
      </c>
      <c r="R35" s="3">
        <f t="shared" si="2"/>
        <v>2311.1248000000005</v>
      </c>
      <c r="S35" s="3">
        <f t="shared" si="3"/>
        <v>102.48022078254908</v>
      </c>
    </row>
    <row r="36" spans="1:19" x14ac:dyDescent="0.25">
      <c r="A36" s="4">
        <v>32.5</v>
      </c>
      <c r="B36" s="4">
        <v>1987.2550000000001</v>
      </c>
      <c r="C36" s="4">
        <v>2517.4090000000001</v>
      </c>
      <c r="D36" s="4">
        <v>2314.2530000000002</v>
      </c>
      <c r="E36" s="4">
        <v>2301.712</v>
      </c>
      <c r="F36" s="4">
        <v>2267.7139999999999</v>
      </c>
      <c r="H36" s="2">
        <f t="shared" si="0"/>
        <v>2277.6686</v>
      </c>
      <c r="I36" s="2">
        <f t="shared" si="1"/>
        <v>84.80304119699953</v>
      </c>
      <c r="K36" s="4">
        <v>32.5</v>
      </c>
      <c r="L36" s="4">
        <v>2608.54</v>
      </c>
      <c r="M36" s="4">
        <v>2163.386</v>
      </c>
      <c r="N36" s="4">
        <v>2537.8270000000002</v>
      </c>
      <c r="O36" s="4">
        <v>2110.4920000000002</v>
      </c>
      <c r="P36" s="4">
        <v>2162.4839999999999</v>
      </c>
      <c r="R36" s="3">
        <f t="shared" si="2"/>
        <v>2316.5457999999999</v>
      </c>
      <c r="S36" s="3">
        <f t="shared" si="3"/>
        <v>105.8010192192873</v>
      </c>
    </row>
    <row r="37" spans="1:19" x14ac:dyDescent="0.25">
      <c r="A37" s="4">
        <v>33.75</v>
      </c>
      <c r="B37" s="4">
        <v>1989.3579999999999</v>
      </c>
      <c r="C37" s="4">
        <v>2512.0250000000001</v>
      </c>
      <c r="D37" s="4">
        <v>2310.4609999999998</v>
      </c>
      <c r="E37" s="4">
        <v>2299.0700000000002</v>
      </c>
      <c r="F37" s="4">
        <v>2262.8240000000001</v>
      </c>
      <c r="H37" s="2">
        <f t="shared" si="0"/>
        <v>2274.7475999999997</v>
      </c>
      <c r="I37" s="2">
        <f t="shared" si="1"/>
        <v>83.59335699001447</v>
      </c>
      <c r="K37" s="4">
        <v>33.75</v>
      </c>
      <c r="L37" s="4">
        <v>2632.1930000000002</v>
      </c>
      <c r="M37" s="4">
        <v>2175.5880000000002</v>
      </c>
      <c r="N37" s="4">
        <v>2540.0659999999998</v>
      </c>
      <c r="O37" s="4">
        <v>2126.0540000000001</v>
      </c>
      <c r="P37" s="4">
        <v>2165.2600000000002</v>
      </c>
      <c r="R37" s="3">
        <f t="shared" si="2"/>
        <v>2327.8322000000003</v>
      </c>
      <c r="S37" s="3">
        <f t="shared" si="3"/>
        <v>106.77104970000056</v>
      </c>
    </row>
    <row r="38" spans="1:19" x14ac:dyDescent="0.25">
      <c r="A38" s="4">
        <v>35</v>
      </c>
      <c r="B38" s="4">
        <v>1967.1210000000001</v>
      </c>
      <c r="C38" s="4">
        <v>2483.7539999999999</v>
      </c>
      <c r="D38" s="4">
        <v>2291.4850000000001</v>
      </c>
      <c r="E38" s="4">
        <v>2285.6950000000002</v>
      </c>
      <c r="F38" s="4">
        <v>2235.7979999999998</v>
      </c>
      <c r="H38" s="2">
        <f t="shared" si="0"/>
        <v>2252.7705999999998</v>
      </c>
      <c r="I38" s="2">
        <f t="shared" si="1"/>
        <v>83.012021746612078</v>
      </c>
      <c r="K38" s="4">
        <v>35</v>
      </c>
      <c r="L38" s="4">
        <v>2589.5880000000002</v>
      </c>
      <c r="M38" s="4">
        <v>2144.9319999999998</v>
      </c>
      <c r="N38" s="4">
        <v>2516.27</v>
      </c>
      <c r="O38" s="4">
        <v>2112.0610000000001</v>
      </c>
      <c r="P38" s="4">
        <v>2140.576</v>
      </c>
      <c r="R38" s="3">
        <f t="shared" si="2"/>
        <v>2300.6853999999998</v>
      </c>
      <c r="S38" s="3">
        <f t="shared" si="3"/>
        <v>103.78216077419087</v>
      </c>
    </row>
    <row r="39" spans="1:19" x14ac:dyDescent="0.25">
      <c r="A39" s="4">
        <v>36.25</v>
      </c>
      <c r="B39" s="4">
        <v>1880.864</v>
      </c>
      <c r="C39" s="4">
        <v>2373.8359999999998</v>
      </c>
      <c r="D39" s="4">
        <v>2185.6590000000001</v>
      </c>
      <c r="E39" s="4">
        <v>2191.8870000000002</v>
      </c>
      <c r="F39" s="4">
        <v>2131.8560000000002</v>
      </c>
      <c r="H39" s="2">
        <f t="shared" si="0"/>
        <v>2152.8204000000001</v>
      </c>
      <c r="I39" s="2">
        <f t="shared" si="1"/>
        <v>79.325991294530908</v>
      </c>
      <c r="K39" s="4">
        <v>36.25</v>
      </c>
      <c r="L39" s="4">
        <v>2477.962</v>
      </c>
      <c r="M39" s="4">
        <v>2038.43</v>
      </c>
      <c r="N39" s="4">
        <v>2401.7719999999999</v>
      </c>
      <c r="O39" s="4">
        <v>2012.4269999999999</v>
      </c>
      <c r="P39" s="4">
        <v>2041.5350000000001</v>
      </c>
      <c r="R39" s="3">
        <f t="shared" si="2"/>
        <v>2194.4252000000001</v>
      </c>
      <c r="S39" s="3">
        <f t="shared" si="3"/>
        <v>101.04926345768186</v>
      </c>
    </row>
    <row r="40" spans="1:19" x14ac:dyDescent="0.25">
      <c r="A40" s="4">
        <v>37.5</v>
      </c>
      <c r="B40" s="4">
        <v>1743.7370000000001</v>
      </c>
      <c r="C40" s="4">
        <v>2202.9520000000002</v>
      </c>
      <c r="D40" s="4">
        <v>2027.3030000000001</v>
      </c>
      <c r="E40" s="4">
        <v>2037.788</v>
      </c>
      <c r="F40" s="4">
        <v>1980.124</v>
      </c>
      <c r="H40" s="2">
        <f t="shared" si="0"/>
        <v>1998.3808000000001</v>
      </c>
      <c r="I40" s="2">
        <f t="shared" si="1"/>
        <v>73.96471204527198</v>
      </c>
      <c r="K40" s="4">
        <v>37.5</v>
      </c>
      <c r="L40" s="4">
        <v>2294.1120000000001</v>
      </c>
      <c r="M40" s="4">
        <v>1907.7929999999999</v>
      </c>
      <c r="N40" s="4">
        <v>2228.6</v>
      </c>
      <c r="O40" s="4">
        <v>1854.8910000000001</v>
      </c>
      <c r="P40" s="4">
        <v>1902.364</v>
      </c>
      <c r="R40" s="3">
        <f t="shared" si="2"/>
        <v>2037.5519999999997</v>
      </c>
      <c r="S40" s="3">
        <f t="shared" si="3"/>
        <v>92.412284424204117</v>
      </c>
    </row>
    <row r="41" spans="1:19" x14ac:dyDescent="0.25">
      <c r="A41" s="4">
        <v>38.75</v>
      </c>
      <c r="B41" s="4">
        <v>1619.8710000000001</v>
      </c>
      <c r="C41" s="4">
        <v>2049.08</v>
      </c>
      <c r="D41" s="4">
        <v>1888.66</v>
      </c>
      <c r="E41" s="4">
        <v>1908.4690000000001</v>
      </c>
      <c r="F41" s="4">
        <v>1849.307</v>
      </c>
      <c r="H41" s="2">
        <f t="shared" si="0"/>
        <v>1863.0774000000001</v>
      </c>
      <c r="I41" s="2">
        <f t="shared" si="1"/>
        <v>69.516476786874037</v>
      </c>
      <c r="K41" s="4">
        <v>38.75</v>
      </c>
      <c r="L41" s="4">
        <v>2130.14</v>
      </c>
      <c r="M41" s="4">
        <v>1775.123</v>
      </c>
      <c r="N41" s="4">
        <v>2077.6379999999999</v>
      </c>
      <c r="O41" s="4">
        <v>1728.758</v>
      </c>
      <c r="P41" s="4">
        <v>1767.009</v>
      </c>
      <c r="R41" s="3">
        <f t="shared" si="2"/>
        <v>1895.7336</v>
      </c>
      <c r="S41" s="3">
        <f t="shared" si="3"/>
        <v>85.741868877812507</v>
      </c>
    </row>
    <row r="42" spans="1:19" x14ac:dyDescent="0.25">
      <c r="A42" s="4">
        <v>40</v>
      </c>
      <c r="B42" s="4">
        <v>1553.066</v>
      </c>
      <c r="C42" s="4">
        <v>1964.297</v>
      </c>
      <c r="D42" s="4">
        <v>1811.617</v>
      </c>
      <c r="E42" s="4">
        <v>1820.5840000000001</v>
      </c>
      <c r="F42" s="4">
        <v>1764.4369999999999</v>
      </c>
      <c r="H42" s="2">
        <f t="shared" si="0"/>
        <v>1782.8002000000001</v>
      </c>
      <c r="I42" s="2">
        <f t="shared" si="1"/>
        <v>66.450779408070147</v>
      </c>
      <c r="K42" s="4">
        <v>40</v>
      </c>
      <c r="L42" s="4">
        <v>2042.4749999999999</v>
      </c>
      <c r="M42" s="4">
        <v>1689.934</v>
      </c>
      <c r="N42" s="4">
        <v>1986.9849999999999</v>
      </c>
      <c r="O42" s="4">
        <v>1661.83</v>
      </c>
      <c r="P42" s="4">
        <v>1685.43</v>
      </c>
      <c r="R42" s="3">
        <f t="shared" si="2"/>
        <v>1813.3307999999997</v>
      </c>
      <c r="S42" s="3">
        <f t="shared" si="3"/>
        <v>82.82533515259685</v>
      </c>
    </row>
    <row r="43" spans="1:19" x14ac:dyDescent="0.25">
      <c r="A43" s="4">
        <v>41.25</v>
      </c>
      <c r="B43" s="4">
        <v>1518.5630000000001</v>
      </c>
      <c r="C43" s="4">
        <v>1928.934</v>
      </c>
      <c r="D43" s="4">
        <v>1770.1</v>
      </c>
      <c r="E43" s="4">
        <v>1790.376</v>
      </c>
      <c r="F43" s="4">
        <v>1717.31</v>
      </c>
      <c r="H43" s="2">
        <f t="shared" si="0"/>
        <v>1745.0565999999999</v>
      </c>
      <c r="I43" s="2">
        <f t="shared" si="1"/>
        <v>66.54364837578413</v>
      </c>
      <c r="K43" s="4">
        <v>41.25</v>
      </c>
      <c r="L43" s="4">
        <v>1998.683</v>
      </c>
      <c r="M43" s="4">
        <v>1660.2660000000001</v>
      </c>
      <c r="N43" s="4">
        <v>1938.1079999999999</v>
      </c>
      <c r="O43" s="4">
        <v>1621.5650000000001</v>
      </c>
      <c r="P43" s="4">
        <v>1651.001</v>
      </c>
      <c r="R43" s="3">
        <f t="shared" si="2"/>
        <v>1773.9245999999998</v>
      </c>
      <c r="S43" s="3">
        <f t="shared" si="3"/>
        <v>80.222959216548446</v>
      </c>
    </row>
    <row r="44" spans="1:19" x14ac:dyDescent="0.25">
      <c r="A44" s="4">
        <v>42.5</v>
      </c>
      <c r="B44" s="4">
        <v>1509.2550000000001</v>
      </c>
      <c r="C44" s="4">
        <v>1914.059</v>
      </c>
      <c r="D44" s="4">
        <v>1761.8489999999999</v>
      </c>
      <c r="E44" s="4">
        <v>1782.066</v>
      </c>
      <c r="F44" s="4">
        <v>1710.336</v>
      </c>
      <c r="H44" s="2">
        <f t="shared" si="0"/>
        <v>1735.5130000000001</v>
      </c>
      <c r="I44" s="2">
        <f t="shared" si="1"/>
        <v>65.78981863252092</v>
      </c>
      <c r="K44" s="4">
        <v>42.5</v>
      </c>
      <c r="L44" s="4">
        <v>1983.473</v>
      </c>
      <c r="M44" s="4">
        <v>1642.3889999999999</v>
      </c>
      <c r="N44" s="4">
        <v>1928.7909999999999</v>
      </c>
      <c r="O44" s="4">
        <v>1601.3510000000001</v>
      </c>
      <c r="P44" s="4">
        <v>1645.7840000000001</v>
      </c>
      <c r="R44" s="3">
        <f t="shared" si="2"/>
        <v>1760.3576</v>
      </c>
      <c r="S44" s="3">
        <f t="shared" si="3"/>
        <v>80.770381699977108</v>
      </c>
    </row>
    <row r="45" spans="1:19" x14ac:dyDescent="0.25">
      <c r="A45" s="4">
        <v>43.75</v>
      </c>
      <c r="B45" s="4">
        <v>1514.1690000000001</v>
      </c>
      <c r="C45" s="4">
        <v>1922.269</v>
      </c>
      <c r="D45" s="4">
        <v>1773.501</v>
      </c>
      <c r="E45" s="4">
        <v>1787.7</v>
      </c>
      <c r="F45" s="4">
        <v>1719.3510000000001</v>
      </c>
      <c r="H45" s="2">
        <f t="shared" si="0"/>
        <v>1743.3979999999999</v>
      </c>
      <c r="I45" s="2">
        <f t="shared" si="1"/>
        <v>66.327929676720629</v>
      </c>
      <c r="K45" s="4">
        <v>43.75</v>
      </c>
      <c r="L45" s="4">
        <v>1987.64</v>
      </c>
      <c r="M45" s="4">
        <v>1651.1210000000001</v>
      </c>
      <c r="N45" s="4">
        <v>1933.0429999999999</v>
      </c>
      <c r="O45" s="4">
        <v>1602.8009999999999</v>
      </c>
      <c r="P45" s="4">
        <v>1642.078</v>
      </c>
      <c r="R45" s="3">
        <f t="shared" si="2"/>
        <v>1763.3365999999999</v>
      </c>
      <c r="S45" s="3">
        <f t="shared" si="3"/>
        <v>81.295739518501207</v>
      </c>
    </row>
    <row r="46" spans="1:19" x14ac:dyDescent="0.25">
      <c r="A46" s="4">
        <v>45</v>
      </c>
      <c r="B46" s="4">
        <v>1537.413</v>
      </c>
      <c r="C46" s="4">
        <v>1943.607</v>
      </c>
      <c r="D46" s="4">
        <v>1808.5250000000001</v>
      </c>
      <c r="E46" s="4">
        <v>1811.9159999999999</v>
      </c>
      <c r="F46" s="4">
        <v>1735.8340000000001</v>
      </c>
      <c r="H46" s="2">
        <f t="shared" si="0"/>
        <v>1767.4590000000001</v>
      </c>
      <c r="I46" s="2">
        <f t="shared" si="1"/>
        <v>66.562850693911827</v>
      </c>
      <c r="K46" s="4">
        <v>45</v>
      </c>
      <c r="L46" s="4">
        <v>2004.549</v>
      </c>
      <c r="M46" s="4">
        <v>1672.2339999999999</v>
      </c>
      <c r="N46" s="4">
        <v>1955.1759999999999</v>
      </c>
      <c r="O46" s="4">
        <v>1618.1020000000001</v>
      </c>
      <c r="P46" s="4">
        <v>1662.0219999999999</v>
      </c>
      <c r="R46" s="3">
        <f t="shared" si="2"/>
        <v>1782.4165999999998</v>
      </c>
      <c r="S46" s="3">
        <f t="shared" si="3"/>
        <v>81.493240898616847</v>
      </c>
    </row>
    <row r="47" spans="1:19" x14ac:dyDescent="0.25">
      <c r="A47" s="4">
        <v>46.25</v>
      </c>
      <c r="B47" s="4">
        <v>1586.9739999999999</v>
      </c>
      <c r="C47" s="4">
        <v>1996.412</v>
      </c>
      <c r="D47" s="4">
        <v>1867.067</v>
      </c>
      <c r="E47" s="4">
        <v>1867.1980000000001</v>
      </c>
      <c r="F47" s="4">
        <v>1779.46</v>
      </c>
      <c r="H47" s="2">
        <f t="shared" si="0"/>
        <v>1819.4222000000002</v>
      </c>
      <c r="I47" s="2">
        <f t="shared" si="1"/>
        <v>67.641365468476479</v>
      </c>
      <c r="K47" s="4">
        <v>46.25</v>
      </c>
      <c r="L47" s="4">
        <v>2043.221</v>
      </c>
      <c r="M47" s="4">
        <v>1708.8109999999999</v>
      </c>
      <c r="N47" s="4">
        <v>2002.893</v>
      </c>
      <c r="O47" s="4">
        <v>1653.9639999999999</v>
      </c>
      <c r="P47" s="4">
        <v>1705.106</v>
      </c>
      <c r="R47" s="3">
        <f t="shared" si="2"/>
        <v>1822.7990000000002</v>
      </c>
      <c r="S47" s="3">
        <f t="shared" si="3"/>
        <v>82.574169852926772</v>
      </c>
    </row>
    <row r="48" spans="1:19" x14ac:dyDescent="0.25">
      <c r="A48" s="4">
        <v>47.5</v>
      </c>
      <c r="B48" s="4">
        <v>1659.2650000000001</v>
      </c>
      <c r="C48" s="4">
        <v>2095.9630000000002</v>
      </c>
      <c r="D48" s="4">
        <v>1954.9380000000001</v>
      </c>
      <c r="E48" s="4">
        <v>1947.5930000000001</v>
      </c>
      <c r="F48" s="4">
        <v>1848.539</v>
      </c>
      <c r="H48" s="2">
        <f t="shared" si="0"/>
        <v>1901.2596000000001</v>
      </c>
      <c r="I48" s="2">
        <f t="shared" si="1"/>
        <v>72.207484600697754</v>
      </c>
      <c r="K48" s="4">
        <v>47.5</v>
      </c>
      <c r="L48" s="4">
        <v>2136.9639999999999</v>
      </c>
      <c r="M48" s="4">
        <v>1774.845</v>
      </c>
      <c r="N48" s="4">
        <v>2091.1770000000001</v>
      </c>
      <c r="O48" s="4">
        <v>1717.606</v>
      </c>
      <c r="P48" s="4">
        <v>1768.924</v>
      </c>
      <c r="R48" s="3">
        <f t="shared" si="2"/>
        <v>1897.9032</v>
      </c>
      <c r="S48" s="3">
        <f t="shared" si="3"/>
        <v>89.104114049464641</v>
      </c>
    </row>
    <row r="49" spans="1:19" x14ac:dyDescent="0.25">
      <c r="A49" s="4">
        <v>48.75</v>
      </c>
      <c r="B49" s="4">
        <v>1719.367</v>
      </c>
      <c r="C49" s="4">
        <v>2182.6480000000001</v>
      </c>
      <c r="D49" s="4">
        <v>2022.663</v>
      </c>
      <c r="E49" s="4">
        <v>2002.66</v>
      </c>
      <c r="F49" s="4">
        <v>1888.038</v>
      </c>
      <c r="H49" s="2">
        <f t="shared" si="0"/>
        <v>1963.0752</v>
      </c>
      <c r="I49" s="2">
        <f t="shared" si="1"/>
        <v>76.926635481736767</v>
      </c>
      <c r="K49" s="4">
        <v>48.75</v>
      </c>
      <c r="L49" s="4">
        <v>2218.116</v>
      </c>
      <c r="M49" s="4">
        <v>1834.259</v>
      </c>
      <c r="N49" s="4">
        <v>2165.6129999999998</v>
      </c>
      <c r="O49" s="4">
        <v>1774.6420000000001</v>
      </c>
      <c r="P49" s="4">
        <v>1822.5550000000001</v>
      </c>
      <c r="R49" s="3">
        <f t="shared" si="2"/>
        <v>1963.0369999999998</v>
      </c>
      <c r="S49" s="3">
        <f t="shared" si="3"/>
        <v>94.317011628337724</v>
      </c>
    </row>
    <row r="50" spans="1:19" x14ac:dyDescent="0.25">
      <c r="A50" s="4">
        <v>50</v>
      </c>
      <c r="B50" s="4">
        <v>1757.42</v>
      </c>
      <c r="C50" s="4">
        <v>2222.4209999999998</v>
      </c>
      <c r="D50" s="4">
        <v>2068.998</v>
      </c>
      <c r="E50" s="4">
        <v>2048.2429999999999</v>
      </c>
      <c r="F50" s="4">
        <v>1921.1759999999999</v>
      </c>
      <c r="H50" s="2">
        <f t="shared" si="0"/>
        <v>2003.6515999999999</v>
      </c>
      <c r="I50" s="2">
        <f t="shared" si="1"/>
        <v>77.958585401865733</v>
      </c>
      <c r="K50" s="4">
        <v>50</v>
      </c>
      <c r="L50" s="4">
        <v>2260.9859999999999</v>
      </c>
      <c r="M50" s="4">
        <v>1864.4159999999999</v>
      </c>
      <c r="N50" s="4">
        <v>2219.8139999999999</v>
      </c>
      <c r="O50" s="4">
        <v>1818.4849999999999</v>
      </c>
      <c r="P50" s="4">
        <v>1865.979</v>
      </c>
      <c r="R50" s="3">
        <f t="shared" si="2"/>
        <v>2005.9360000000001</v>
      </c>
      <c r="S50" s="3">
        <f t="shared" si="3"/>
        <v>96.319274040557389</v>
      </c>
    </row>
    <row r="51" spans="1:19" x14ac:dyDescent="0.25">
      <c r="A51" s="4">
        <v>51.25</v>
      </c>
      <c r="B51" s="4">
        <v>1799.2760000000001</v>
      </c>
      <c r="C51" s="4">
        <v>2267.5230000000001</v>
      </c>
      <c r="D51" s="4">
        <v>2131.835</v>
      </c>
      <c r="E51" s="4">
        <v>2105.4279999999999</v>
      </c>
      <c r="F51" s="4">
        <v>1966.9559999999999</v>
      </c>
      <c r="H51" s="2">
        <f t="shared" si="0"/>
        <v>2054.2035999999998</v>
      </c>
      <c r="I51" s="2">
        <f t="shared" si="1"/>
        <v>79.61028978254005</v>
      </c>
      <c r="K51" s="4">
        <v>51.25</v>
      </c>
      <c r="L51" s="4">
        <v>2292.1860000000001</v>
      </c>
      <c r="M51" s="4">
        <v>1875.4670000000001</v>
      </c>
      <c r="N51" s="4">
        <v>2259.768</v>
      </c>
      <c r="O51" s="4">
        <v>1860.7750000000001</v>
      </c>
      <c r="P51" s="4">
        <v>1913.798</v>
      </c>
      <c r="R51" s="3">
        <f t="shared" si="2"/>
        <v>2040.3988000000002</v>
      </c>
      <c r="S51" s="3">
        <f t="shared" si="3"/>
        <v>96.699175469804288</v>
      </c>
    </row>
    <row r="52" spans="1:19" x14ac:dyDescent="0.25">
      <c r="A52" s="4">
        <v>52.5</v>
      </c>
      <c r="B52" s="4">
        <v>1835.6949999999999</v>
      </c>
      <c r="C52" s="4">
        <v>2299.1219999999998</v>
      </c>
      <c r="D52" s="4">
        <v>2173.1529999999998</v>
      </c>
      <c r="E52" s="4">
        <v>2152.3049999999998</v>
      </c>
      <c r="F52" s="4">
        <v>2020.46</v>
      </c>
      <c r="H52" s="2">
        <f t="shared" si="0"/>
        <v>2096.1469999999999</v>
      </c>
      <c r="I52" s="2">
        <f t="shared" si="1"/>
        <v>78.691251705002102</v>
      </c>
      <c r="K52" s="4">
        <v>52.5</v>
      </c>
      <c r="L52" s="4">
        <v>2356.779</v>
      </c>
      <c r="M52" s="4">
        <v>1919.9390000000001</v>
      </c>
      <c r="N52" s="4">
        <v>2288.5329999999999</v>
      </c>
      <c r="O52" s="4">
        <v>1893.6880000000001</v>
      </c>
      <c r="P52" s="4">
        <v>1947.6369999999999</v>
      </c>
      <c r="R52" s="3">
        <f t="shared" si="2"/>
        <v>2081.3152</v>
      </c>
      <c r="S52" s="3">
        <f t="shared" si="3"/>
        <v>99.482568073205641</v>
      </c>
    </row>
    <row r="53" spans="1:19" x14ac:dyDescent="0.25">
      <c r="A53" s="4">
        <v>53.75</v>
      </c>
      <c r="B53" s="4">
        <v>1841.49</v>
      </c>
      <c r="C53" s="4">
        <v>2333.933</v>
      </c>
      <c r="D53" s="4">
        <v>2171.2020000000002</v>
      </c>
      <c r="E53" s="4">
        <v>2191.4430000000002</v>
      </c>
      <c r="F53" s="4">
        <v>2085.4340000000002</v>
      </c>
      <c r="H53" s="2">
        <f t="shared" si="0"/>
        <v>2124.7004000000002</v>
      </c>
      <c r="I53" s="2">
        <f t="shared" si="1"/>
        <v>81.285064801967167</v>
      </c>
      <c r="K53" s="4">
        <v>53.75</v>
      </c>
      <c r="L53" s="4">
        <v>2388.9070000000002</v>
      </c>
      <c r="M53" s="4">
        <v>1969.769</v>
      </c>
      <c r="N53" s="4">
        <v>2305.9229999999998</v>
      </c>
      <c r="O53" s="4">
        <v>1920.7850000000001</v>
      </c>
      <c r="P53" s="4">
        <v>1966.75</v>
      </c>
      <c r="R53" s="3">
        <f t="shared" si="2"/>
        <v>2110.4268000000002</v>
      </c>
      <c r="S53" s="3">
        <f t="shared" si="3"/>
        <v>98.020823775563102</v>
      </c>
    </row>
    <row r="54" spans="1:19" x14ac:dyDescent="0.25">
      <c r="A54" s="4">
        <v>55</v>
      </c>
      <c r="B54" s="4">
        <v>1804.2650000000001</v>
      </c>
      <c r="C54" s="4">
        <v>2363.5450000000001</v>
      </c>
      <c r="D54" s="4">
        <v>2157.63</v>
      </c>
      <c r="E54" s="4">
        <v>2212.145</v>
      </c>
      <c r="F54" s="4">
        <v>2136.2420000000002</v>
      </c>
      <c r="H54" s="2">
        <f t="shared" si="0"/>
        <v>2134.7654000000002</v>
      </c>
      <c r="I54" s="2">
        <f t="shared" si="1"/>
        <v>91.674203719803302</v>
      </c>
      <c r="K54" s="4">
        <v>55</v>
      </c>
      <c r="L54" s="4">
        <v>2376.4589999999998</v>
      </c>
      <c r="M54" s="4">
        <v>1996.3019999999999</v>
      </c>
      <c r="N54" s="4">
        <v>2295.547</v>
      </c>
      <c r="O54" s="4">
        <v>1922.2829999999999</v>
      </c>
      <c r="P54" s="4">
        <v>1958.6279999999999</v>
      </c>
      <c r="R54" s="3">
        <f t="shared" si="2"/>
        <v>2109.8437999999996</v>
      </c>
      <c r="S54" s="3">
        <f t="shared" si="3"/>
        <v>93.943162490625141</v>
      </c>
    </row>
    <row r="55" spans="1:19" x14ac:dyDescent="0.25">
      <c r="A55" s="4">
        <v>56.25</v>
      </c>
      <c r="B55" s="4">
        <v>1738.2460000000001</v>
      </c>
      <c r="C55" s="4">
        <v>2327.056</v>
      </c>
      <c r="D55" s="4">
        <v>2094.1819999999998</v>
      </c>
      <c r="E55" s="4">
        <v>2178.1149999999998</v>
      </c>
      <c r="F55" s="4">
        <v>2133.5070000000001</v>
      </c>
      <c r="H55" s="2">
        <f t="shared" si="0"/>
        <v>2094.2212</v>
      </c>
      <c r="I55" s="2">
        <f t="shared" si="1"/>
        <v>97.34267625322407</v>
      </c>
      <c r="K55" s="4">
        <v>56.25</v>
      </c>
      <c r="L55" s="4">
        <v>2301.4679999999998</v>
      </c>
      <c r="M55" s="4">
        <v>1952.713</v>
      </c>
      <c r="N55" s="4">
        <v>2240.2159999999999</v>
      </c>
      <c r="O55" s="4">
        <v>1862.377</v>
      </c>
      <c r="P55" s="4">
        <v>1893.855</v>
      </c>
      <c r="R55" s="3">
        <f t="shared" si="2"/>
        <v>2050.1257999999998</v>
      </c>
      <c r="S55" s="3">
        <f t="shared" si="3"/>
        <v>91.778705066807277</v>
      </c>
    </row>
    <row r="56" spans="1:19" x14ac:dyDescent="0.25">
      <c r="A56" s="4">
        <v>57.5</v>
      </c>
      <c r="B56" s="4">
        <v>1658.431</v>
      </c>
      <c r="C56" s="4">
        <v>2238.4490000000001</v>
      </c>
      <c r="D56" s="4">
        <v>1981.9259999999999</v>
      </c>
      <c r="E56" s="4">
        <v>2083.0070000000001</v>
      </c>
      <c r="F56" s="4">
        <v>2061.3069999999998</v>
      </c>
      <c r="H56" s="2">
        <f t="shared" si="0"/>
        <v>2004.6239999999998</v>
      </c>
      <c r="I56" s="2">
        <f t="shared" si="1"/>
        <v>96.019732413707544</v>
      </c>
      <c r="K56" s="4">
        <v>57.5</v>
      </c>
      <c r="L56" s="4">
        <v>2200.9850000000001</v>
      </c>
      <c r="M56" s="4">
        <v>1877.9749999999999</v>
      </c>
      <c r="N56" s="4">
        <v>2150.83</v>
      </c>
      <c r="O56" s="4">
        <v>1773.125</v>
      </c>
      <c r="P56" s="4">
        <v>1799.4939999999999</v>
      </c>
      <c r="R56" s="3">
        <f t="shared" si="2"/>
        <v>1960.4818</v>
      </c>
      <c r="S56" s="3">
        <f t="shared" si="3"/>
        <v>89.972562694079144</v>
      </c>
    </row>
    <row r="57" spans="1:19" x14ac:dyDescent="0.25">
      <c r="A57" s="4">
        <v>58.75</v>
      </c>
      <c r="B57" s="4">
        <v>1589.7529999999999</v>
      </c>
      <c r="C57" s="4">
        <v>2173.4989999999998</v>
      </c>
      <c r="D57" s="4">
        <v>1875.0809999999999</v>
      </c>
      <c r="E57" s="4">
        <v>2009.3920000000001</v>
      </c>
      <c r="F57" s="4">
        <v>2000.731</v>
      </c>
      <c r="H57" s="2">
        <f t="shared" si="0"/>
        <v>1929.6912</v>
      </c>
      <c r="I57" s="2">
        <f t="shared" si="1"/>
        <v>97.309138267893459</v>
      </c>
      <c r="K57" s="4">
        <v>58.75</v>
      </c>
      <c r="L57" s="4">
        <v>2101.86</v>
      </c>
      <c r="M57" s="4">
        <v>1810.598</v>
      </c>
      <c r="N57" s="4">
        <v>2077.7080000000001</v>
      </c>
      <c r="O57" s="4">
        <v>1698.8679999999999</v>
      </c>
      <c r="P57" s="4">
        <v>1725.184</v>
      </c>
      <c r="R57" s="3">
        <f t="shared" si="2"/>
        <v>1882.8435999999997</v>
      </c>
      <c r="S57" s="3">
        <f t="shared" si="3"/>
        <v>86.563073952812033</v>
      </c>
    </row>
    <row r="58" spans="1:19" x14ac:dyDescent="0.25">
      <c r="A58" s="4">
        <v>60</v>
      </c>
      <c r="B58" s="4">
        <v>1521.692</v>
      </c>
      <c r="C58" s="4">
        <v>2111.0540000000001</v>
      </c>
      <c r="D58" s="4">
        <v>1801.8889999999999</v>
      </c>
      <c r="E58" s="4">
        <v>1948.962</v>
      </c>
      <c r="F58" s="4">
        <v>1960.4839999999999</v>
      </c>
      <c r="H58" s="2">
        <f t="shared" si="0"/>
        <v>1868.8162</v>
      </c>
      <c r="I58" s="2">
        <f t="shared" si="1"/>
        <v>99.619261914752386</v>
      </c>
      <c r="K58" s="4">
        <v>60</v>
      </c>
      <c r="L58" s="4">
        <v>2007.549</v>
      </c>
      <c r="M58" s="4">
        <v>1742.9290000000001</v>
      </c>
      <c r="N58" s="4">
        <v>1994.9770000000001</v>
      </c>
      <c r="O58" s="4">
        <v>1622.7760000000001</v>
      </c>
      <c r="P58" s="4">
        <v>1648.8109999999999</v>
      </c>
      <c r="R58" s="3">
        <f t="shared" si="2"/>
        <v>1803.4083999999998</v>
      </c>
      <c r="S58" s="3">
        <f t="shared" si="3"/>
        <v>83.234034780010518</v>
      </c>
    </row>
    <row r="59" spans="1:19" x14ac:dyDescent="0.25">
      <c r="A59" s="4">
        <v>61.25</v>
      </c>
      <c r="B59" s="4">
        <v>1467.2370000000001</v>
      </c>
      <c r="C59" s="4">
        <v>2033.625</v>
      </c>
      <c r="D59" s="4">
        <v>1746.13</v>
      </c>
      <c r="E59" s="4">
        <v>1886.2840000000001</v>
      </c>
      <c r="F59" s="4">
        <v>1911.652</v>
      </c>
      <c r="H59" s="2">
        <f t="shared" si="0"/>
        <v>1808.9856</v>
      </c>
      <c r="I59" s="2">
        <f t="shared" si="1"/>
        <v>96.881686715602754</v>
      </c>
      <c r="K59" s="4">
        <v>61.25</v>
      </c>
      <c r="L59" s="4">
        <v>1915.941</v>
      </c>
      <c r="M59" s="4">
        <v>1682.0530000000001</v>
      </c>
      <c r="N59" s="4">
        <v>1912.556</v>
      </c>
      <c r="O59" s="4">
        <v>1558.548</v>
      </c>
      <c r="P59" s="4">
        <v>1585.066</v>
      </c>
      <c r="R59" s="3">
        <f t="shared" si="2"/>
        <v>1730.8328000000001</v>
      </c>
      <c r="S59" s="3">
        <f t="shared" si="3"/>
        <v>77.652381903841174</v>
      </c>
    </row>
    <row r="60" spans="1:19" x14ac:dyDescent="0.25">
      <c r="A60" s="4">
        <v>62.5</v>
      </c>
      <c r="B60" s="4">
        <v>1425.386</v>
      </c>
      <c r="C60" s="4">
        <v>1957.2660000000001</v>
      </c>
      <c r="D60" s="4">
        <v>1690.92</v>
      </c>
      <c r="E60" s="4">
        <v>1810.02</v>
      </c>
      <c r="F60" s="4">
        <v>1861.088</v>
      </c>
      <c r="H60" s="2">
        <f t="shared" si="0"/>
        <v>1748.9360000000001</v>
      </c>
      <c r="I60" s="2">
        <f t="shared" si="1"/>
        <v>91.58634554779367</v>
      </c>
      <c r="K60" s="4">
        <v>62.5</v>
      </c>
      <c r="L60" s="4">
        <v>1851.923</v>
      </c>
      <c r="M60" s="4">
        <v>1622.75</v>
      </c>
      <c r="N60" s="4">
        <v>1837.636</v>
      </c>
      <c r="O60" s="4">
        <v>1502.89</v>
      </c>
      <c r="P60" s="4">
        <v>1525.913</v>
      </c>
      <c r="R60" s="3">
        <f t="shared" si="2"/>
        <v>1668.2223999999999</v>
      </c>
      <c r="S60" s="3">
        <f t="shared" si="3"/>
        <v>74.867010520388732</v>
      </c>
    </row>
    <row r="61" spans="1:19" x14ac:dyDescent="0.25">
      <c r="A61" s="4">
        <v>63.75</v>
      </c>
      <c r="B61" s="4">
        <v>1381.5139999999999</v>
      </c>
      <c r="C61" s="4">
        <v>1875.34</v>
      </c>
      <c r="D61" s="4">
        <v>1641.222</v>
      </c>
      <c r="E61" s="4">
        <v>1752.5340000000001</v>
      </c>
      <c r="F61" s="4">
        <v>1781.8019999999999</v>
      </c>
      <c r="H61" s="2">
        <f t="shared" si="0"/>
        <v>1686.4824000000001</v>
      </c>
      <c r="I61" s="2">
        <f t="shared" si="1"/>
        <v>84.902903923010228</v>
      </c>
      <c r="K61" s="4">
        <v>63.75</v>
      </c>
      <c r="L61" s="4">
        <v>1792.1790000000001</v>
      </c>
      <c r="M61" s="4">
        <v>1560.6590000000001</v>
      </c>
      <c r="N61" s="4">
        <v>1784.693</v>
      </c>
      <c r="O61" s="4">
        <v>1453.125</v>
      </c>
      <c r="P61" s="4">
        <v>1484.4179999999999</v>
      </c>
      <c r="R61" s="3">
        <f t="shared" si="2"/>
        <v>1615.0147999999999</v>
      </c>
      <c r="S61" s="3">
        <f t="shared" si="3"/>
        <v>72.937037856222275</v>
      </c>
    </row>
    <row r="62" spans="1:19" x14ac:dyDescent="0.25">
      <c r="A62" s="4">
        <v>65</v>
      </c>
      <c r="B62" s="4">
        <v>1337.0319999999999</v>
      </c>
      <c r="C62" s="4">
        <v>1793.568</v>
      </c>
      <c r="D62" s="4">
        <v>1590.2470000000001</v>
      </c>
      <c r="E62" s="4">
        <v>1678.1610000000001</v>
      </c>
      <c r="F62" s="4">
        <v>1668.086</v>
      </c>
      <c r="H62" s="2">
        <f t="shared" si="0"/>
        <v>1613.4187999999999</v>
      </c>
      <c r="I62" s="2">
        <f t="shared" si="1"/>
        <v>76.341464816572653</v>
      </c>
      <c r="K62" s="4">
        <v>65</v>
      </c>
      <c r="L62" s="4">
        <v>1737.0350000000001</v>
      </c>
      <c r="M62" s="4">
        <v>1479.404</v>
      </c>
      <c r="N62" s="4">
        <v>1735.396</v>
      </c>
      <c r="O62" s="4">
        <v>1405.4880000000001</v>
      </c>
      <c r="P62" s="4">
        <v>1437.56</v>
      </c>
      <c r="R62" s="3">
        <f t="shared" si="2"/>
        <v>1558.9766</v>
      </c>
      <c r="S62" s="3">
        <f t="shared" si="3"/>
        <v>73.301138552958378</v>
      </c>
    </row>
    <row r="63" spans="1:19" x14ac:dyDescent="0.25">
      <c r="A63" s="4">
        <v>66.25</v>
      </c>
      <c r="B63" s="4">
        <v>1297.3230000000001</v>
      </c>
      <c r="C63" s="4">
        <v>1710.2760000000001</v>
      </c>
      <c r="D63" s="4">
        <v>1537.9069999999999</v>
      </c>
      <c r="E63" s="4">
        <v>1598.7909999999999</v>
      </c>
      <c r="F63" s="4">
        <v>1557.2380000000001</v>
      </c>
      <c r="H63" s="2">
        <f t="shared" si="0"/>
        <v>1540.3070000000002</v>
      </c>
      <c r="I63" s="2">
        <f t="shared" si="1"/>
        <v>67.691758078070322</v>
      </c>
      <c r="K63" s="4">
        <v>66.25</v>
      </c>
      <c r="L63" s="4">
        <v>1676.673</v>
      </c>
      <c r="M63" s="4">
        <v>1422.144</v>
      </c>
      <c r="N63" s="4">
        <v>1668.53</v>
      </c>
      <c r="O63" s="4">
        <v>1367.6510000000001</v>
      </c>
      <c r="P63" s="4">
        <v>1387.509</v>
      </c>
      <c r="R63" s="3">
        <f t="shared" si="2"/>
        <v>1504.5013999999999</v>
      </c>
      <c r="S63" s="3">
        <f t="shared" si="3"/>
        <v>69.190474935933182</v>
      </c>
    </row>
    <row r="64" spans="1:19" x14ac:dyDescent="0.25">
      <c r="A64" s="4">
        <v>67.5</v>
      </c>
      <c r="B64" s="4">
        <v>1265.4739999999999</v>
      </c>
      <c r="C64" s="4">
        <v>1639.847</v>
      </c>
      <c r="D64" s="4">
        <v>1497.7070000000001</v>
      </c>
      <c r="E64" s="4">
        <v>1536.076</v>
      </c>
      <c r="F64" s="4">
        <v>1456.875</v>
      </c>
      <c r="H64" s="2">
        <f t="shared" si="0"/>
        <v>1479.1958</v>
      </c>
      <c r="I64" s="2">
        <f t="shared" si="1"/>
        <v>61.466273535492618</v>
      </c>
      <c r="K64" s="4">
        <v>67.5</v>
      </c>
      <c r="L64" s="4">
        <v>1618.18</v>
      </c>
      <c r="M64" s="4">
        <v>1383.845</v>
      </c>
      <c r="N64" s="4">
        <v>1612.914</v>
      </c>
      <c r="O64" s="4">
        <v>1330.59</v>
      </c>
      <c r="P64" s="4">
        <v>1346.386</v>
      </c>
      <c r="R64" s="3">
        <f t="shared" si="2"/>
        <v>1458.3830000000003</v>
      </c>
      <c r="S64" s="3">
        <f t="shared" si="3"/>
        <v>64.747665391116612</v>
      </c>
    </row>
    <row r="65" spans="1:19" x14ac:dyDescent="0.25">
      <c r="A65" s="4">
        <v>68.75</v>
      </c>
      <c r="B65" s="4">
        <v>1240.002</v>
      </c>
      <c r="C65" s="4">
        <v>1579.241</v>
      </c>
      <c r="D65" s="4">
        <v>1480.731</v>
      </c>
      <c r="E65" s="4">
        <v>1496.704</v>
      </c>
      <c r="F65" s="4">
        <v>1365.3340000000001</v>
      </c>
      <c r="H65" s="2">
        <f t="shared" si="0"/>
        <v>1432.4023999999999</v>
      </c>
      <c r="I65" s="2">
        <f t="shared" si="1"/>
        <v>58.969487020492217</v>
      </c>
      <c r="K65" s="4">
        <v>68.75</v>
      </c>
      <c r="L65" s="4">
        <v>1606.3620000000001</v>
      </c>
      <c r="M65" s="4">
        <v>1351.1469999999999</v>
      </c>
      <c r="N65" s="4">
        <v>1577.0070000000001</v>
      </c>
      <c r="O65" s="4">
        <v>1306.3340000000001</v>
      </c>
      <c r="P65" s="4">
        <v>1316.933</v>
      </c>
      <c r="R65" s="3">
        <f t="shared" si="2"/>
        <v>1431.5565999999999</v>
      </c>
      <c r="S65" s="3">
        <f t="shared" si="3"/>
        <v>65.95366545128482</v>
      </c>
    </row>
    <row r="66" spans="1:19" x14ac:dyDescent="0.25">
      <c r="A66" s="4">
        <v>70</v>
      </c>
      <c r="B66" s="4">
        <v>1227.1179999999999</v>
      </c>
      <c r="C66" s="4">
        <v>1550.136</v>
      </c>
      <c r="D66" s="4">
        <v>1470.2529999999999</v>
      </c>
      <c r="E66" s="4">
        <v>1471.9680000000001</v>
      </c>
      <c r="F66" s="4">
        <v>1316.2840000000001</v>
      </c>
      <c r="H66" s="2">
        <f t="shared" si="0"/>
        <v>1407.1518000000001</v>
      </c>
      <c r="I66" s="2">
        <f t="shared" si="1"/>
        <v>58.86276789822238</v>
      </c>
      <c r="K66" s="4">
        <v>70</v>
      </c>
      <c r="L66" s="4">
        <v>1600.6179999999999</v>
      </c>
      <c r="M66" s="4">
        <v>1343.471</v>
      </c>
      <c r="N66" s="4">
        <v>1555.4010000000001</v>
      </c>
      <c r="O66" s="4">
        <v>1296.337</v>
      </c>
      <c r="P66" s="4">
        <v>1300.2070000000001</v>
      </c>
      <c r="R66" s="3">
        <f t="shared" si="2"/>
        <v>1419.2067999999999</v>
      </c>
      <c r="S66" s="3">
        <f t="shared" si="3"/>
        <v>65.746762335798707</v>
      </c>
    </row>
    <row r="67" spans="1:19" x14ac:dyDescent="0.25">
      <c r="A67" s="4">
        <v>71.25</v>
      </c>
      <c r="B67" s="4">
        <v>1225.6189999999999</v>
      </c>
      <c r="C67" s="4">
        <v>1539.425</v>
      </c>
      <c r="D67" s="4">
        <v>1468.0229999999999</v>
      </c>
      <c r="E67" s="4">
        <v>1462.079</v>
      </c>
      <c r="F67" s="4">
        <v>1303.8420000000001</v>
      </c>
      <c r="H67" s="2">
        <f t="shared" si="0"/>
        <v>1399.7975999999999</v>
      </c>
      <c r="I67" s="2">
        <f t="shared" si="1"/>
        <v>58.12708090520286</v>
      </c>
      <c r="K67" s="4">
        <v>71.25</v>
      </c>
      <c r="L67" s="4">
        <v>1574.604</v>
      </c>
      <c r="M67" s="4">
        <v>1332.104</v>
      </c>
      <c r="N67" s="4">
        <v>1549.45</v>
      </c>
      <c r="O67" s="4">
        <v>1288.2719999999999</v>
      </c>
      <c r="P67" s="4">
        <v>1291.3630000000001</v>
      </c>
      <c r="R67" s="3">
        <f t="shared" si="2"/>
        <v>1407.1586000000002</v>
      </c>
      <c r="S67" s="3">
        <f t="shared" si="3"/>
        <v>63.820311075393541</v>
      </c>
    </row>
    <row r="68" spans="1:19" x14ac:dyDescent="0.25">
      <c r="A68" s="4">
        <v>72.5</v>
      </c>
      <c r="B68" s="4">
        <v>1224.2729999999999</v>
      </c>
      <c r="C68" s="4">
        <v>1529.5139999999999</v>
      </c>
      <c r="D68" s="4">
        <v>1458.3820000000001</v>
      </c>
      <c r="E68" s="4">
        <v>1457.6320000000001</v>
      </c>
      <c r="F68" s="4">
        <v>1298.6559999999999</v>
      </c>
      <c r="H68" s="2">
        <f t="shared" si="0"/>
        <v>1393.6913999999999</v>
      </c>
      <c r="I68" s="2">
        <f t="shared" si="1"/>
        <v>56.769434663029728</v>
      </c>
      <c r="K68" s="4">
        <v>72.5</v>
      </c>
      <c r="L68" s="4">
        <v>1559.09</v>
      </c>
      <c r="M68" s="4">
        <v>1315.7090000000001</v>
      </c>
      <c r="N68" s="4">
        <v>1545.796</v>
      </c>
      <c r="O68" s="4">
        <v>1276.9259999999999</v>
      </c>
      <c r="P68" s="4">
        <v>1288.854</v>
      </c>
      <c r="R68" s="3">
        <f t="shared" si="2"/>
        <v>1397.2750000000001</v>
      </c>
      <c r="S68" s="3">
        <f t="shared" si="3"/>
        <v>63.692459939933229</v>
      </c>
    </row>
    <row r="69" spans="1:19" x14ac:dyDescent="0.25">
      <c r="A69" s="4">
        <v>73.75</v>
      </c>
      <c r="B69" s="4">
        <v>1228.4829999999999</v>
      </c>
      <c r="C69" s="4">
        <v>1532.528</v>
      </c>
      <c r="D69" s="4">
        <v>1455.4590000000001</v>
      </c>
      <c r="E69" s="4">
        <v>1457.171</v>
      </c>
      <c r="F69" s="4">
        <v>1298.1579999999999</v>
      </c>
      <c r="H69" s="2">
        <f t="shared" ref="H69:H96" si="4">AVERAGE(B69:F69)</f>
        <v>1394.3598000000002</v>
      </c>
      <c r="I69" s="2">
        <f t="shared" ref="I69:I96" si="5">STDEV(B69:F69)/SQRT(COUNT(B69:F69))</f>
        <v>56.364310374030147</v>
      </c>
      <c r="K69" s="4">
        <v>73.75</v>
      </c>
      <c r="L69" s="4">
        <v>1562.8489999999999</v>
      </c>
      <c r="M69" s="4">
        <v>1309.951</v>
      </c>
      <c r="N69" s="4">
        <v>1551.329</v>
      </c>
      <c r="O69" s="4">
        <v>1284.336</v>
      </c>
      <c r="P69" s="4">
        <v>1300.0070000000001</v>
      </c>
      <c r="R69" s="3">
        <f t="shared" ref="R69:R96" si="6">AVERAGE(L69:P69)</f>
        <v>1401.6943999999999</v>
      </c>
      <c r="S69" s="3">
        <f t="shared" ref="S69:S96" si="7">STDEV(L69:P69)/SQRT(COUNT(L69:P69))</f>
        <v>63.596969830016242</v>
      </c>
    </row>
    <row r="70" spans="1:19" x14ac:dyDescent="0.25">
      <c r="A70" s="4">
        <v>75</v>
      </c>
      <c r="B70" s="4">
        <v>1274.634</v>
      </c>
      <c r="C70" s="4">
        <v>1587.175</v>
      </c>
      <c r="D70" s="4">
        <v>1521.12</v>
      </c>
      <c r="E70" s="4">
        <v>1522.7329999999999</v>
      </c>
      <c r="F70" s="4">
        <v>1344.462</v>
      </c>
      <c r="H70" s="2">
        <f t="shared" si="4"/>
        <v>1450.0247999999999</v>
      </c>
      <c r="I70" s="2">
        <f t="shared" si="5"/>
        <v>59.605630874440017</v>
      </c>
      <c r="K70" s="4">
        <v>75</v>
      </c>
      <c r="L70" s="4">
        <v>1647.5250000000001</v>
      </c>
      <c r="M70" s="4">
        <v>1364.057</v>
      </c>
      <c r="N70" s="4">
        <v>1623.9939999999999</v>
      </c>
      <c r="O70" s="4">
        <v>1365.4349999999999</v>
      </c>
      <c r="P70" s="4">
        <v>1378.6110000000001</v>
      </c>
      <c r="R70" s="3">
        <f t="shared" si="6"/>
        <v>1475.9244000000001</v>
      </c>
      <c r="S70" s="3">
        <f t="shared" si="7"/>
        <v>65.407756756825094</v>
      </c>
    </row>
    <row r="71" spans="1:19" x14ac:dyDescent="0.25">
      <c r="A71" s="4">
        <v>76.25</v>
      </c>
      <c r="B71" s="4">
        <v>1417.826</v>
      </c>
      <c r="C71" s="4">
        <v>1749.5070000000001</v>
      </c>
      <c r="D71" s="4">
        <v>1672.413</v>
      </c>
      <c r="E71" s="4">
        <v>1690.5160000000001</v>
      </c>
      <c r="F71" s="4">
        <v>1462.8789999999999</v>
      </c>
      <c r="H71" s="2">
        <f t="shared" si="4"/>
        <v>1598.6282000000001</v>
      </c>
      <c r="I71" s="2">
        <f t="shared" si="5"/>
        <v>66.24547441704982</v>
      </c>
      <c r="K71" s="4">
        <v>76.25</v>
      </c>
      <c r="L71" s="4">
        <v>1828.867</v>
      </c>
      <c r="M71" s="4">
        <v>1527.4359999999999</v>
      </c>
      <c r="N71" s="4">
        <v>1820.14</v>
      </c>
      <c r="O71" s="4">
        <v>1572.027</v>
      </c>
      <c r="P71" s="4">
        <v>1552.0920000000001</v>
      </c>
      <c r="R71" s="3">
        <f t="shared" si="6"/>
        <v>1660.1124</v>
      </c>
      <c r="S71" s="3">
        <f t="shared" si="7"/>
        <v>67.497192315384495</v>
      </c>
    </row>
    <row r="72" spans="1:19" x14ac:dyDescent="0.25">
      <c r="A72" s="4">
        <v>77.5</v>
      </c>
      <c r="B72" s="4">
        <v>1499.184</v>
      </c>
      <c r="C72" s="4">
        <v>1849.548</v>
      </c>
      <c r="D72" s="4">
        <v>1758.002</v>
      </c>
      <c r="E72" s="4">
        <v>1788.578</v>
      </c>
      <c r="F72" s="4">
        <v>1536.9090000000001</v>
      </c>
      <c r="H72" s="2">
        <f t="shared" si="4"/>
        <v>1686.4441999999999</v>
      </c>
      <c r="I72" s="2">
        <f t="shared" si="5"/>
        <v>70.562681341060156</v>
      </c>
      <c r="K72" s="4">
        <v>77.5</v>
      </c>
      <c r="L72" s="4">
        <v>1946.8979999999999</v>
      </c>
      <c r="M72" s="4">
        <v>1632.817</v>
      </c>
      <c r="N72" s="4">
        <v>1939.4390000000001</v>
      </c>
      <c r="O72" s="4">
        <v>1698.3630000000001</v>
      </c>
      <c r="P72" s="4">
        <v>1668.519</v>
      </c>
      <c r="R72" s="3">
        <f t="shared" si="6"/>
        <v>1777.2072000000001</v>
      </c>
      <c r="S72" s="3">
        <f t="shared" si="7"/>
        <v>68.553696867783856</v>
      </c>
    </row>
    <row r="73" spans="1:19" x14ac:dyDescent="0.25">
      <c r="A73" s="4">
        <v>78.75</v>
      </c>
      <c r="B73" s="4">
        <v>1443.864</v>
      </c>
      <c r="C73" s="4">
        <v>1775.7950000000001</v>
      </c>
      <c r="D73" s="4">
        <v>1701.6869999999999</v>
      </c>
      <c r="E73" s="4">
        <v>1728.134</v>
      </c>
      <c r="F73" s="4">
        <v>1489.5219999999999</v>
      </c>
      <c r="H73" s="2">
        <f t="shared" si="4"/>
        <v>1627.8003999999999</v>
      </c>
      <c r="I73" s="2">
        <f t="shared" si="5"/>
        <v>67.224243294067662</v>
      </c>
      <c r="K73" s="4">
        <v>78.75</v>
      </c>
      <c r="L73" s="4">
        <v>1860.549</v>
      </c>
      <c r="M73" s="4">
        <v>1571.4079999999999</v>
      </c>
      <c r="N73" s="4">
        <v>1866.0820000000001</v>
      </c>
      <c r="O73" s="4">
        <v>1611.5329999999999</v>
      </c>
      <c r="P73" s="4">
        <v>1601.778</v>
      </c>
      <c r="R73" s="3">
        <f t="shared" si="6"/>
        <v>1702.27</v>
      </c>
      <c r="S73" s="3">
        <f t="shared" si="7"/>
        <v>66.084537322281392</v>
      </c>
    </row>
    <row r="74" spans="1:19" x14ac:dyDescent="0.25">
      <c r="A74" s="4">
        <v>80</v>
      </c>
      <c r="B74" s="4">
        <v>1346.8040000000001</v>
      </c>
      <c r="C74" s="4">
        <v>1669.4110000000001</v>
      </c>
      <c r="D74" s="4">
        <v>1607.3510000000001</v>
      </c>
      <c r="E74" s="4">
        <v>1621.08</v>
      </c>
      <c r="F74" s="4">
        <v>1413.6679999999999</v>
      </c>
      <c r="H74" s="2">
        <f t="shared" si="4"/>
        <v>1531.6628000000001</v>
      </c>
      <c r="I74" s="2">
        <f t="shared" si="5"/>
        <v>63.558734507068351</v>
      </c>
      <c r="K74" s="4">
        <v>80</v>
      </c>
      <c r="L74" s="4">
        <v>1742.6869999999999</v>
      </c>
      <c r="M74" s="4">
        <v>1467.6010000000001</v>
      </c>
      <c r="N74" s="4">
        <v>1742.922</v>
      </c>
      <c r="O74" s="4">
        <v>1466.653</v>
      </c>
      <c r="P74" s="4">
        <v>1490.6959999999999</v>
      </c>
      <c r="R74" s="3">
        <f t="shared" si="6"/>
        <v>1582.1118000000001</v>
      </c>
      <c r="S74" s="3">
        <f t="shared" si="7"/>
        <v>65.743677103885801</v>
      </c>
    </row>
    <row r="75" spans="1:19" x14ac:dyDescent="0.25">
      <c r="A75" s="4">
        <v>81.25</v>
      </c>
      <c r="B75" s="4">
        <v>1370.89</v>
      </c>
      <c r="C75" s="4">
        <v>1662.915</v>
      </c>
      <c r="D75" s="4">
        <v>1619.7059999999999</v>
      </c>
      <c r="E75" s="4">
        <v>1625.261</v>
      </c>
      <c r="F75" s="4">
        <v>1431.4880000000001</v>
      </c>
      <c r="H75" s="2">
        <f t="shared" si="4"/>
        <v>1542.0520000000001</v>
      </c>
      <c r="I75" s="2">
        <f t="shared" si="5"/>
        <v>58.771836157295567</v>
      </c>
      <c r="K75" s="4">
        <v>81.25</v>
      </c>
      <c r="L75" s="4">
        <v>1769.069</v>
      </c>
      <c r="M75" s="4">
        <v>1456.9690000000001</v>
      </c>
      <c r="N75" s="4">
        <v>1832.8969999999999</v>
      </c>
      <c r="O75" s="4">
        <v>1451.1030000000001</v>
      </c>
      <c r="P75" s="4">
        <v>1527.7149999999999</v>
      </c>
      <c r="R75" s="3">
        <f t="shared" si="6"/>
        <v>1607.5506</v>
      </c>
      <c r="S75" s="3">
        <f t="shared" si="7"/>
        <v>80.744531196607952</v>
      </c>
    </row>
    <row r="76" spans="1:19" x14ac:dyDescent="0.25">
      <c r="A76" s="4">
        <v>82.5</v>
      </c>
      <c r="B76" s="4">
        <v>1684.825</v>
      </c>
      <c r="C76" s="4">
        <v>1957.2529999999999</v>
      </c>
      <c r="D76" s="4">
        <v>1909.5219999999999</v>
      </c>
      <c r="E76" s="4">
        <v>1973.568</v>
      </c>
      <c r="F76" s="4">
        <v>1736.4010000000001</v>
      </c>
      <c r="H76" s="2">
        <f t="shared" si="4"/>
        <v>1852.3138000000004</v>
      </c>
      <c r="I76" s="2">
        <f t="shared" si="5"/>
        <v>59.361549083055415</v>
      </c>
      <c r="K76" s="4">
        <v>82.5</v>
      </c>
      <c r="L76" s="4">
        <v>2203.0239999999999</v>
      </c>
      <c r="M76" s="4">
        <v>1784.6479999999999</v>
      </c>
      <c r="N76" s="4">
        <v>2351.6129999999998</v>
      </c>
      <c r="O76" s="4">
        <v>1794.3330000000001</v>
      </c>
      <c r="P76" s="4">
        <v>1987.2950000000001</v>
      </c>
      <c r="R76" s="3">
        <f t="shared" si="6"/>
        <v>2024.1826000000001</v>
      </c>
      <c r="S76" s="3">
        <f t="shared" si="7"/>
        <v>111.9739414884546</v>
      </c>
    </row>
    <row r="77" spans="1:19" x14ac:dyDescent="0.25">
      <c r="A77" s="4">
        <v>83.75</v>
      </c>
      <c r="B77" s="4">
        <v>2277.13</v>
      </c>
      <c r="C77" s="4">
        <v>2675.8240000000001</v>
      </c>
      <c r="D77" s="4">
        <v>2517.2139999999999</v>
      </c>
      <c r="E77" s="4">
        <v>2768.7379999999998</v>
      </c>
      <c r="F77" s="4">
        <v>2324.5610000000001</v>
      </c>
      <c r="H77" s="2">
        <f t="shared" si="4"/>
        <v>2512.6933999999997</v>
      </c>
      <c r="I77" s="2">
        <f t="shared" si="5"/>
        <v>95.675174684763405</v>
      </c>
      <c r="K77" s="4">
        <v>83.75</v>
      </c>
      <c r="L77" s="4">
        <v>3122.0210000000002</v>
      </c>
      <c r="M77" s="4">
        <v>2526.63</v>
      </c>
      <c r="N77" s="4">
        <v>3242.7820000000002</v>
      </c>
      <c r="O77" s="4">
        <v>2548.623</v>
      </c>
      <c r="P77" s="4">
        <v>2802.2</v>
      </c>
      <c r="R77" s="3">
        <f t="shared" si="6"/>
        <v>2848.4512000000004</v>
      </c>
      <c r="S77" s="3">
        <f t="shared" si="7"/>
        <v>145.93529783551156</v>
      </c>
    </row>
    <row r="78" spans="1:19" x14ac:dyDescent="0.25">
      <c r="A78" s="4">
        <v>85</v>
      </c>
      <c r="B78" s="4">
        <v>2918.8310000000001</v>
      </c>
      <c r="C78" s="4">
        <v>3522.7020000000002</v>
      </c>
      <c r="D78" s="4">
        <v>3198.223</v>
      </c>
      <c r="E78" s="4">
        <v>3612.366</v>
      </c>
      <c r="F78" s="4">
        <v>2933.502</v>
      </c>
      <c r="H78" s="2">
        <f t="shared" si="4"/>
        <v>3237.1248000000005</v>
      </c>
      <c r="I78" s="2">
        <f t="shared" si="5"/>
        <v>144.45957794116666</v>
      </c>
      <c r="K78" s="4">
        <v>85</v>
      </c>
      <c r="L78" s="4">
        <v>4049.5909999999999</v>
      </c>
      <c r="M78" s="4">
        <v>3354.143</v>
      </c>
      <c r="N78" s="4">
        <v>4142.201</v>
      </c>
      <c r="O78" s="4">
        <v>3440.1219999999998</v>
      </c>
      <c r="P78" s="4">
        <v>3619.5659999999998</v>
      </c>
      <c r="R78" s="3">
        <f t="shared" si="6"/>
        <v>3721.1246000000001</v>
      </c>
      <c r="S78" s="3">
        <f t="shared" si="7"/>
        <v>159.55369249020845</v>
      </c>
    </row>
    <row r="79" spans="1:19" x14ac:dyDescent="0.25">
      <c r="A79" s="4">
        <v>86.25</v>
      </c>
      <c r="B79" s="4">
        <v>3275.4830000000002</v>
      </c>
      <c r="C79" s="4">
        <v>3970.127</v>
      </c>
      <c r="D79" s="4">
        <v>3554.6849999999999</v>
      </c>
      <c r="E79" s="4">
        <v>4095.1959999999999</v>
      </c>
      <c r="F79" s="4">
        <v>3206.7109999999998</v>
      </c>
      <c r="H79" s="2">
        <f t="shared" si="4"/>
        <v>3620.4404000000004</v>
      </c>
      <c r="I79" s="2">
        <f t="shared" si="5"/>
        <v>179.18774997460065</v>
      </c>
      <c r="K79" s="4">
        <v>86.25</v>
      </c>
      <c r="L79" s="4">
        <v>4524.1279999999997</v>
      </c>
      <c r="M79" s="4">
        <v>3768.7150000000001</v>
      </c>
      <c r="N79" s="4">
        <v>4621.1660000000002</v>
      </c>
      <c r="O79" s="4">
        <v>3961.2919999999999</v>
      </c>
      <c r="P79" s="4">
        <v>4106.9470000000001</v>
      </c>
      <c r="R79" s="3">
        <f t="shared" si="6"/>
        <v>4196.4496000000008</v>
      </c>
      <c r="S79" s="3">
        <f t="shared" si="7"/>
        <v>163.40499602784485</v>
      </c>
    </row>
    <row r="80" spans="1:19" x14ac:dyDescent="0.25">
      <c r="A80" s="4">
        <v>87.5</v>
      </c>
      <c r="B80" s="4">
        <v>3174.2289999999998</v>
      </c>
      <c r="C80" s="4">
        <v>3788.9250000000002</v>
      </c>
      <c r="D80" s="4">
        <v>3363.2939999999999</v>
      </c>
      <c r="E80" s="4">
        <v>3924.8</v>
      </c>
      <c r="F80" s="4">
        <v>2980.0680000000002</v>
      </c>
      <c r="H80" s="2">
        <f t="shared" si="4"/>
        <v>3446.2631999999999</v>
      </c>
      <c r="I80" s="2">
        <f t="shared" si="5"/>
        <v>179.53259268929546</v>
      </c>
      <c r="K80" s="4">
        <v>87.5</v>
      </c>
      <c r="L80" s="4">
        <v>4260.4120000000003</v>
      </c>
      <c r="M80" s="4">
        <v>3561.2179999999998</v>
      </c>
      <c r="N80" s="4">
        <v>4434.2240000000002</v>
      </c>
      <c r="O80" s="4">
        <v>3814.098</v>
      </c>
      <c r="P80" s="4">
        <v>3958.9659999999999</v>
      </c>
      <c r="R80" s="3">
        <f t="shared" si="6"/>
        <v>4005.7835999999998</v>
      </c>
      <c r="S80" s="3">
        <f t="shared" si="7"/>
        <v>155.71939957166552</v>
      </c>
    </row>
    <row r="81" spans="1:19" x14ac:dyDescent="0.25">
      <c r="A81" s="4">
        <v>88.75</v>
      </c>
      <c r="B81" s="4">
        <v>2660.4520000000002</v>
      </c>
      <c r="C81" s="4">
        <v>3128.5740000000001</v>
      </c>
      <c r="D81" s="4">
        <v>2816.7020000000002</v>
      </c>
      <c r="E81" s="4">
        <v>3253.4540000000002</v>
      </c>
      <c r="F81" s="4">
        <v>2460.11</v>
      </c>
      <c r="H81" s="2">
        <f t="shared" si="4"/>
        <v>2863.8584000000001</v>
      </c>
      <c r="I81" s="2">
        <f t="shared" si="5"/>
        <v>146.36764337571503</v>
      </c>
      <c r="K81" s="4">
        <v>88.75</v>
      </c>
      <c r="L81" s="4">
        <v>3430.7710000000002</v>
      </c>
      <c r="M81" s="4">
        <v>2905.0729999999999</v>
      </c>
      <c r="N81" s="4">
        <v>3684.674</v>
      </c>
      <c r="O81" s="4">
        <v>3131.415</v>
      </c>
      <c r="P81" s="4">
        <v>3271.3290000000002</v>
      </c>
      <c r="R81" s="3">
        <f t="shared" si="6"/>
        <v>3284.6524000000004</v>
      </c>
      <c r="S81" s="3">
        <f t="shared" si="7"/>
        <v>132.11882159314018</v>
      </c>
    </row>
    <row r="82" spans="1:19" x14ac:dyDescent="0.25">
      <c r="A82" s="4">
        <v>90</v>
      </c>
      <c r="B82" s="4">
        <v>2189.4560000000001</v>
      </c>
      <c r="C82" s="4">
        <v>2623.2190000000001</v>
      </c>
      <c r="D82" s="4">
        <v>2406.2089999999998</v>
      </c>
      <c r="E82" s="4">
        <v>2654.1480000000001</v>
      </c>
      <c r="F82" s="4">
        <v>2094.3589999999999</v>
      </c>
      <c r="H82" s="2">
        <f t="shared" si="4"/>
        <v>2393.4782</v>
      </c>
      <c r="I82" s="2">
        <f t="shared" si="5"/>
        <v>112.24727323788318</v>
      </c>
      <c r="K82" s="4">
        <v>90</v>
      </c>
      <c r="L82" s="4">
        <v>2832.442</v>
      </c>
      <c r="M82" s="4">
        <v>2395.8890000000001</v>
      </c>
      <c r="N82" s="4">
        <v>3030.9490000000001</v>
      </c>
      <c r="O82" s="4">
        <v>2556.4760000000001</v>
      </c>
      <c r="P82" s="4">
        <v>2591.5659999999998</v>
      </c>
      <c r="R82" s="3">
        <f t="shared" si="6"/>
        <v>2681.4643999999998</v>
      </c>
      <c r="S82" s="3">
        <f t="shared" si="7"/>
        <v>111.84606673486556</v>
      </c>
    </row>
    <row r="83" spans="1:19" x14ac:dyDescent="0.25">
      <c r="A83" s="4">
        <v>91.25</v>
      </c>
      <c r="B83" s="4">
        <v>2227.3220000000001</v>
      </c>
      <c r="C83" s="4">
        <v>2659.3829999999998</v>
      </c>
      <c r="D83" s="4">
        <v>2406.971</v>
      </c>
      <c r="E83" s="4">
        <v>2690.7840000000001</v>
      </c>
      <c r="F83" s="4">
        <v>2107.9929999999999</v>
      </c>
      <c r="H83" s="2">
        <f t="shared" si="4"/>
        <v>2418.4906000000001</v>
      </c>
      <c r="I83" s="2">
        <f t="shared" si="5"/>
        <v>115.16504210853222</v>
      </c>
      <c r="K83" s="4">
        <v>91.25</v>
      </c>
      <c r="L83" s="4">
        <v>3043.279</v>
      </c>
      <c r="M83" s="4">
        <v>2454.165</v>
      </c>
      <c r="N83" s="4">
        <v>3069.364</v>
      </c>
      <c r="O83" s="4">
        <v>2530.9349999999999</v>
      </c>
      <c r="P83" s="4">
        <v>2548.1080000000002</v>
      </c>
      <c r="R83" s="3">
        <f t="shared" si="6"/>
        <v>2729.1701999999996</v>
      </c>
      <c r="S83" s="3">
        <f t="shared" si="7"/>
        <v>134.55570121901189</v>
      </c>
    </row>
    <row r="84" spans="1:19" x14ac:dyDescent="0.25">
      <c r="A84" s="4">
        <v>92.5</v>
      </c>
      <c r="B84" s="4">
        <v>2604.7460000000001</v>
      </c>
      <c r="C84" s="4">
        <v>3047.93</v>
      </c>
      <c r="D84" s="4">
        <v>2688.4070000000002</v>
      </c>
      <c r="E84" s="4">
        <v>3129.415</v>
      </c>
      <c r="F84" s="4">
        <v>2324.7860000000001</v>
      </c>
      <c r="H84" s="2">
        <f t="shared" si="4"/>
        <v>2759.0567999999998</v>
      </c>
      <c r="I84" s="2">
        <f t="shared" si="5"/>
        <v>147.98771350264215</v>
      </c>
      <c r="K84" s="4">
        <v>92.5</v>
      </c>
      <c r="L84" s="4">
        <v>3607.7849999999999</v>
      </c>
      <c r="M84" s="4">
        <v>2857.8249999999998</v>
      </c>
      <c r="N84" s="4">
        <v>3594.1469999999999</v>
      </c>
      <c r="O84" s="4">
        <v>2966.5320000000002</v>
      </c>
      <c r="P84" s="4">
        <v>3018.0720000000001</v>
      </c>
      <c r="R84" s="3">
        <f t="shared" si="6"/>
        <v>3208.8722000000002</v>
      </c>
      <c r="S84" s="3">
        <f t="shared" si="7"/>
        <v>162.16283775927064</v>
      </c>
    </row>
    <row r="85" spans="1:19" x14ac:dyDescent="0.25">
      <c r="A85" s="4">
        <v>93.75</v>
      </c>
      <c r="B85" s="4">
        <v>3064.8380000000002</v>
      </c>
      <c r="C85" s="4">
        <v>3576.145</v>
      </c>
      <c r="D85" s="4">
        <v>3116.1460000000002</v>
      </c>
      <c r="E85" s="4">
        <v>3682.973</v>
      </c>
      <c r="F85" s="4">
        <v>2640.4989999999998</v>
      </c>
      <c r="H85" s="2">
        <f t="shared" si="4"/>
        <v>3216.1202000000003</v>
      </c>
      <c r="I85" s="2">
        <f t="shared" si="5"/>
        <v>188.65183594054869</v>
      </c>
      <c r="K85" s="4">
        <v>93.75</v>
      </c>
      <c r="L85" s="4">
        <v>4259.6930000000002</v>
      </c>
      <c r="M85" s="4">
        <v>3407.6489999999999</v>
      </c>
      <c r="N85" s="4">
        <v>4220.0919999999996</v>
      </c>
      <c r="O85" s="4">
        <v>3550.1990000000001</v>
      </c>
      <c r="P85" s="4">
        <v>3616.998</v>
      </c>
      <c r="R85" s="3">
        <f t="shared" si="6"/>
        <v>3810.9262000000003</v>
      </c>
      <c r="S85" s="3">
        <f t="shared" si="7"/>
        <v>178.46955094452386</v>
      </c>
    </row>
    <row r="86" spans="1:19" x14ac:dyDescent="0.25">
      <c r="A86" s="4">
        <v>95</v>
      </c>
      <c r="B86" s="4">
        <v>3418.8539999999998</v>
      </c>
      <c r="C86" s="4">
        <v>3996.6579999999999</v>
      </c>
      <c r="D86" s="4">
        <v>3525.7170000000001</v>
      </c>
      <c r="E86" s="4">
        <v>4086.7919999999999</v>
      </c>
      <c r="F86" s="4">
        <v>2947.38</v>
      </c>
      <c r="H86" s="2">
        <f t="shared" si="4"/>
        <v>3595.0801999999994</v>
      </c>
      <c r="I86" s="2">
        <f t="shared" si="5"/>
        <v>207.17476920136946</v>
      </c>
      <c r="K86" s="4">
        <v>95</v>
      </c>
      <c r="L86" s="4">
        <v>4704.9179999999997</v>
      </c>
      <c r="M86" s="4">
        <v>3780.9780000000001</v>
      </c>
      <c r="N86" s="4">
        <v>4658.18</v>
      </c>
      <c r="O86" s="4">
        <v>3992.9340000000002</v>
      </c>
      <c r="P86" s="4">
        <v>4047.62</v>
      </c>
      <c r="R86" s="3">
        <f t="shared" si="6"/>
        <v>4236.9260000000004</v>
      </c>
      <c r="S86" s="3">
        <f t="shared" si="7"/>
        <v>187.04663602748909</v>
      </c>
    </row>
    <row r="87" spans="1:19" x14ac:dyDescent="0.25">
      <c r="A87" s="4">
        <v>96.25</v>
      </c>
      <c r="B87" s="4">
        <v>3540.6219999999998</v>
      </c>
      <c r="C87" s="4">
        <v>4168.3710000000001</v>
      </c>
      <c r="D87" s="4">
        <v>3805.2910000000002</v>
      </c>
      <c r="E87" s="4">
        <v>4191.0119999999997</v>
      </c>
      <c r="F87" s="4">
        <v>3146.9140000000002</v>
      </c>
      <c r="H87" s="2">
        <f t="shared" si="4"/>
        <v>3770.442</v>
      </c>
      <c r="I87" s="2">
        <f t="shared" si="5"/>
        <v>197.23659218385495</v>
      </c>
      <c r="K87" s="4">
        <v>96.25</v>
      </c>
      <c r="L87" s="4">
        <v>4788.076</v>
      </c>
      <c r="M87" s="4">
        <v>3872.4079999999999</v>
      </c>
      <c r="N87" s="4">
        <v>4755.7430000000004</v>
      </c>
      <c r="O87" s="4">
        <v>4091.9340000000002</v>
      </c>
      <c r="P87" s="4">
        <v>4119.4120000000003</v>
      </c>
      <c r="R87" s="3">
        <f t="shared" si="6"/>
        <v>4325.5146000000004</v>
      </c>
      <c r="S87" s="3">
        <f t="shared" si="7"/>
        <v>187.27029854240104</v>
      </c>
    </row>
    <row r="88" spans="1:19" x14ac:dyDescent="0.25">
      <c r="A88" s="4">
        <v>97.5</v>
      </c>
      <c r="B88" s="4">
        <v>3521.1529999999998</v>
      </c>
      <c r="C88" s="4">
        <v>4237.0739999999996</v>
      </c>
      <c r="D88" s="4">
        <v>4028.5659999999998</v>
      </c>
      <c r="E88" s="4">
        <v>4137.22</v>
      </c>
      <c r="F88" s="4">
        <v>3335.7170000000001</v>
      </c>
      <c r="H88" s="2">
        <f t="shared" si="4"/>
        <v>3851.9459999999999</v>
      </c>
      <c r="I88" s="2">
        <f t="shared" si="5"/>
        <v>178.43988415570101</v>
      </c>
      <c r="K88" s="4">
        <v>97.5</v>
      </c>
      <c r="L88" s="4">
        <v>4657.4430000000002</v>
      </c>
      <c r="M88" s="4">
        <v>3824.9380000000001</v>
      </c>
      <c r="N88" s="4">
        <v>4619.6469999999999</v>
      </c>
      <c r="O88" s="4">
        <v>3935.7570000000001</v>
      </c>
      <c r="P88" s="4">
        <v>3921.1619999999998</v>
      </c>
      <c r="R88" s="3">
        <f t="shared" si="6"/>
        <v>4191.7894000000006</v>
      </c>
      <c r="S88" s="3">
        <f t="shared" si="7"/>
        <v>183.47576546143637</v>
      </c>
    </row>
    <row r="89" spans="1:19" x14ac:dyDescent="0.25">
      <c r="A89" s="4">
        <v>98.75</v>
      </c>
      <c r="B89" s="4">
        <v>3543.8739999999998</v>
      </c>
      <c r="C89" s="4">
        <v>4387.5280000000002</v>
      </c>
      <c r="D89" s="4">
        <v>4277.1559999999999</v>
      </c>
      <c r="E89" s="4">
        <v>4187.5379999999996</v>
      </c>
      <c r="F89" s="4">
        <v>3542.1709999999998</v>
      </c>
      <c r="H89" s="2">
        <f t="shared" si="4"/>
        <v>3987.6534000000001</v>
      </c>
      <c r="I89" s="2">
        <f t="shared" si="5"/>
        <v>184.26340236509259</v>
      </c>
      <c r="K89" s="4">
        <v>98.75</v>
      </c>
      <c r="L89" s="4">
        <v>4646.9009999999998</v>
      </c>
      <c r="M89" s="4">
        <v>3898.68</v>
      </c>
      <c r="N89" s="4">
        <v>4543.0529999999999</v>
      </c>
      <c r="O89" s="4">
        <v>3849.0340000000001</v>
      </c>
      <c r="P89" s="4">
        <v>3793.7849999999999</v>
      </c>
      <c r="R89" s="3">
        <f t="shared" si="6"/>
        <v>4146.2906000000003</v>
      </c>
      <c r="S89" s="3">
        <f t="shared" si="7"/>
        <v>184.65696143785098</v>
      </c>
    </row>
    <row r="90" spans="1:19" x14ac:dyDescent="0.25">
      <c r="A90" s="4">
        <v>100</v>
      </c>
      <c r="B90" s="4">
        <v>3614.7759999999998</v>
      </c>
      <c r="C90" s="4">
        <v>4464.8609999999999</v>
      </c>
      <c r="D90" s="4">
        <v>4354.3389999999999</v>
      </c>
      <c r="E90" s="4">
        <v>4296.6940000000004</v>
      </c>
      <c r="F90" s="4">
        <v>3625.7689999999998</v>
      </c>
      <c r="H90" s="2">
        <f t="shared" si="4"/>
        <v>4071.2877999999996</v>
      </c>
      <c r="I90" s="2">
        <f t="shared" si="5"/>
        <v>186.10693502269069</v>
      </c>
      <c r="K90" s="4">
        <v>100</v>
      </c>
      <c r="L90" s="4">
        <v>4714.3819999999996</v>
      </c>
      <c r="M90" s="4">
        <v>3969.36</v>
      </c>
      <c r="N90" s="4">
        <v>4603.1490000000003</v>
      </c>
      <c r="O90" s="4">
        <v>3866.3850000000002</v>
      </c>
      <c r="P90" s="4">
        <v>3841.5749999999998</v>
      </c>
      <c r="R90" s="3">
        <f t="shared" si="6"/>
        <v>4198.9701999999997</v>
      </c>
      <c r="S90" s="3">
        <f t="shared" si="7"/>
        <v>189.74653015731272</v>
      </c>
    </row>
    <row r="91" spans="1:19" x14ac:dyDescent="0.25">
      <c r="A91" s="4">
        <v>101.25</v>
      </c>
      <c r="B91" s="4">
        <v>3523.8429999999998</v>
      </c>
      <c r="C91" s="4">
        <v>4295.0450000000001</v>
      </c>
      <c r="D91" s="4">
        <v>4187.8909999999996</v>
      </c>
      <c r="E91" s="4">
        <v>4201.6710000000003</v>
      </c>
      <c r="F91" s="4">
        <v>3506.48</v>
      </c>
      <c r="H91" s="2">
        <f t="shared" si="4"/>
        <v>3942.9859999999999</v>
      </c>
      <c r="I91" s="2">
        <f t="shared" si="5"/>
        <v>175.65025906841129</v>
      </c>
      <c r="K91" s="4">
        <v>101.25</v>
      </c>
      <c r="L91" s="4">
        <v>4561.0619999999999</v>
      </c>
      <c r="M91" s="4">
        <v>3807.3679999999999</v>
      </c>
      <c r="N91" s="4">
        <v>4511.4610000000002</v>
      </c>
      <c r="O91" s="4">
        <v>3785.098</v>
      </c>
      <c r="P91" s="4">
        <v>3793.201</v>
      </c>
      <c r="R91" s="3">
        <f t="shared" si="6"/>
        <v>4091.6380000000004</v>
      </c>
      <c r="S91" s="3">
        <f t="shared" si="7"/>
        <v>181.72108993922527</v>
      </c>
    </row>
    <row r="92" spans="1:19" x14ac:dyDescent="0.25">
      <c r="A92" s="4">
        <v>102.5</v>
      </c>
      <c r="B92" s="4">
        <v>3282.6469999999999</v>
      </c>
      <c r="C92" s="4">
        <v>3964.5920000000001</v>
      </c>
      <c r="D92" s="4">
        <v>3904.1280000000002</v>
      </c>
      <c r="E92" s="4">
        <v>3930.2449999999999</v>
      </c>
      <c r="F92" s="4">
        <v>3259.0129999999999</v>
      </c>
      <c r="H92" s="2">
        <f t="shared" si="4"/>
        <v>3668.125</v>
      </c>
      <c r="I92" s="2">
        <f t="shared" si="5"/>
        <v>162.52121546524319</v>
      </c>
      <c r="K92" s="4">
        <v>102.5</v>
      </c>
      <c r="L92" s="4">
        <v>4201.0389999999998</v>
      </c>
      <c r="M92" s="4">
        <v>3539.7860000000001</v>
      </c>
      <c r="N92" s="4">
        <v>4226.1899999999996</v>
      </c>
      <c r="O92" s="4">
        <v>3575.2440000000001</v>
      </c>
      <c r="P92" s="4">
        <v>3546.9789999999998</v>
      </c>
      <c r="R92" s="3">
        <f t="shared" si="6"/>
        <v>3817.8476000000001</v>
      </c>
      <c r="S92" s="3">
        <f t="shared" si="7"/>
        <v>161.72874253904274</v>
      </c>
    </row>
    <row r="93" spans="1:19" x14ac:dyDescent="0.25">
      <c r="A93" s="4">
        <v>103.75</v>
      </c>
      <c r="B93" s="4">
        <v>2961.04</v>
      </c>
      <c r="C93" s="4">
        <v>3533.4090000000001</v>
      </c>
      <c r="D93" s="4">
        <v>3518.3980000000001</v>
      </c>
      <c r="E93" s="4">
        <v>3548.9540000000002</v>
      </c>
      <c r="F93" s="4">
        <v>2926.19</v>
      </c>
      <c r="H93" s="2">
        <f t="shared" si="4"/>
        <v>3297.5982000000004</v>
      </c>
      <c r="I93" s="2">
        <f t="shared" si="5"/>
        <v>144.69873812248676</v>
      </c>
      <c r="K93" s="4">
        <v>103.75</v>
      </c>
      <c r="L93" s="4">
        <v>3735.6849999999999</v>
      </c>
      <c r="M93" s="4">
        <v>3196.2440000000001</v>
      </c>
      <c r="N93" s="4">
        <v>3831.4780000000001</v>
      </c>
      <c r="O93" s="4">
        <v>3258.328</v>
      </c>
      <c r="P93" s="4">
        <v>3223.4929999999999</v>
      </c>
      <c r="R93" s="3">
        <f t="shared" si="6"/>
        <v>3449.0455999999999</v>
      </c>
      <c r="S93" s="3">
        <f t="shared" si="7"/>
        <v>137.76293287404997</v>
      </c>
    </row>
    <row r="94" spans="1:19" x14ac:dyDescent="0.25">
      <c r="A94" s="4">
        <v>105</v>
      </c>
      <c r="B94" s="4">
        <v>2586.7089999999998</v>
      </c>
      <c r="C94" s="4">
        <v>3058.34</v>
      </c>
      <c r="D94" s="4">
        <v>3085.81</v>
      </c>
      <c r="E94" s="4">
        <v>3085.6640000000002</v>
      </c>
      <c r="F94" s="4">
        <v>2545.2040000000002</v>
      </c>
      <c r="H94" s="2">
        <f t="shared" si="4"/>
        <v>2872.3454000000002</v>
      </c>
      <c r="I94" s="2">
        <f t="shared" si="5"/>
        <v>125.3546170643906</v>
      </c>
      <c r="K94" s="4">
        <v>105</v>
      </c>
      <c r="L94" s="4">
        <v>3255.1860000000001</v>
      </c>
      <c r="M94" s="4">
        <v>2769.777</v>
      </c>
      <c r="N94" s="4">
        <v>3360.2420000000002</v>
      </c>
      <c r="O94" s="4">
        <v>2846.5360000000001</v>
      </c>
      <c r="P94" s="4">
        <v>2828.9769999999999</v>
      </c>
      <c r="R94" s="3">
        <f t="shared" si="6"/>
        <v>3012.1436000000003</v>
      </c>
      <c r="S94" s="3">
        <f t="shared" si="7"/>
        <v>122.46623077591639</v>
      </c>
    </row>
    <row r="95" spans="1:19" x14ac:dyDescent="0.25">
      <c r="A95" s="4">
        <v>106.25</v>
      </c>
      <c r="B95" s="4">
        <v>2315.424</v>
      </c>
      <c r="C95" s="4">
        <v>2741.489</v>
      </c>
      <c r="D95" s="4">
        <v>2819.24</v>
      </c>
      <c r="E95" s="4">
        <v>2713.855</v>
      </c>
      <c r="F95" s="4">
        <v>2278.6</v>
      </c>
      <c r="H95" s="2">
        <f t="shared" si="4"/>
        <v>2573.7215999999999</v>
      </c>
      <c r="I95" s="2">
        <f t="shared" si="5"/>
        <v>114.42835400135753</v>
      </c>
      <c r="K95" s="4">
        <v>106.25</v>
      </c>
      <c r="L95" s="4">
        <v>2933.2280000000001</v>
      </c>
      <c r="M95" s="4">
        <v>2488.1109999999999</v>
      </c>
      <c r="N95" s="4">
        <v>2977.498</v>
      </c>
      <c r="O95" s="4">
        <v>2492.0709999999999</v>
      </c>
      <c r="P95" s="4">
        <v>2473.3870000000002</v>
      </c>
      <c r="R95" s="3">
        <f t="shared" si="6"/>
        <v>2672.8589999999999</v>
      </c>
      <c r="S95" s="3">
        <f t="shared" si="7"/>
        <v>115.58592901257488</v>
      </c>
    </row>
    <row r="96" spans="1:19" x14ac:dyDescent="0.25">
      <c r="A96" s="4">
        <v>107.5</v>
      </c>
      <c r="B96" s="4">
        <v>2191.4490000000001</v>
      </c>
      <c r="C96" s="4">
        <v>2609.6120000000001</v>
      </c>
      <c r="D96" s="4">
        <v>2697.7640000000001</v>
      </c>
      <c r="E96" s="4">
        <v>2543.9749999999999</v>
      </c>
      <c r="F96" s="4">
        <v>2147.77</v>
      </c>
      <c r="H96" s="2">
        <f t="shared" si="4"/>
        <v>2438.114</v>
      </c>
      <c r="I96" s="2">
        <f t="shared" si="5"/>
        <v>112.51211010064651</v>
      </c>
      <c r="K96" s="4">
        <v>107.5</v>
      </c>
      <c r="L96" s="4">
        <v>2776.2750000000001</v>
      </c>
      <c r="M96" s="4">
        <v>2366.152</v>
      </c>
      <c r="N96" s="4">
        <v>2782.482</v>
      </c>
      <c r="O96" s="4">
        <v>2329.165</v>
      </c>
      <c r="P96" s="4">
        <v>2297.0940000000001</v>
      </c>
      <c r="R96" s="3">
        <f t="shared" si="6"/>
        <v>2510.2336000000005</v>
      </c>
      <c r="S96" s="3">
        <f t="shared" si="7"/>
        <v>110.42442036732635</v>
      </c>
    </row>
    <row r="97" spans="1:16" x14ac:dyDescent="0.25">
      <c r="A97" s="4"/>
      <c r="B97" s="4"/>
      <c r="C97" s="4"/>
      <c r="D97" s="4"/>
      <c r="E97" s="4"/>
      <c r="F97" s="4"/>
      <c r="K97" s="4"/>
      <c r="L97" s="4"/>
      <c r="M97" s="4"/>
      <c r="N97" s="4"/>
      <c r="O97" s="4"/>
      <c r="P97" s="4"/>
    </row>
    <row r="98" spans="1:16" x14ac:dyDescent="0.25">
      <c r="A98" s="4"/>
      <c r="B98" s="4"/>
      <c r="C98" s="4"/>
      <c r="D98" s="4"/>
      <c r="E98" s="4"/>
      <c r="F98" s="4"/>
      <c r="K98" s="4"/>
      <c r="L98" s="4"/>
      <c r="M98" s="4"/>
      <c r="N98" s="4"/>
      <c r="O98" s="4"/>
      <c r="P98" s="4"/>
    </row>
    <row r="99" spans="1:16" x14ac:dyDescent="0.25">
      <c r="A99" s="4"/>
      <c r="B99" s="4"/>
      <c r="C99" s="4"/>
      <c r="D99" s="4"/>
      <c r="E99" s="4"/>
      <c r="F99" s="4"/>
      <c r="K99" s="4"/>
      <c r="L99" s="4"/>
      <c r="M99" s="4"/>
      <c r="N99" s="4"/>
      <c r="O99" s="4"/>
      <c r="P99" s="4"/>
    </row>
    <row r="100" spans="1:16" x14ac:dyDescent="0.25">
      <c r="A100" s="4"/>
      <c r="B100" s="4"/>
      <c r="C100" s="4"/>
      <c r="D100" s="4"/>
      <c r="E100" s="4"/>
      <c r="F100" s="4"/>
      <c r="K100" s="4"/>
      <c r="L100" s="4"/>
      <c r="M100" s="4"/>
      <c r="N100" s="4"/>
      <c r="O100" s="4"/>
      <c r="P100" s="4"/>
    </row>
    <row r="101" spans="1:16" x14ac:dyDescent="0.25">
      <c r="A101" s="4"/>
      <c r="B101" s="4"/>
      <c r="C101" s="4"/>
      <c r="D101" s="4"/>
      <c r="E101" s="4"/>
      <c r="F101" s="4"/>
      <c r="K101" s="4"/>
      <c r="L101" s="4"/>
      <c r="M101" s="4"/>
      <c r="N101" s="4"/>
      <c r="O101" s="4"/>
      <c r="P101" s="4"/>
    </row>
    <row r="102" spans="1:16" x14ac:dyDescent="0.25">
      <c r="K102" s="4"/>
      <c r="L102" s="4"/>
      <c r="M102" s="4"/>
      <c r="N102" s="4"/>
      <c r="O102" s="4"/>
      <c r="P102" s="4"/>
    </row>
    <row r="103" spans="1:16" x14ac:dyDescent="0.25">
      <c r="K103" s="4"/>
      <c r="L103" s="4"/>
      <c r="M103" s="4"/>
      <c r="N103" s="4"/>
      <c r="O103" s="4"/>
      <c r="P103" s="4"/>
    </row>
    <row r="104" spans="1:16" x14ac:dyDescent="0.25">
      <c r="K104" s="4"/>
      <c r="L104" s="4"/>
      <c r="M104" s="4"/>
      <c r="N104" s="4"/>
      <c r="O104" s="4"/>
      <c r="P104" s="4"/>
    </row>
    <row r="105" spans="1:16" x14ac:dyDescent="0.25">
      <c r="K105" s="4"/>
      <c r="L105" s="4"/>
      <c r="M105" s="4"/>
      <c r="N105" s="4"/>
      <c r="O105" s="4"/>
      <c r="P105" s="4"/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BRIGHT!OCT_RAW___\AD12\_dark_profiles_AD12_DARK</vt:lpstr>
      <vt:lpstr>BRIGHT!OCT_RAW___\AD12\_light_profiles_AD12_LIGHT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2019-11-17T02:15:11Z</dcterms:modified>
</cp:coreProperties>
</file>