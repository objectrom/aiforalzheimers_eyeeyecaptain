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[2019-11NOV-16]\AQ730\"/>
    </mc:Choice>
  </mc:AlternateContent>
  <xr:revisionPtr revIDLastSave="0" documentId="13_ncr:1_{3BC68CC9-64FA-439F-AA5D-3EB4011BF034}" xr6:coauthVersionLast="45" xr6:coauthVersionMax="45" xr10:uidLastSave="{00000000-0000-0000-0000-000000000000}"/>
  <bookViews>
    <workbookView xWindow="660" yWindow="675" windowWidth="26115" windowHeight="13320" xr2:uid="{00000000-000D-0000-FFFF-FFFF00000000}"/>
  </bookViews>
  <sheets>
    <sheet name="BRIGHT" sheetId="1" r:id="rId1"/>
  </sheets>
  <definedNames>
    <definedName name="OCT_RAW___\AQ03\_dark_profiles_AQ03_DARK" localSheetId="0">BRIGHT!$A$2:$F$96</definedName>
    <definedName name="OCT_RAW___\AQ03\_fovea_dark_profiles_AQ03_DARK" localSheetId="0">BRIGHT!#REF!</definedName>
    <definedName name="OCT_RAW___\AQ03\_fovea_light_profiles_AQ03_LIGHT" localSheetId="0">BRIGHT!#REF!</definedName>
    <definedName name="OCT_RAW___\AQ03\_light_profiles_AQ03_LIGHT" localSheetId="0">BRIGHT!$K$2:$O$96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B55916-7ED2-45BF-A2CC-4290D969E3EF}" name="[[[OCT RAW]]]\AQ03\_dark_profiles_AQ03_DARK" type="6" refreshedVersion="6" background="1" saveData="1">
    <textPr codePage="437" sourceFile="E:\[Documents]\[[[OCT RAW]]]\AQ03\_dark_profiles_AQ03_DARK.txt" space="1" consecutive="1">
      <textFields count="6">
        <textField/>
        <textField/>
        <textField/>
        <textField/>
        <textField/>
        <textField/>
      </textFields>
    </textPr>
  </connection>
  <connection id="2" xr16:uid="{9DF949D3-F02A-416C-8D9E-A4E84633A3FC}" name="[[[OCT RAW]]]\AQ03\_light_profiles_AQ03_LIGHT" type="6" refreshedVersion="6" background="1" saveData="1">
    <textPr codePage="437" sourceFile="E:\[Documents]\[[[OCT RAW]]]\AQ03\_light_profiles_AQ03_LIGHT.txt" space="1" consecutive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<sst xmlns="http://schemas.openxmlformats.org/spreadsheetml/2006/main" count="106" uniqueCount="9">
  <si>
    <t>angle</t>
  </si>
  <si>
    <t>whole</t>
  </si>
  <si>
    <t>RPEtoOLM</t>
  </si>
  <si>
    <t>RNFL</t>
  </si>
  <si>
    <t>DARK 500 microns to 2750 microns</t>
  </si>
  <si>
    <t>LIGHT 500 microns to 2750 microns</t>
  </si>
  <si>
    <t>NA</t>
  </si>
  <si>
    <t>AQ730_DARK</t>
  </si>
  <si>
    <t>AQ730_LIGHT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</si>
</sst>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Q03\_dark_profiles_AQ03_DARK" connectionId="1" xr16:uid="{38A5B214-3105-4831-9B50-3BA20AF22A39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AQ03\_light_profiles_AQ03_LIGHT" connectionId="2" xr16:uid="{593A7198-7D23-4F69-B3B4-9C8D8E0239F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M16" sqref="M16"/>
    </sheetView>
  </sheetViews>
  <sheetFormatPr defaultRowHeight="15" x14ac:dyDescent="0.25"/>
  <cols>
    <col min="1" max="1" width="11.5703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1.710937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4" t="s">
        <v>4</v>
      </c>
      <c r="B1" s="4"/>
      <c r="C1" s="4"/>
      <c r="D1" s="4"/>
      <c r="E1" s="4"/>
      <c r="F1" s="4"/>
      <c r="K1" s="5" t="s">
        <v>5</v>
      </c>
      <c r="L1" s="5"/>
      <c r="M1" s="5"/>
      <c r="N1" s="5"/>
      <c r="O1" s="5"/>
      <c r="P1" s="5"/>
    </row>
    <row r="2" spans="1:19" x14ac:dyDescent="0.25">
      <c r="A2" t="s">
        <v>7</v>
      </c>
      <c r="B2">
        <v>1</v>
      </c>
      <c r="C2">
        <v>2</v>
      </c>
      <c r="D2">
        <v>3</v>
      </c>
      <c r="E2">
        <v>4</v>
      </c>
      <c r="F2">
        <v>5</v>
      </c>
      <c r="K2" t="s">
        <v>8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1.4359999999999999</v>
      </c>
      <c r="C3">
        <v>-0.90600000000000003</v>
      </c>
      <c r="D3">
        <v>-4.8339999999999996</v>
      </c>
      <c r="E3">
        <v>-0.21099999999999999</v>
      </c>
      <c r="F3">
        <v>2.12</v>
      </c>
      <c r="K3" t="s">
        <v>0</v>
      </c>
      <c r="L3" t="s">
        <v>6</v>
      </c>
      <c r="M3">
        <v>1.4590000000000001</v>
      </c>
      <c r="N3">
        <v>-2.5999999999999999E-2</v>
      </c>
      <c r="O3">
        <v>-3.8330000000000002</v>
      </c>
      <c r="P3">
        <v>-1.5169999999999999</v>
      </c>
    </row>
    <row r="4" spans="1:19" x14ac:dyDescent="0.25">
      <c r="A4" t="s">
        <v>1</v>
      </c>
      <c r="B4">
        <v>273.67599999999999</v>
      </c>
      <c r="C4">
        <v>274.10500000000002</v>
      </c>
      <c r="D4">
        <v>275.39400000000001</v>
      </c>
      <c r="E4">
        <v>275.42399999999998</v>
      </c>
      <c r="F4">
        <v>272.596</v>
      </c>
      <c r="H4" s="2">
        <f>AVERAGE(B4:F4)</f>
        <v>274.23899999999998</v>
      </c>
      <c r="I4" s="2">
        <f>STDEV(B4:F4)/SQRT(COUNT(B4:F4))</f>
        <v>0.53724407860859469</v>
      </c>
      <c r="K4" t="s">
        <v>1</v>
      </c>
      <c r="L4" t="s">
        <v>6</v>
      </c>
      <c r="M4">
        <v>276.428</v>
      </c>
      <c r="N4">
        <v>274.93900000000002</v>
      </c>
      <c r="O4">
        <v>274.48599999999999</v>
      </c>
      <c r="P4">
        <v>275.82400000000001</v>
      </c>
      <c r="R4" s="3">
        <f>AVERAGE(L4:P4)</f>
        <v>275.41924999999998</v>
      </c>
      <c r="S4" s="3">
        <f>STDEV(L4:P4)/SQRT(COUNT(L4:P4))</f>
        <v>0.43617606823391886</v>
      </c>
    </row>
    <row r="5" spans="1:19" x14ac:dyDescent="0.25">
      <c r="A5" t="s">
        <v>2</v>
      </c>
      <c r="B5">
        <v>70.128</v>
      </c>
      <c r="C5">
        <v>70.793000000000006</v>
      </c>
      <c r="D5">
        <v>71.518000000000001</v>
      </c>
      <c r="E5">
        <v>71.33</v>
      </c>
      <c r="F5">
        <v>69.858000000000004</v>
      </c>
      <c r="H5" s="2">
        <f t="shared" ref="H5:H68" si="0">AVERAGE(B5:F5)</f>
        <v>70.725400000000008</v>
      </c>
      <c r="I5" s="2">
        <f t="shared" ref="I5:I68" si="1">STDEV(B5:F5)/SQRT(COUNT(B5:F5))</f>
        <v>0.32462248843849312</v>
      </c>
      <c r="K5" t="s">
        <v>2</v>
      </c>
      <c r="L5" t="s">
        <v>6</v>
      </c>
      <c r="M5">
        <v>71.19</v>
      </c>
      <c r="N5">
        <v>69.132000000000005</v>
      </c>
      <c r="O5">
        <v>71.152000000000001</v>
      </c>
      <c r="P5">
        <v>71.415000000000006</v>
      </c>
      <c r="R5" s="3">
        <f t="shared" ref="R5:R68" si="2">AVERAGE(L5:P5)</f>
        <v>70.722250000000003</v>
      </c>
      <c r="S5" s="3">
        <f t="shared" ref="S5:S68" si="3">STDEV(L5:P5)/SQRT(COUNT(L5:P5))</f>
        <v>0.53325046882304694</v>
      </c>
    </row>
    <row r="6" spans="1:19" x14ac:dyDescent="0.25">
      <c r="A6" t="s">
        <v>3</v>
      </c>
      <c r="B6">
        <v>19.222999999999999</v>
      </c>
      <c r="C6">
        <v>18.596</v>
      </c>
      <c r="D6">
        <v>20.035</v>
      </c>
      <c r="E6">
        <v>18.265000000000001</v>
      </c>
      <c r="F6">
        <v>17.181000000000001</v>
      </c>
      <c r="H6" s="2">
        <f t="shared" si="0"/>
        <v>18.66</v>
      </c>
      <c r="I6" s="2">
        <f t="shared" si="1"/>
        <v>0.4772397720224078</v>
      </c>
      <c r="K6" t="s">
        <v>3</v>
      </c>
      <c r="L6" t="s">
        <v>6</v>
      </c>
      <c r="M6">
        <v>18.891999999999999</v>
      </c>
      <c r="N6">
        <v>19.315000000000001</v>
      </c>
      <c r="O6">
        <v>19.544</v>
      </c>
      <c r="P6">
        <v>18.675000000000001</v>
      </c>
      <c r="R6" s="3">
        <f t="shared" si="2"/>
        <v>19.1065</v>
      </c>
      <c r="S6" s="3">
        <f t="shared" si="3"/>
        <v>0.197290183908543</v>
      </c>
    </row>
    <row r="7" spans="1:19" x14ac:dyDescent="0.25">
      <c r="A7">
        <v>-3.75</v>
      </c>
      <c r="B7">
        <v>916.79200000000003</v>
      </c>
      <c r="C7">
        <v>817.52700000000004</v>
      </c>
      <c r="D7">
        <v>896.67499999999995</v>
      </c>
      <c r="E7">
        <v>652.25099999999998</v>
      </c>
      <c r="F7">
        <v>946.572</v>
      </c>
      <c r="H7" s="2">
        <f t="shared" si="0"/>
        <v>845.96339999999998</v>
      </c>
      <c r="I7" s="2">
        <f t="shared" si="1"/>
        <v>52.93560715869787</v>
      </c>
      <c r="K7">
        <v>-3.75</v>
      </c>
      <c r="L7" t="s">
        <v>6</v>
      </c>
      <c r="M7">
        <v>603.12400000000002</v>
      </c>
      <c r="N7">
        <v>694.04300000000001</v>
      </c>
      <c r="O7">
        <v>834.14200000000005</v>
      </c>
      <c r="P7">
        <v>797.05600000000004</v>
      </c>
      <c r="R7" s="3">
        <f t="shared" si="2"/>
        <v>732.09125000000006</v>
      </c>
      <c r="S7" s="3">
        <f t="shared" si="3"/>
        <v>52.213500184937871</v>
      </c>
    </row>
    <row r="8" spans="1:19" x14ac:dyDescent="0.25">
      <c r="A8">
        <v>-2.5</v>
      </c>
      <c r="B8">
        <v>1122.732</v>
      </c>
      <c r="C8">
        <v>961.55499999999995</v>
      </c>
      <c r="D8">
        <v>1083.569</v>
      </c>
      <c r="E8">
        <v>847.34400000000005</v>
      </c>
      <c r="F8">
        <v>1072.875</v>
      </c>
      <c r="H8" s="2">
        <f t="shared" si="0"/>
        <v>1017.615</v>
      </c>
      <c r="I8" s="2">
        <f t="shared" si="1"/>
        <v>50.2931995631616</v>
      </c>
      <c r="K8">
        <v>-2.5</v>
      </c>
      <c r="L8" t="s">
        <v>6</v>
      </c>
      <c r="M8">
        <v>814.75699999999995</v>
      </c>
      <c r="N8">
        <v>924.24599999999998</v>
      </c>
      <c r="O8">
        <v>991.86500000000001</v>
      </c>
      <c r="P8">
        <v>1026.52</v>
      </c>
      <c r="R8" s="3">
        <f t="shared" si="2"/>
        <v>939.34699999999998</v>
      </c>
      <c r="S8" s="3">
        <f t="shared" si="3"/>
        <v>46.644024763807288</v>
      </c>
    </row>
    <row r="9" spans="1:19" x14ac:dyDescent="0.25">
      <c r="A9">
        <v>-1.25</v>
      </c>
      <c r="B9">
        <v>1551.845</v>
      </c>
      <c r="C9">
        <v>1377.704</v>
      </c>
      <c r="D9">
        <v>1459.0119999999999</v>
      </c>
      <c r="E9">
        <v>1348.4179999999999</v>
      </c>
      <c r="F9">
        <v>1396.904</v>
      </c>
      <c r="H9" s="2">
        <f t="shared" si="0"/>
        <v>1426.7765999999999</v>
      </c>
      <c r="I9" s="2">
        <f t="shared" si="1"/>
        <v>36.139859011346481</v>
      </c>
      <c r="K9">
        <v>-1.25</v>
      </c>
      <c r="L9" t="s">
        <v>6</v>
      </c>
      <c r="M9">
        <v>1304.491</v>
      </c>
      <c r="N9">
        <v>1529.9059999999999</v>
      </c>
      <c r="O9">
        <v>1326.43</v>
      </c>
      <c r="P9">
        <v>1465.2729999999999</v>
      </c>
      <c r="R9" s="3">
        <f t="shared" si="2"/>
        <v>1406.5250000000001</v>
      </c>
      <c r="S9" s="3">
        <f t="shared" si="3"/>
        <v>54.390827080492144</v>
      </c>
    </row>
    <row r="10" spans="1:19" x14ac:dyDescent="0.25">
      <c r="A10">
        <v>0</v>
      </c>
      <c r="B10">
        <v>2215.09</v>
      </c>
      <c r="C10">
        <v>2025.252</v>
      </c>
      <c r="D10">
        <v>2072.2840000000001</v>
      </c>
      <c r="E10">
        <v>2142.2359999999999</v>
      </c>
      <c r="F10">
        <v>1922.3320000000001</v>
      </c>
      <c r="H10" s="2">
        <f t="shared" si="0"/>
        <v>2075.4388000000004</v>
      </c>
      <c r="I10" s="2">
        <f t="shared" si="1"/>
        <v>49.967331053799533</v>
      </c>
      <c r="K10">
        <v>0</v>
      </c>
      <c r="L10" t="s">
        <v>6</v>
      </c>
      <c r="M10">
        <v>2145.1779999999999</v>
      </c>
      <c r="N10">
        <v>2411.174</v>
      </c>
      <c r="O10">
        <v>1870.2059999999999</v>
      </c>
      <c r="P10">
        <v>2161.4560000000001</v>
      </c>
      <c r="R10" s="3">
        <f t="shared" si="2"/>
        <v>2147.0034999999998</v>
      </c>
      <c r="S10" s="3">
        <f t="shared" si="3"/>
        <v>110.53472918914069</v>
      </c>
    </row>
    <row r="11" spans="1:19" x14ac:dyDescent="0.25">
      <c r="A11">
        <v>1.25</v>
      </c>
      <c r="B11">
        <v>2715.6060000000002</v>
      </c>
      <c r="C11">
        <v>2409.4789999999998</v>
      </c>
      <c r="D11">
        <v>2497.6979999999999</v>
      </c>
      <c r="E11">
        <v>2600.154</v>
      </c>
      <c r="F11">
        <v>2264.8910000000001</v>
      </c>
      <c r="H11" s="2">
        <f t="shared" si="0"/>
        <v>2497.5655999999999</v>
      </c>
      <c r="I11" s="2">
        <f t="shared" si="1"/>
        <v>77.447637782310736</v>
      </c>
      <c r="K11">
        <v>1.25</v>
      </c>
      <c r="L11" t="s">
        <v>6</v>
      </c>
      <c r="M11">
        <v>2703.0819999999999</v>
      </c>
      <c r="N11">
        <v>2895.8530000000001</v>
      </c>
      <c r="O11">
        <v>2235.0230000000001</v>
      </c>
      <c r="P11">
        <v>2483.77</v>
      </c>
      <c r="R11" s="3">
        <f t="shared" si="2"/>
        <v>2579.4319999999998</v>
      </c>
      <c r="S11" s="3">
        <f t="shared" si="3"/>
        <v>142.35529180715409</v>
      </c>
    </row>
    <row r="12" spans="1:19" x14ac:dyDescent="0.25">
      <c r="A12">
        <v>2.5</v>
      </c>
      <c r="B12">
        <v>3021.5309999999999</v>
      </c>
      <c r="C12">
        <v>2800.5320000000002</v>
      </c>
      <c r="D12">
        <v>2880.7539999999999</v>
      </c>
      <c r="E12">
        <v>3083.8760000000002</v>
      </c>
      <c r="F12">
        <v>2523.3580000000002</v>
      </c>
      <c r="H12" s="2">
        <f t="shared" si="0"/>
        <v>2862.0101999999997</v>
      </c>
      <c r="I12" s="2">
        <f t="shared" si="1"/>
        <v>98.358408517218265</v>
      </c>
      <c r="K12">
        <v>2.5</v>
      </c>
      <c r="L12" t="s">
        <v>6</v>
      </c>
      <c r="M12">
        <v>3215.24</v>
      </c>
      <c r="N12">
        <v>3425.8739999999998</v>
      </c>
      <c r="O12">
        <v>2571.2260000000001</v>
      </c>
      <c r="P12">
        <v>2964.4830000000002</v>
      </c>
      <c r="R12" s="3">
        <f t="shared" si="2"/>
        <v>3044.2057500000001</v>
      </c>
      <c r="S12" s="3">
        <f t="shared" si="3"/>
        <v>183.70921962636839</v>
      </c>
    </row>
    <row r="13" spans="1:19" x14ac:dyDescent="0.25">
      <c r="A13">
        <v>3.75</v>
      </c>
      <c r="B13">
        <v>3356.9319999999998</v>
      </c>
      <c r="C13">
        <v>3024.674</v>
      </c>
      <c r="D13">
        <v>3140.1210000000001</v>
      </c>
      <c r="E13">
        <v>3358.232</v>
      </c>
      <c r="F13">
        <v>2790.2350000000001</v>
      </c>
      <c r="H13" s="2">
        <f t="shared" si="0"/>
        <v>3134.0387999999998</v>
      </c>
      <c r="I13" s="2">
        <f t="shared" si="1"/>
        <v>107.27130908653996</v>
      </c>
      <c r="K13">
        <v>3.75</v>
      </c>
      <c r="L13" t="s">
        <v>6</v>
      </c>
      <c r="M13">
        <v>3436.2719999999999</v>
      </c>
      <c r="N13">
        <v>3770.4009999999998</v>
      </c>
      <c r="O13">
        <v>2817.614</v>
      </c>
      <c r="P13">
        <v>3171.9920000000002</v>
      </c>
      <c r="R13" s="3">
        <f t="shared" si="2"/>
        <v>3299.0697500000001</v>
      </c>
      <c r="S13" s="3">
        <f t="shared" si="3"/>
        <v>201.85101733389723</v>
      </c>
    </row>
    <row r="14" spans="1:19" x14ac:dyDescent="0.25">
      <c r="A14">
        <v>5</v>
      </c>
      <c r="B14">
        <v>3485.3420000000001</v>
      </c>
      <c r="C14">
        <v>3159.2109999999998</v>
      </c>
      <c r="D14">
        <v>3275.8319999999999</v>
      </c>
      <c r="E14">
        <v>3464.4760000000001</v>
      </c>
      <c r="F14">
        <v>2911.902</v>
      </c>
      <c r="H14" s="2">
        <f t="shared" si="0"/>
        <v>3259.3526000000002</v>
      </c>
      <c r="I14" s="2">
        <f t="shared" si="1"/>
        <v>105.86988435225575</v>
      </c>
      <c r="K14">
        <v>5</v>
      </c>
      <c r="L14" t="s">
        <v>6</v>
      </c>
      <c r="M14">
        <v>3561.5810000000001</v>
      </c>
      <c r="N14">
        <v>3959.6039999999998</v>
      </c>
      <c r="O14">
        <v>2959.6619999999998</v>
      </c>
      <c r="P14">
        <v>3358.3409999999999</v>
      </c>
      <c r="R14" s="3">
        <f t="shared" si="2"/>
        <v>3459.797</v>
      </c>
      <c r="S14" s="3">
        <f t="shared" si="3"/>
        <v>208.28573284193041</v>
      </c>
    </row>
    <row r="15" spans="1:19" x14ac:dyDescent="0.25">
      <c r="A15">
        <v>6.25</v>
      </c>
      <c r="B15">
        <v>3525.5479999999998</v>
      </c>
      <c r="C15">
        <v>3155.9340000000002</v>
      </c>
      <c r="D15">
        <v>3283.18</v>
      </c>
      <c r="E15">
        <v>3348.701</v>
      </c>
      <c r="F15">
        <v>2960.86</v>
      </c>
      <c r="H15" s="2">
        <f t="shared" si="0"/>
        <v>3254.8446000000004</v>
      </c>
      <c r="I15" s="2">
        <f t="shared" si="1"/>
        <v>94.631522579740761</v>
      </c>
      <c r="K15">
        <v>6.25</v>
      </c>
      <c r="L15" t="s">
        <v>6</v>
      </c>
      <c r="M15">
        <v>3409.9380000000001</v>
      </c>
      <c r="N15">
        <v>3914.3760000000002</v>
      </c>
      <c r="O15">
        <v>2988.4430000000002</v>
      </c>
      <c r="P15">
        <v>3347.165</v>
      </c>
      <c r="R15" s="3">
        <f t="shared" si="2"/>
        <v>3414.9805000000006</v>
      </c>
      <c r="S15" s="3">
        <f t="shared" si="3"/>
        <v>190.6030939703848</v>
      </c>
    </row>
    <row r="16" spans="1:19" x14ac:dyDescent="0.25">
      <c r="A16">
        <v>7.5</v>
      </c>
      <c r="B16">
        <v>3443.799</v>
      </c>
      <c r="C16">
        <v>3034.46</v>
      </c>
      <c r="D16">
        <v>3219.989</v>
      </c>
      <c r="E16">
        <v>3164.75</v>
      </c>
      <c r="F16">
        <v>2915.8249999999998</v>
      </c>
      <c r="H16" s="2">
        <f t="shared" si="0"/>
        <v>3155.7646</v>
      </c>
      <c r="I16" s="2">
        <f t="shared" si="1"/>
        <v>89.290297395965723</v>
      </c>
      <c r="K16">
        <v>7.5</v>
      </c>
      <c r="L16" t="s">
        <v>6</v>
      </c>
      <c r="M16">
        <v>3209.998</v>
      </c>
      <c r="N16">
        <v>3729.8150000000001</v>
      </c>
      <c r="O16">
        <v>2929.3629999999998</v>
      </c>
      <c r="P16">
        <v>3219.471</v>
      </c>
      <c r="R16" s="3">
        <f t="shared" si="2"/>
        <v>3272.1617499999998</v>
      </c>
      <c r="S16" s="3">
        <f t="shared" si="3"/>
        <v>166.7328519885304</v>
      </c>
    </row>
    <row r="17" spans="1:19" x14ac:dyDescent="0.25">
      <c r="A17">
        <v>8.75</v>
      </c>
      <c r="B17">
        <v>3352.5880000000002</v>
      </c>
      <c r="C17">
        <v>2883.5940000000001</v>
      </c>
      <c r="D17">
        <v>3130.779</v>
      </c>
      <c r="E17">
        <v>2841.3760000000002</v>
      </c>
      <c r="F17">
        <v>2820.91</v>
      </c>
      <c r="H17" s="2">
        <f t="shared" si="0"/>
        <v>3005.8494000000001</v>
      </c>
      <c r="I17" s="2">
        <f t="shared" si="1"/>
        <v>102.9649274013244</v>
      </c>
      <c r="K17">
        <v>8.75</v>
      </c>
      <c r="L17" t="s">
        <v>6</v>
      </c>
      <c r="M17">
        <v>2808.3879999999999</v>
      </c>
      <c r="N17">
        <v>3372.6610000000001</v>
      </c>
      <c r="O17">
        <v>2816.9479999999999</v>
      </c>
      <c r="P17">
        <v>2972.56</v>
      </c>
      <c r="R17" s="3">
        <f t="shared" si="2"/>
        <v>2992.6392499999997</v>
      </c>
      <c r="S17" s="3">
        <f t="shared" si="3"/>
        <v>132.17275475892342</v>
      </c>
    </row>
    <row r="18" spans="1:19" x14ac:dyDescent="0.25">
      <c r="A18">
        <v>10</v>
      </c>
      <c r="B18">
        <v>3212.8040000000001</v>
      </c>
      <c r="C18">
        <v>2683.18</v>
      </c>
      <c r="D18">
        <v>3036.43</v>
      </c>
      <c r="E18">
        <v>2592.9670000000001</v>
      </c>
      <c r="F18">
        <v>2708.319</v>
      </c>
      <c r="H18" s="2">
        <f t="shared" si="0"/>
        <v>2846.7400000000002</v>
      </c>
      <c r="I18" s="2">
        <f t="shared" si="1"/>
        <v>118.38457048239015</v>
      </c>
      <c r="K18">
        <v>10</v>
      </c>
      <c r="L18" t="s">
        <v>6</v>
      </c>
      <c r="M18">
        <v>2552.2910000000002</v>
      </c>
      <c r="N18">
        <v>3011.232</v>
      </c>
      <c r="O18">
        <v>2712.8040000000001</v>
      </c>
      <c r="P18">
        <v>2762.7429999999999</v>
      </c>
      <c r="R18" s="3">
        <f t="shared" si="2"/>
        <v>2759.7675000000004</v>
      </c>
      <c r="S18" s="3">
        <f t="shared" si="3"/>
        <v>95.085626649965661</v>
      </c>
    </row>
    <row r="19" spans="1:19" x14ac:dyDescent="0.25">
      <c r="A19">
        <v>11.25</v>
      </c>
      <c r="B19">
        <v>3163.7979999999998</v>
      </c>
      <c r="C19">
        <v>2583.8580000000002</v>
      </c>
      <c r="D19">
        <v>2974.42</v>
      </c>
      <c r="E19">
        <v>2386.8609999999999</v>
      </c>
      <c r="F19">
        <v>2652.0309999999999</v>
      </c>
      <c r="H19" s="2">
        <f t="shared" si="0"/>
        <v>2752.1936000000001</v>
      </c>
      <c r="I19" s="2">
        <f t="shared" si="1"/>
        <v>139.75694691949843</v>
      </c>
      <c r="K19">
        <v>11.25</v>
      </c>
      <c r="L19" t="s">
        <v>6</v>
      </c>
      <c r="M19">
        <v>2286.4589999999998</v>
      </c>
      <c r="N19">
        <v>2768.9270000000001</v>
      </c>
      <c r="O19">
        <v>2650.538</v>
      </c>
      <c r="P19">
        <v>2570.049</v>
      </c>
      <c r="R19" s="3">
        <f t="shared" si="2"/>
        <v>2568.9932500000004</v>
      </c>
      <c r="S19" s="3">
        <f t="shared" si="3"/>
        <v>102.65223153636674</v>
      </c>
    </row>
    <row r="20" spans="1:19" x14ac:dyDescent="0.25">
      <c r="A20">
        <v>12.5</v>
      </c>
      <c r="B20">
        <v>3107.02</v>
      </c>
      <c r="C20">
        <v>2504.6799999999998</v>
      </c>
      <c r="D20">
        <v>2936.4250000000002</v>
      </c>
      <c r="E20">
        <v>2254.116</v>
      </c>
      <c r="F20">
        <v>2618.739</v>
      </c>
      <c r="H20" s="2">
        <f t="shared" si="0"/>
        <v>2684.1959999999999</v>
      </c>
      <c r="I20" s="2">
        <f t="shared" si="1"/>
        <v>152.29560448713042</v>
      </c>
      <c r="K20">
        <v>12.5</v>
      </c>
      <c r="L20" t="s">
        <v>6</v>
      </c>
      <c r="M20">
        <v>2117.3409999999999</v>
      </c>
      <c r="N20">
        <v>2569.663</v>
      </c>
      <c r="O20">
        <v>2616.0039999999999</v>
      </c>
      <c r="P20">
        <v>2467.134</v>
      </c>
      <c r="R20" s="3">
        <f t="shared" si="2"/>
        <v>2442.5355</v>
      </c>
      <c r="S20" s="3">
        <f t="shared" si="3"/>
        <v>112.77162423123116</v>
      </c>
    </row>
    <row r="21" spans="1:19" x14ac:dyDescent="0.25">
      <c r="A21">
        <v>13.75</v>
      </c>
      <c r="B21">
        <v>3091.8850000000002</v>
      </c>
      <c r="C21">
        <v>2478.0279999999998</v>
      </c>
      <c r="D21">
        <v>2916.473</v>
      </c>
      <c r="E21">
        <v>2192.424</v>
      </c>
      <c r="F21">
        <v>2620.1190000000001</v>
      </c>
      <c r="H21" s="2">
        <f t="shared" si="0"/>
        <v>2659.7858000000006</v>
      </c>
      <c r="I21" s="2">
        <f t="shared" si="1"/>
        <v>159.00227078044901</v>
      </c>
      <c r="K21">
        <v>13.75</v>
      </c>
      <c r="L21" t="s">
        <v>6</v>
      </c>
      <c r="M21">
        <v>2067.4499999999998</v>
      </c>
      <c r="N21">
        <v>2486.5590000000002</v>
      </c>
      <c r="O21">
        <v>2597.8240000000001</v>
      </c>
      <c r="P21">
        <v>2429.6350000000002</v>
      </c>
      <c r="R21" s="3">
        <f t="shared" si="2"/>
        <v>2395.3670000000002</v>
      </c>
      <c r="S21" s="3">
        <f t="shared" si="3"/>
        <v>114.74924561335185</v>
      </c>
    </row>
    <row r="22" spans="1:19" x14ac:dyDescent="0.25">
      <c r="A22">
        <v>15</v>
      </c>
      <c r="B22">
        <v>3070.8960000000002</v>
      </c>
      <c r="C22">
        <v>2470.8359999999998</v>
      </c>
      <c r="D22">
        <v>2898.29</v>
      </c>
      <c r="E22">
        <v>2174.2220000000002</v>
      </c>
      <c r="F22">
        <v>2606.116</v>
      </c>
      <c r="H22" s="2">
        <f t="shared" si="0"/>
        <v>2644.0720000000001</v>
      </c>
      <c r="I22" s="2">
        <f t="shared" si="1"/>
        <v>157.95820818051831</v>
      </c>
      <c r="K22">
        <v>15</v>
      </c>
      <c r="L22" t="s">
        <v>6</v>
      </c>
      <c r="M22">
        <v>2033.8</v>
      </c>
      <c r="N22">
        <v>2443.752</v>
      </c>
      <c r="O22">
        <v>2581.88</v>
      </c>
      <c r="P22">
        <v>2402.8649999999998</v>
      </c>
      <c r="R22" s="3">
        <f t="shared" si="2"/>
        <v>2365.5742499999997</v>
      </c>
      <c r="S22" s="3">
        <f t="shared" si="3"/>
        <v>117.03442907849455</v>
      </c>
    </row>
    <row r="23" spans="1:19" x14ac:dyDescent="0.25">
      <c r="A23">
        <v>16.25</v>
      </c>
      <c r="B23">
        <v>3044.5790000000002</v>
      </c>
      <c r="C23">
        <v>2454.5419999999999</v>
      </c>
      <c r="D23">
        <v>2888.6190000000001</v>
      </c>
      <c r="E23">
        <v>2172.3989999999999</v>
      </c>
      <c r="F23">
        <v>2597.0129999999999</v>
      </c>
      <c r="H23" s="2">
        <f t="shared" si="0"/>
        <v>2631.4303999999997</v>
      </c>
      <c r="I23" s="2">
        <f t="shared" si="1"/>
        <v>154.92282454745151</v>
      </c>
      <c r="K23">
        <v>16.25</v>
      </c>
      <c r="L23" t="s">
        <v>6</v>
      </c>
      <c r="M23">
        <v>2023.8979999999999</v>
      </c>
      <c r="N23">
        <v>2427.7220000000002</v>
      </c>
      <c r="O23">
        <v>2569.9490000000001</v>
      </c>
      <c r="P23">
        <v>2400.86</v>
      </c>
      <c r="R23" s="3">
        <f t="shared" si="2"/>
        <v>2355.60725</v>
      </c>
      <c r="S23" s="3">
        <f t="shared" si="3"/>
        <v>116.6268125542429</v>
      </c>
    </row>
    <row r="24" spans="1:19" x14ac:dyDescent="0.25">
      <c r="A24">
        <v>17.5</v>
      </c>
      <c r="B24">
        <v>3033.0160000000001</v>
      </c>
      <c r="C24">
        <v>2426.5050000000001</v>
      </c>
      <c r="D24">
        <v>2882.1219999999998</v>
      </c>
      <c r="E24">
        <v>2163.16</v>
      </c>
      <c r="F24">
        <v>2581.1529999999998</v>
      </c>
      <c r="H24" s="2">
        <f t="shared" si="0"/>
        <v>2617.1912000000002</v>
      </c>
      <c r="I24" s="2">
        <f t="shared" si="1"/>
        <v>156.02930852676357</v>
      </c>
      <c r="K24">
        <v>17.5</v>
      </c>
      <c r="L24" t="s">
        <v>6</v>
      </c>
      <c r="M24">
        <v>2017.0730000000001</v>
      </c>
      <c r="N24">
        <v>2425.768</v>
      </c>
      <c r="O24">
        <v>2558.8780000000002</v>
      </c>
      <c r="P24">
        <v>2383.0650000000001</v>
      </c>
      <c r="R24" s="3">
        <f t="shared" si="2"/>
        <v>2346.1960000000004</v>
      </c>
      <c r="S24" s="3">
        <f t="shared" si="3"/>
        <v>115.91901217301098</v>
      </c>
    </row>
    <row r="25" spans="1:19" x14ac:dyDescent="0.25">
      <c r="A25">
        <v>18.75</v>
      </c>
      <c r="B25">
        <v>3030.2159999999999</v>
      </c>
      <c r="C25">
        <v>2412.4250000000002</v>
      </c>
      <c r="D25">
        <v>2875.1439999999998</v>
      </c>
      <c r="E25">
        <v>2152.4279999999999</v>
      </c>
      <c r="F25">
        <v>2582.34</v>
      </c>
      <c r="H25" s="2">
        <f t="shared" si="0"/>
        <v>2610.5106000000001</v>
      </c>
      <c r="I25" s="2">
        <f t="shared" si="1"/>
        <v>157.48882741947173</v>
      </c>
      <c r="K25">
        <v>18.75</v>
      </c>
      <c r="L25" t="s">
        <v>6</v>
      </c>
      <c r="M25">
        <v>1992.4190000000001</v>
      </c>
      <c r="N25">
        <v>2423.5709999999999</v>
      </c>
      <c r="O25">
        <v>2546.518</v>
      </c>
      <c r="P25">
        <v>2373.0619999999999</v>
      </c>
      <c r="R25" s="3">
        <f t="shared" si="2"/>
        <v>2333.8924999999999</v>
      </c>
      <c r="S25" s="3">
        <f t="shared" si="3"/>
        <v>119.50949667460181</v>
      </c>
    </row>
    <row r="26" spans="1:19" x14ac:dyDescent="0.25">
      <c r="A26">
        <v>20</v>
      </c>
      <c r="B26">
        <v>3021.7820000000002</v>
      </c>
      <c r="C26">
        <v>2402.5920000000001</v>
      </c>
      <c r="D26">
        <v>2871.4479999999999</v>
      </c>
      <c r="E26">
        <v>2139.4549999999999</v>
      </c>
      <c r="F26">
        <v>2595.5929999999998</v>
      </c>
      <c r="H26" s="2">
        <f t="shared" si="0"/>
        <v>2606.174</v>
      </c>
      <c r="I26" s="2">
        <f t="shared" si="1"/>
        <v>158.50623299826523</v>
      </c>
      <c r="K26">
        <v>20</v>
      </c>
      <c r="L26" t="s">
        <v>6</v>
      </c>
      <c r="M26">
        <v>1988.682</v>
      </c>
      <c r="N26">
        <v>2426.8310000000001</v>
      </c>
      <c r="O26">
        <v>2544.67</v>
      </c>
      <c r="P26">
        <v>2369.0709999999999</v>
      </c>
      <c r="R26" s="3">
        <f t="shared" si="2"/>
        <v>2332.3135000000002</v>
      </c>
      <c r="S26" s="3">
        <f t="shared" si="3"/>
        <v>120.22983631951209</v>
      </c>
    </row>
    <row r="27" spans="1:19" x14ac:dyDescent="0.25">
      <c r="A27">
        <v>21.25</v>
      </c>
      <c r="B27">
        <v>3033.4479999999999</v>
      </c>
      <c r="C27">
        <v>2408.152</v>
      </c>
      <c r="D27">
        <v>2871.7359999999999</v>
      </c>
      <c r="E27">
        <v>2141.5929999999998</v>
      </c>
      <c r="F27">
        <v>2612.674</v>
      </c>
      <c r="H27" s="2">
        <f t="shared" si="0"/>
        <v>2613.5205999999998</v>
      </c>
      <c r="I27" s="2">
        <f t="shared" si="1"/>
        <v>159.35916232008756</v>
      </c>
      <c r="K27">
        <v>21.25</v>
      </c>
      <c r="L27" t="s">
        <v>6</v>
      </c>
      <c r="M27">
        <v>1983.8920000000001</v>
      </c>
      <c r="N27">
        <v>2430.9380000000001</v>
      </c>
      <c r="O27">
        <v>2553.8470000000002</v>
      </c>
      <c r="P27">
        <v>2373.2979999999998</v>
      </c>
      <c r="R27" s="3">
        <f t="shared" si="2"/>
        <v>2335.4937499999996</v>
      </c>
      <c r="S27" s="3">
        <f t="shared" si="3"/>
        <v>123.09911269811211</v>
      </c>
    </row>
    <row r="28" spans="1:19" x14ac:dyDescent="0.25">
      <c r="A28">
        <v>22.5</v>
      </c>
      <c r="B28">
        <v>3037.46</v>
      </c>
      <c r="C28">
        <v>2410.5320000000002</v>
      </c>
      <c r="D28">
        <v>2873.6390000000001</v>
      </c>
      <c r="E28">
        <v>2140.529</v>
      </c>
      <c r="F28">
        <v>2615.6640000000002</v>
      </c>
      <c r="H28" s="2">
        <f t="shared" si="0"/>
        <v>2615.5648000000006</v>
      </c>
      <c r="I28" s="2">
        <f t="shared" si="1"/>
        <v>160.04613751771572</v>
      </c>
      <c r="K28">
        <v>22.5</v>
      </c>
      <c r="L28" t="s">
        <v>6</v>
      </c>
      <c r="M28">
        <v>1987.9680000000001</v>
      </c>
      <c r="N28">
        <v>2458.7950000000001</v>
      </c>
      <c r="O28">
        <v>2561.2330000000002</v>
      </c>
      <c r="P28">
        <v>2388.5880000000002</v>
      </c>
      <c r="R28" s="3">
        <f t="shared" si="2"/>
        <v>2349.1460000000002</v>
      </c>
      <c r="S28" s="3">
        <f t="shared" si="3"/>
        <v>125.50199793163986</v>
      </c>
    </row>
    <row r="29" spans="1:19" x14ac:dyDescent="0.25">
      <c r="A29">
        <v>23.75</v>
      </c>
      <c r="B29">
        <v>3021.067</v>
      </c>
      <c r="C29">
        <v>2416.3780000000002</v>
      </c>
      <c r="D29">
        <v>2871.2620000000002</v>
      </c>
      <c r="E29">
        <v>2148.58</v>
      </c>
      <c r="F29">
        <v>2625.3719999999998</v>
      </c>
      <c r="H29" s="2">
        <f t="shared" si="0"/>
        <v>2616.5317999999997</v>
      </c>
      <c r="I29" s="2">
        <f t="shared" si="1"/>
        <v>156.14973306810398</v>
      </c>
      <c r="K29">
        <v>23.75</v>
      </c>
      <c r="L29" t="s">
        <v>6</v>
      </c>
      <c r="M29">
        <v>1996.681</v>
      </c>
      <c r="N29">
        <v>2480.1039999999998</v>
      </c>
      <c r="O29">
        <v>2567.1889999999999</v>
      </c>
      <c r="P29">
        <v>2390.88</v>
      </c>
      <c r="R29" s="3">
        <f t="shared" si="2"/>
        <v>2358.7134999999998</v>
      </c>
      <c r="S29" s="3">
        <f t="shared" si="3"/>
        <v>125.92984236239104</v>
      </c>
    </row>
    <row r="30" spans="1:19" x14ac:dyDescent="0.25">
      <c r="A30">
        <v>25</v>
      </c>
      <c r="B30">
        <v>3011.9569999999999</v>
      </c>
      <c r="C30">
        <v>2415.5279999999998</v>
      </c>
      <c r="D30">
        <v>2864.6680000000001</v>
      </c>
      <c r="E30">
        <v>2143.7649999999999</v>
      </c>
      <c r="F30">
        <v>2597.806</v>
      </c>
      <c r="H30" s="2">
        <f t="shared" si="0"/>
        <v>2606.7447999999999</v>
      </c>
      <c r="I30" s="2">
        <f t="shared" si="1"/>
        <v>155.19590298761148</v>
      </c>
      <c r="K30">
        <v>25</v>
      </c>
      <c r="L30" t="s">
        <v>6</v>
      </c>
      <c r="M30">
        <v>1999.462</v>
      </c>
      <c r="N30">
        <v>2488.989</v>
      </c>
      <c r="O30">
        <v>2561.6950000000002</v>
      </c>
      <c r="P30">
        <v>2379.4360000000001</v>
      </c>
      <c r="R30" s="3">
        <f t="shared" si="2"/>
        <v>2357.3955000000001</v>
      </c>
      <c r="S30" s="3">
        <f t="shared" si="3"/>
        <v>125.05242534133438</v>
      </c>
    </row>
    <row r="31" spans="1:19" x14ac:dyDescent="0.25">
      <c r="A31">
        <v>26.25</v>
      </c>
      <c r="B31">
        <v>2983.8339999999998</v>
      </c>
      <c r="C31">
        <v>2398.35</v>
      </c>
      <c r="D31">
        <v>2853.3249999999998</v>
      </c>
      <c r="E31">
        <v>2127.489</v>
      </c>
      <c r="F31">
        <v>2578.27</v>
      </c>
      <c r="H31" s="2">
        <f t="shared" si="0"/>
        <v>2588.2535999999996</v>
      </c>
      <c r="I31" s="2">
        <f t="shared" si="1"/>
        <v>154.14502362016245</v>
      </c>
      <c r="K31">
        <v>26.25</v>
      </c>
      <c r="L31" t="s">
        <v>6</v>
      </c>
      <c r="M31">
        <v>1995.45</v>
      </c>
      <c r="N31">
        <v>2479.248</v>
      </c>
      <c r="O31">
        <v>2548.8649999999998</v>
      </c>
      <c r="P31">
        <v>2362.4250000000002</v>
      </c>
      <c r="R31" s="3">
        <f t="shared" si="2"/>
        <v>2346.4970000000003</v>
      </c>
      <c r="S31" s="3">
        <f t="shared" si="3"/>
        <v>123.17444703143583</v>
      </c>
    </row>
    <row r="32" spans="1:19" x14ac:dyDescent="0.25">
      <c r="A32">
        <v>27.5</v>
      </c>
      <c r="B32">
        <v>2974.0819999999999</v>
      </c>
      <c r="C32">
        <v>2386.752</v>
      </c>
      <c r="D32">
        <v>2835.9969999999998</v>
      </c>
      <c r="E32">
        <v>2117.2539999999999</v>
      </c>
      <c r="F32">
        <v>2535.0340000000001</v>
      </c>
      <c r="H32" s="2">
        <f t="shared" si="0"/>
        <v>2569.8237999999997</v>
      </c>
      <c r="I32" s="2">
        <f t="shared" si="1"/>
        <v>153.91846911218974</v>
      </c>
      <c r="K32">
        <v>27.5</v>
      </c>
      <c r="L32" t="s">
        <v>6</v>
      </c>
      <c r="M32">
        <v>1978.4659999999999</v>
      </c>
      <c r="N32">
        <v>2454.2469999999998</v>
      </c>
      <c r="O32">
        <v>2528.471</v>
      </c>
      <c r="P32">
        <v>2335.5810000000001</v>
      </c>
      <c r="R32" s="3">
        <f t="shared" si="2"/>
        <v>2324.1912499999999</v>
      </c>
      <c r="S32" s="3">
        <f t="shared" si="3"/>
        <v>121.89489641379237</v>
      </c>
    </row>
    <row r="33" spans="1:19" x14ac:dyDescent="0.25">
      <c r="A33">
        <v>28.75</v>
      </c>
      <c r="B33">
        <v>2966.5050000000001</v>
      </c>
      <c r="C33">
        <v>2359.9940000000001</v>
      </c>
      <c r="D33">
        <v>2825.39</v>
      </c>
      <c r="E33">
        <v>2101.4830000000002</v>
      </c>
      <c r="F33">
        <v>2522.806</v>
      </c>
      <c r="H33" s="2">
        <f t="shared" si="0"/>
        <v>2555.2356</v>
      </c>
      <c r="I33" s="2">
        <f t="shared" si="1"/>
        <v>156.07503044196494</v>
      </c>
      <c r="K33">
        <v>28.75</v>
      </c>
      <c r="L33" t="s">
        <v>6</v>
      </c>
      <c r="M33">
        <v>1964.3910000000001</v>
      </c>
      <c r="N33">
        <v>2420.9059999999999</v>
      </c>
      <c r="O33">
        <v>2508.337</v>
      </c>
      <c r="P33">
        <v>2319.6109999999999</v>
      </c>
      <c r="R33" s="3">
        <f t="shared" si="2"/>
        <v>2303.3112499999997</v>
      </c>
      <c r="S33" s="3">
        <f t="shared" si="3"/>
        <v>119.37221239354309</v>
      </c>
    </row>
    <row r="34" spans="1:19" x14ac:dyDescent="0.25">
      <c r="A34">
        <v>30</v>
      </c>
      <c r="B34">
        <v>2965.7570000000001</v>
      </c>
      <c r="C34">
        <v>2358.067</v>
      </c>
      <c r="D34">
        <v>2818.1170000000002</v>
      </c>
      <c r="E34">
        <v>2093.7159999999999</v>
      </c>
      <c r="F34">
        <v>2515.77</v>
      </c>
      <c r="H34" s="2">
        <f t="shared" si="0"/>
        <v>2550.2854000000002</v>
      </c>
      <c r="I34" s="2">
        <f t="shared" si="1"/>
        <v>156.67566172146724</v>
      </c>
      <c r="K34">
        <v>30</v>
      </c>
      <c r="L34" t="s">
        <v>6</v>
      </c>
      <c r="M34">
        <v>1956.211</v>
      </c>
      <c r="N34">
        <v>2396.87</v>
      </c>
      <c r="O34">
        <v>2492.9029999999998</v>
      </c>
      <c r="P34">
        <v>2311.393</v>
      </c>
      <c r="R34" s="3">
        <f t="shared" si="2"/>
        <v>2289.3442500000001</v>
      </c>
      <c r="S34" s="3">
        <f t="shared" si="3"/>
        <v>117.06901854844358</v>
      </c>
    </row>
    <row r="35" spans="1:19" x14ac:dyDescent="0.25">
      <c r="A35">
        <v>31.25</v>
      </c>
      <c r="B35">
        <v>2964.703</v>
      </c>
      <c r="C35">
        <v>2351.08</v>
      </c>
      <c r="D35">
        <v>2803.3739999999998</v>
      </c>
      <c r="E35">
        <v>2090.7869999999998</v>
      </c>
      <c r="F35">
        <v>2521.6909999999998</v>
      </c>
      <c r="H35" s="2">
        <f t="shared" si="0"/>
        <v>2546.3269999999998</v>
      </c>
      <c r="I35" s="2">
        <f t="shared" si="1"/>
        <v>156.10199433223269</v>
      </c>
      <c r="K35">
        <v>31.25</v>
      </c>
      <c r="L35" t="s">
        <v>6</v>
      </c>
      <c r="M35">
        <v>1942.8630000000001</v>
      </c>
      <c r="N35">
        <v>2372.4899999999998</v>
      </c>
      <c r="O35">
        <v>2484.087</v>
      </c>
      <c r="P35">
        <v>2309.7809999999999</v>
      </c>
      <c r="R35" s="3">
        <f t="shared" si="2"/>
        <v>2277.3052500000003</v>
      </c>
      <c r="S35" s="3">
        <f t="shared" si="3"/>
        <v>117.16267952749499</v>
      </c>
    </row>
    <row r="36" spans="1:19" x14ac:dyDescent="0.25">
      <c r="A36">
        <v>32.5</v>
      </c>
      <c r="B36">
        <v>2928.6529999999998</v>
      </c>
      <c r="C36">
        <v>2332.2069999999999</v>
      </c>
      <c r="D36">
        <v>2771.0520000000001</v>
      </c>
      <c r="E36">
        <v>2084.0309999999999</v>
      </c>
      <c r="F36">
        <v>2507.9009999999998</v>
      </c>
      <c r="H36" s="2">
        <f t="shared" si="0"/>
        <v>2524.7687999999998</v>
      </c>
      <c r="I36" s="2">
        <f t="shared" si="1"/>
        <v>150.8960303415565</v>
      </c>
      <c r="K36">
        <v>32.5</v>
      </c>
      <c r="L36" t="s">
        <v>6</v>
      </c>
      <c r="M36">
        <v>1928.528</v>
      </c>
      <c r="N36">
        <v>2340.1010000000001</v>
      </c>
      <c r="O36">
        <v>2466.8359999999998</v>
      </c>
      <c r="P36">
        <v>2285.8629999999998</v>
      </c>
      <c r="R36" s="3">
        <f t="shared" si="2"/>
        <v>2255.3319999999999</v>
      </c>
      <c r="S36" s="3">
        <f t="shared" si="3"/>
        <v>115.34467252326823</v>
      </c>
    </row>
    <row r="37" spans="1:19" x14ac:dyDescent="0.25">
      <c r="A37">
        <v>33.75</v>
      </c>
      <c r="B37">
        <v>2867.2150000000001</v>
      </c>
      <c r="C37">
        <v>2296.681</v>
      </c>
      <c r="D37">
        <v>2714.3580000000002</v>
      </c>
      <c r="E37">
        <v>2049.33</v>
      </c>
      <c r="F37">
        <v>2468.1120000000001</v>
      </c>
      <c r="H37" s="2">
        <f t="shared" si="0"/>
        <v>2479.1392000000001</v>
      </c>
      <c r="I37" s="2">
        <f t="shared" si="1"/>
        <v>145.61580489610267</v>
      </c>
      <c r="K37">
        <v>33.75</v>
      </c>
      <c r="L37" t="s">
        <v>6</v>
      </c>
      <c r="M37">
        <v>1896.9490000000001</v>
      </c>
      <c r="N37">
        <v>2311.518</v>
      </c>
      <c r="O37">
        <v>2420.739</v>
      </c>
      <c r="P37">
        <v>2251.2779999999998</v>
      </c>
      <c r="R37" s="3">
        <f t="shared" si="2"/>
        <v>2220.1210000000001</v>
      </c>
      <c r="S37" s="3">
        <f t="shared" si="3"/>
        <v>113.28867763594027</v>
      </c>
    </row>
    <row r="38" spans="1:19" x14ac:dyDescent="0.25">
      <c r="A38">
        <v>35</v>
      </c>
      <c r="B38">
        <v>2765.453</v>
      </c>
      <c r="C38">
        <v>2225.277</v>
      </c>
      <c r="D38">
        <v>2633.96</v>
      </c>
      <c r="E38">
        <v>1992.88</v>
      </c>
      <c r="F38">
        <v>2401.8240000000001</v>
      </c>
      <c r="H38" s="2">
        <f t="shared" si="0"/>
        <v>2403.8788</v>
      </c>
      <c r="I38" s="2">
        <f t="shared" si="1"/>
        <v>138.65354295271374</v>
      </c>
      <c r="K38">
        <v>35</v>
      </c>
      <c r="L38" t="s">
        <v>6</v>
      </c>
      <c r="M38">
        <v>1829.261</v>
      </c>
      <c r="N38">
        <v>2240.04</v>
      </c>
      <c r="O38">
        <v>2353.8870000000002</v>
      </c>
      <c r="P38">
        <v>2178.77</v>
      </c>
      <c r="R38" s="3">
        <f t="shared" si="2"/>
        <v>2150.4895000000001</v>
      </c>
      <c r="S38" s="3">
        <f t="shared" si="3"/>
        <v>113.05506436725132</v>
      </c>
    </row>
    <row r="39" spans="1:19" x14ac:dyDescent="0.25">
      <c r="A39">
        <v>36.25</v>
      </c>
      <c r="B39">
        <v>2678.259</v>
      </c>
      <c r="C39">
        <v>2140.1610000000001</v>
      </c>
      <c r="D39">
        <v>2542.6909999999998</v>
      </c>
      <c r="E39">
        <v>1904.819</v>
      </c>
      <c r="F39">
        <v>2301.71</v>
      </c>
      <c r="H39" s="2">
        <f t="shared" si="0"/>
        <v>2313.5279999999998</v>
      </c>
      <c r="I39" s="2">
        <f t="shared" si="1"/>
        <v>138.3443550391566</v>
      </c>
      <c r="K39">
        <v>36.25</v>
      </c>
      <c r="L39" t="s">
        <v>6</v>
      </c>
      <c r="M39">
        <v>1772.5360000000001</v>
      </c>
      <c r="N39">
        <v>2163.6640000000002</v>
      </c>
      <c r="O39">
        <v>2265.7669999999998</v>
      </c>
      <c r="P39">
        <v>2091.0610000000001</v>
      </c>
      <c r="R39" s="3">
        <f t="shared" si="2"/>
        <v>2073.2570000000001</v>
      </c>
      <c r="S39" s="3">
        <f t="shared" si="3"/>
        <v>106.45172145390602</v>
      </c>
    </row>
    <row r="40" spans="1:19" x14ac:dyDescent="0.25">
      <c r="A40">
        <v>37.5</v>
      </c>
      <c r="B40">
        <v>2544.96</v>
      </c>
      <c r="C40">
        <v>2039.9059999999999</v>
      </c>
      <c r="D40">
        <v>2424.6030000000001</v>
      </c>
      <c r="E40">
        <v>1801.9639999999999</v>
      </c>
      <c r="F40">
        <v>2201.5210000000002</v>
      </c>
      <c r="H40" s="2">
        <f t="shared" si="0"/>
        <v>2202.5908000000004</v>
      </c>
      <c r="I40" s="2">
        <f t="shared" si="1"/>
        <v>132.94273345294113</v>
      </c>
      <c r="K40">
        <v>37.5</v>
      </c>
      <c r="L40" t="s">
        <v>6</v>
      </c>
      <c r="M40">
        <v>1688.0519999999999</v>
      </c>
      <c r="N40">
        <v>2067.8229999999999</v>
      </c>
      <c r="O40">
        <v>2166.7080000000001</v>
      </c>
      <c r="P40">
        <v>1991.153</v>
      </c>
      <c r="R40" s="3">
        <f t="shared" si="2"/>
        <v>1978.4340000000002</v>
      </c>
      <c r="S40" s="3">
        <f t="shared" si="3"/>
        <v>103.24766796478588</v>
      </c>
    </row>
    <row r="41" spans="1:19" x14ac:dyDescent="0.25">
      <c r="A41">
        <v>38.75</v>
      </c>
      <c r="B41">
        <v>2362.2579999999998</v>
      </c>
      <c r="C41">
        <v>1878.461</v>
      </c>
      <c r="D41">
        <v>2213.42</v>
      </c>
      <c r="E41">
        <v>1655.057</v>
      </c>
      <c r="F41">
        <v>2038.529</v>
      </c>
      <c r="H41" s="2">
        <f t="shared" si="0"/>
        <v>2029.5450000000001</v>
      </c>
      <c r="I41" s="2">
        <f t="shared" si="1"/>
        <v>124.0274778930056</v>
      </c>
      <c r="K41">
        <v>38.75</v>
      </c>
      <c r="L41" t="s">
        <v>6</v>
      </c>
      <c r="M41">
        <v>1562.6849999999999</v>
      </c>
      <c r="N41">
        <v>1903.146</v>
      </c>
      <c r="O41">
        <v>1978.0150000000001</v>
      </c>
      <c r="P41">
        <v>1824.9659999999999</v>
      </c>
      <c r="R41" s="3">
        <f t="shared" si="2"/>
        <v>1817.203</v>
      </c>
      <c r="S41" s="3">
        <f t="shared" si="3"/>
        <v>90.40942755321484</v>
      </c>
    </row>
    <row r="42" spans="1:19" x14ac:dyDescent="0.25">
      <c r="A42">
        <v>40</v>
      </c>
      <c r="B42">
        <v>2249.4380000000001</v>
      </c>
      <c r="C42">
        <v>1777.702</v>
      </c>
      <c r="D42">
        <v>2097.4540000000002</v>
      </c>
      <c r="E42">
        <v>1564.152</v>
      </c>
      <c r="F42">
        <v>1942.0740000000001</v>
      </c>
      <c r="H42" s="2">
        <f t="shared" si="0"/>
        <v>1926.1640000000002</v>
      </c>
      <c r="I42" s="2">
        <f t="shared" si="1"/>
        <v>119.83178310948922</v>
      </c>
      <c r="K42">
        <v>40</v>
      </c>
      <c r="L42" t="s">
        <v>6</v>
      </c>
      <c r="M42">
        <v>1479.405</v>
      </c>
      <c r="N42">
        <v>1801.067</v>
      </c>
      <c r="O42">
        <v>1861.7629999999999</v>
      </c>
      <c r="P42">
        <v>1725.7090000000001</v>
      </c>
      <c r="R42" s="3">
        <f t="shared" si="2"/>
        <v>1716.9859999999999</v>
      </c>
      <c r="S42" s="3">
        <f t="shared" si="3"/>
        <v>83.939867653378315</v>
      </c>
    </row>
    <row r="43" spans="1:19" x14ac:dyDescent="0.25">
      <c r="A43">
        <v>41.25</v>
      </c>
      <c r="B43">
        <v>2194.1329999999998</v>
      </c>
      <c r="C43">
        <v>1732.8520000000001</v>
      </c>
      <c r="D43">
        <v>2062.2489999999998</v>
      </c>
      <c r="E43">
        <v>1524.6769999999999</v>
      </c>
      <c r="F43">
        <v>1904.5740000000001</v>
      </c>
      <c r="H43" s="2">
        <f t="shared" si="0"/>
        <v>1883.6969999999997</v>
      </c>
      <c r="I43" s="2">
        <f t="shared" si="1"/>
        <v>118.39272578034581</v>
      </c>
      <c r="K43">
        <v>41.25</v>
      </c>
      <c r="L43" t="s">
        <v>6</v>
      </c>
      <c r="M43">
        <v>1438.117</v>
      </c>
      <c r="N43">
        <v>1739.2739999999999</v>
      </c>
      <c r="O43">
        <v>1813.838</v>
      </c>
      <c r="P43">
        <v>1685.6759999999999</v>
      </c>
      <c r="R43" s="3">
        <f t="shared" si="2"/>
        <v>1669.2262499999997</v>
      </c>
      <c r="S43" s="3">
        <f t="shared" si="3"/>
        <v>81.394781378962904</v>
      </c>
    </row>
    <row r="44" spans="1:19" x14ac:dyDescent="0.25">
      <c r="A44">
        <v>42.5</v>
      </c>
      <c r="B44">
        <v>2189.0729999999999</v>
      </c>
      <c r="C44">
        <v>1728.4870000000001</v>
      </c>
      <c r="D44">
        <v>2059.7640000000001</v>
      </c>
      <c r="E44">
        <v>1515.5409999999999</v>
      </c>
      <c r="F44">
        <v>1902.903</v>
      </c>
      <c r="H44" s="2">
        <f t="shared" si="0"/>
        <v>1879.1536000000001</v>
      </c>
      <c r="I44" s="2">
        <f t="shared" si="1"/>
        <v>119.19495214127117</v>
      </c>
      <c r="K44">
        <v>42.5</v>
      </c>
      <c r="L44" t="s">
        <v>6</v>
      </c>
      <c r="M44">
        <v>1425.43</v>
      </c>
      <c r="N44">
        <v>1706.434</v>
      </c>
      <c r="O44">
        <v>1811.8979999999999</v>
      </c>
      <c r="P44">
        <v>1674.3610000000001</v>
      </c>
      <c r="R44" s="3">
        <f t="shared" si="2"/>
        <v>1654.5307499999999</v>
      </c>
      <c r="S44" s="3">
        <f t="shared" si="3"/>
        <v>81.822364097858326</v>
      </c>
    </row>
    <row r="45" spans="1:19" x14ac:dyDescent="0.25">
      <c r="A45">
        <v>43.75</v>
      </c>
      <c r="B45">
        <v>2194.7829999999999</v>
      </c>
      <c r="C45">
        <v>1735.2070000000001</v>
      </c>
      <c r="D45">
        <v>2072.1860000000001</v>
      </c>
      <c r="E45">
        <v>1521.9649999999999</v>
      </c>
      <c r="F45">
        <v>1908.0640000000001</v>
      </c>
      <c r="H45" s="2">
        <f t="shared" si="0"/>
        <v>1886.441</v>
      </c>
      <c r="I45" s="2">
        <f t="shared" si="1"/>
        <v>119.53200940543131</v>
      </c>
      <c r="K45">
        <v>43.75</v>
      </c>
      <c r="L45" t="s">
        <v>6</v>
      </c>
      <c r="M45">
        <v>1424.807</v>
      </c>
      <c r="N45">
        <v>1702.4680000000001</v>
      </c>
      <c r="O45">
        <v>1817.742</v>
      </c>
      <c r="P45">
        <v>1674.748</v>
      </c>
      <c r="R45" s="3">
        <f t="shared" si="2"/>
        <v>1654.9412499999999</v>
      </c>
      <c r="S45" s="3">
        <f t="shared" si="3"/>
        <v>82.722909228515206</v>
      </c>
    </row>
    <row r="46" spans="1:19" x14ac:dyDescent="0.25">
      <c r="A46">
        <v>45</v>
      </c>
      <c r="B46">
        <v>2188.7359999999999</v>
      </c>
      <c r="C46">
        <v>1737.9970000000001</v>
      </c>
      <c r="D46">
        <v>2093.096</v>
      </c>
      <c r="E46">
        <v>1535.7529999999999</v>
      </c>
      <c r="F46">
        <v>1917.4380000000001</v>
      </c>
      <c r="H46" s="2">
        <f t="shared" si="0"/>
        <v>1894.604</v>
      </c>
      <c r="I46" s="2">
        <f t="shared" si="1"/>
        <v>118.26535665485356</v>
      </c>
      <c r="K46">
        <v>45</v>
      </c>
      <c r="L46" t="s">
        <v>6</v>
      </c>
      <c r="M46">
        <v>1419.095</v>
      </c>
      <c r="N46">
        <v>1718.1859999999999</v>
      </c>
      <c r="O46">
        <v>1821.694</v>
      </c>
      <c r="P46">
        <v>1680.875</v>
      </c>
      <c r="R46" s="3">
        <f t="shared" si="2"/>
        <v>1659.9625000000001</v>
      </c>
      <c r="S46" s="3">
        <f t="shared" si="3"/>
        <v>85.635632798210807</v>
      </c>
    </row>
    <row r="47" spans="1:19" x14ac:dyDescent="0.25">
      <c r="A47">
        <v>46.25</v>
      </c>
      <c r="B47">
        <v>2193.0050000000001</v>
      </c>
      <c r="C47">
        <v>1753.7059999999999</v>
      </c>
      <c r="D47">
        <v>2154.335</v>
      </c>
      <c r="E47">
        <v>1550.136</v>
      </c>
      <c r="F47">
        <v>1926.9010000000001</v>
      </c>
      <c r="H47" s="2">
        <f t="shared" si="0"/>
        <v>1915.6166000000001</v>
      </c>
      <c r="I47" s="2">
        <f t="shared" si="1"/>
        <v>121.21246800663705</v>
      </c>
      <c r="K47">
        <v>46.25</v>
      </c>
      <c r="L47" t="s">
        <v>6</v>
      </c>
      <c r="M47">
        <v>1421.249</v>
      </c>
      <c r="N47">
        <v>1740.6469999999999</v>
      </c>
      <c r="O47">
        <v>1856.336</v>
      </c>
      <c r="P47">
        <v>1702.9639999999999</v>
      </c>
      <c r="R47" s="3">
        <f t="shared" si="2"/>
        <v>1680.299</v>
      </c>
      <c r="S47" s="3">
        <f t="shared" si="3"/>
        <v>92.309042170851285</v>
      </c>
    </row>
    <row r="48" spans="1:19" x14ac:dyDescent="0.25">
      <c r="A48">
        <v>47.5</v>
      </c>
      <c r="B48">
        <v>2241.5070000000001</v>
      </c>
      <c r="C48">
        <v>1811.481</v>
      </c>
      <c r="D48">
        <v>2250.7199999999998</v>
      </c>
      <c r="E48">
        <v>1581.789</v>
      </c>
      <c r="F48">
        <v>1979.037</v>
      </c>
      <c r="H48" s="2">
        <f t="shared" si="0"/>
        <v>1972.9068</v>
      </c>
      <c r="I48" s="2">
        <f t="shared" si="1"/>
        <v>128.13961980371309</v>
      </c>
      <c r="K48">
        <v>47.5</v>
      </c>
      <c r="L48" t="s">
        <v>6</v>
      </c>
      <c r="M48">
        <v>1446.3689999999999</v>
      </c>
      <c r="N48">
        <v>1788.9659999999999</v>
      </c>
      <c r="O48">
        <v>1932.338</v>
      </c>
      <c r="P48">
        <v>1765.884</v>
      </c>
      <c r="R48" s="3">
        <f t="shared" si="2"/>
        <v>1733.3892499999999</v>
      </c>
      <c r="S48" s="3">
        <f t="shared" si="3"/>
        <v>102.51256547156774</v>
      </c>
    </row>
    <row r="49" spans="1:19" x14ac:dyDescent="0.25">
      <c r="A49">
        <v>48.75</v>
      </c>
      <c r="B49">
        <v>2335.4830000000002</v>
      </c>
      <c r="C49">
        <v>1909.298</v>
      </c>
      <c r="D49">
        <v>2361.7359999999999</v>
      </c>
      <c r="E49">
        <v>1651.25</v>
      </c>
      <c r="F49">
        <v>2072.3910000000001</v>
      </c>
      <c r="H49" s="2">
        <f t="shared" si="0"/>
        <v>2066.0315999999998</v>
      </c>
      <c r="I49" s="2">
        <f t="shared" si="1"/>
        <v>133.54676862006121</v>
      </c>
      <c r="K49">
        <v>48.75</v>
      </c>
      <c r="L49" t="s">
        <v>6</v>
      </c>
      <c r="M49">
        <v>1508.297</v>
      </c>
      <c r="N49">
        <v>1863.789</v>
      </c>
      <c r="O49">
        <v>2024.654</v>
      </c>
      <c r="P49">
        <v>1841.492</v>
      </c>
      <c r="R49" s="3">
        <f t="shared" si="2"/>
        <v>1809.558</v>
      </c>
      <c r="S49" s="3">
        <f t="shared" si="3"/>
        <v>108.39175132130669</v>
      </c>
    </row>
    <row r="50" spans="1:19" x14ac:dyDescent="0.25">
      <c r="A50">
        <v>50</v>
      </c>
      <c r="B50">
        <v>2470.348</v>
      </c>
      <c r="C50">
        <v>2015.0250000000001</v>
      </c>
      <c r="D50">
        <v>2444.1930000000002</v>
      </c>
      <c r="E50">
        <v>1732.43</v>
      </c>
      <c r="F50">
        <v>2169.8809999999999</v>
      </c>
      <c r="H50" s="2">
        <f t="shared" si="0"/>
        <v>2166.3753999999999</v>
      </c>
      <c r="I50" s="2">
        <f t="shared" si="1"/>
        <v>137.98728264104784</v>
      </c>
      <c r="K50">
        <v>50</v>
      </c>
      <c r="L50" t="s">
        <v>6</v>
      </c>
      <c r="M50">
        <v>1588.9780000000001</v>
      </c>
      <c r="N50">
        <v>1938.3889999999999</v>
      </c>
      <c r="O50">
        <v>2096.4430000000002</v>
      </c>
      <c r="P50">
        <v>1907.0340000000001</v>
      </c>
      <c r="R50" s="3">
        <f t="shared" si="2"/>
        <v>1882.7110000000002</v>
      </c>
      <c r="S50" s="3">
        <f t="shared" si="3"/>
        <v>106.32187417068356</v>
      </c>
    </row>
    <row r="51" spans="1:19" x14ac:dyDescent="0.25">
      <c r="A51">
        <v>51.25</v>
      </c>
      <c r="B51">
        <v>2588.3429999999998</v>
      </c>
      <c r="C51">
        <v>2091.3939999999998</v>
      </c>
      <c r="D51">
        <v>2486.9</v>
      </c>
      <c r="E51">
        <v>1805.9390000000001</v>
      </c>
      <c r="F51">
        <v>2263.9470000000001</v>
      </c>
      <c r="H51" s="2">
        <f t="shared" si="0"/>
        <v>2247.3045999999999</v>
      </c>
      <c r="I51" s="2">
        <f t="shared" si="1"/>
        <v>140.19661613412876</v>
      </c>
      <c r="K51">
        <v>51.25</v>
      </c>
      <c r="L51" t="s">
        <v>6</v>
      </c>
      <c r="M51">
        <v>1661.65</v>
      </c>
      <c r="N51">
        <v>2005.395</v>
      </c>
      <c r="O51">
        <v>2144.194</v>
      </c>
      <c r="P51">
        <v>1954.5930000000001</v>
      </c>
      <c r="R51" s="3">
        <f t="shared" si="2"/>
        <v>1941.4579999999999</v>
      </c>
      <c r="S51" s="3">
        <f t="shared" si="3"/>
        <v>101.51144055146359</v>
      </c>
    </row>
    <row r="52" spans="1:19" x14ac:dyDescent="0.25">
      <c r="A52">
        <v>52.5</v>
      </c>
      <c r="B52">
        <v>2629.86</v>
      </c>
      <c r="C52">
        <v>2093.7759999999998</v>
      </c>
      <c r="D52">
        <v>2546.3249999999998</v>
      </c>
      <c r="E52">
        <v>1833.248</v>
      </c>
      <c r="F52">
        <v>2308.3539999999998</v>
      </c>
      <c r="H52" s="2">
        <f t="shared" si="0"/>
        <v>2282.3126000000002</v>
      </c>
      <c r="I52" s="2">
        <f t="shared" si="1"/>
        <v>146.35145397760834</v>
      </c>
      <c r="K52">
        <v>52.5</v>
      </c>
      <c r="L52" t="s">
        <v>6</v>
      </c>
      <c r="M52">
        <v>1682.9690000000001</v>
      </c>
      <c r="N52">
        <v>2031.588</v>
      </c>
      <c r="O52">
        <v>2179.4810000000002</v>
      </c>
      <c r="P52">
        <v>1980.7049999999999</v>
      </c>
      <c r="R52" s="3">
        <f t="shared" si="2"/>
        <v>1968.6857500000001</v>
      </c>
      <c r="S52" s="3">
        <f t="shared" si="3"/>
        <v>104.15127382752377</v>
      </c>
    </row>
    <row r="53" spans="1:19" x14ac:dyDescent="0.25">
      <c r="A53">
        <v>53.75</v>
      </c>
      <c r="B53">
        <v>2595.4169999999999</v>
      </c>
      <c r="C53">
        <v>2067.5549999999998</v>
      </c>
      <c r="D53">
        <v>2597.0230000000001</v>
      </c>
      <c r="E53">
        <v>1810.6379999999999</v>
      </c>
      <c r="F53">
        <v>2285.4450000000002</v>
      </c>
      <c r="H53" s="2">
        <f t="shared" si="0"/>
        <v>2271.2156</v>
      </c>
      <c r="I53" s="2">
        <f t="shared" si="1"/>
        <v>152.49079498369781</v>
      </c>
      <c r="K53">
        <v>53.75</v>
      </c>
      <c r="L53" t="s">
        <v>6</v>
      </c>
      <c r="M53">
        <v>1658.5519999999999</v>
      </c>
      <c r="N53">
        <v>1989.8050000000001</v>
      </c>
      <c r="O53">
        <v>2191.1590000000001</v>
      </c>
      <c r="P53">
        <v>1981.598</v>
      </c>
      <c r="R53" s="3">
        <f t="shared" si="2"/>
        <v>1955.2784999999999</v>
      </c>
      <c r="S53" s="3">
        <f t="shared" si="3"/>
        <v>110.14044873289441</v>
      </c>
    </row>
    <row r="54" spans="1:19" x14ac:dyDescent="0.25">
      <c r="A54">
        <v>55</v>
      </c>
      <c r="B54">
        <v>2494.9059999999999</v>
      </c>
      <c r="C54">
        <v>2020.692</v>
      </c>
      <c r="D54">
        <v>2589.7020000000002</v>
      </c>
      <c r="E54">
        <v>1765.192</v>
      </c>
      <c r="F54">
        <v>2201.2860000000001</v>
      </c>
      <c r="H54" s="2">
        <f t="shared" si="0"/>
        <v>2214.3555999999999</v>
      </c>
      <c r="I54" s="2">
        <f t="shared" si="1"/>
        <v>151.49550998415768</v>
      </c>
      <c r="K54">
        <v>55</v>
      </c>
      <c r="L54" t="s">
        <v>6</v>
      </c>
      <c r="M54">
        <v>1616.809</v>
      </c>
      <c r="N54">
        <v>1923.6469999999999</v>
      </c>
      <c r="O54">
        <v>2146.462</v>
      </c>
      <c r="P54">
        <v>1934.0329999999999</v>
      </c>
      <c r="R54" s="3">
        <f t="shared" si="2"/>
        <v>1905.2377499999998</v>
      </c>
      <c r="S54" s="3">
        <f t="shared" si="3"/>
        <v>108.99095892272824</v>
      </c>
    </row>
    <row r="55" spans="1:19" x14ac:dyDescent="0.25">
      <c r="A55">
        <v>56.25</v>
      </c>
      <c r="B55">
        <v>2339.748</v>
      </c>
      <c r="C55">
        <v>1922.604</v>
      </c>
      <c r="D55">
        <v>2532.808</v>
      </c>
      <c r="E55">
        <v>1675.2750000000001</v>
      </c>
      <c r="F55">
        <v>2080.223</v>
      </c>
      <c r="H55" s="2">
        <f t="shared" si="0"/>
        <v>2110.1315999999997</v>
      </c>
      <c r="I55" s="2">
        <f t="shared" si="1"/>
        <v>151.08613734310677</v>
      </c>
      <c r="K55">
        <v>56.25</v>
      </c>
      <c r="L55" t="s">
        <v>6</v>
      </c>
      <c r="M55">
        <v>1533.3710000000001</v>
      </c>
      <c r="N55">
        <v>1829.556</v>
      </c>
      <c r="O55">
        <v>2074.2310000000002</v>
      </c>
      <c r="P55">
        <v>1836.308</v>
      </c>
      <c r="R55" s="3">
        <f t="shared" si="2"/>
        <v>1818.3665000000001</v>
      </c>
      <c r="S55" s="3">
        <f t="shared" si="3"/>
        <v>110.73097267438988</v>
      </c>
    </row>
    <row r="56" spans="1:19" x14ac:dyDescent="0.25">
      <c r="A56">
        <v>57.5</v>
      </c>
      <c r="B56">
        <v>2160.7170000000001</v>
      </c>
      <c r="C56">
        <v>1789.712</v>
      </c>
      <c r="D56">
        <v>2444.4989999999998</v>
      </c>
      <c r="E56">
        <v>1559.1389999999999</v>
      </c>
      <c r="F56">
        <v>1937.2380000000001</v>
      </c>
      <c r="H56" s="2">
        <f t="shared" si="0"/>
        <v>1978.261</v>
      </c>
      <c r="I56" s="2">
        <f t="shared" si="1"/>
        <v>152.24403558005136</v>
      </c>
      <c r="K56">
        <v>57.5</v>
      </c>
      <c r="L56" t="s">
        <v>6</v>
      </c>
      <c r="M56">
        <v>1425.5229999999999</v>
      </c>
      <c r="N56">
        <v>1707.412</v>
      </c>
      <c r="O56">
        <v>1989.4469999999999</v>
      </c>
      <c r="P56">
        <v>1736.8989999999999</v>
      </c>
      <c r="R56" s="3">
        <f t="shared" si="2"/>
        <v>1714.8202499999998</v>
      </c>
      <c r="S56" s="3">
        <f t="shared" si="3"/>
        <v>115.34553308890119</v>
      </c>
    </row>
    <row r="57" spans="1:19" x14ac:dyDescent="0.25">
      <c r="A57">
        <v>58.75</v>
      </c>
      <c r="B57">
        <v>1999.2550000000001</v>
      </c>
      <c r="C57">
        <v>1677.5840000000001</v>
      </c>
      <c r="D57">
        <v>2373.7730000000001</v>
      </c>
      <c r="E57">
        <v>1457.5550000000001</v>
      </c>
      <c r="F57">
        <v>1796.1949999999999</v>
      </c>
      <c r="H57" s="2">
        <f t="shared" si="0"/>
        <v>1860.8724000000002</v>
      </c>
      <c r="I57" s="2">
        <f t="shared" si="1"/>
        <v>155.34791570072576</v>
      </c>
      <c r="K57">
        <v>58.75</v>
      </c>
      <c r="L57" t="s">
        <v>6</v>
      </c>
      <c r="M57">
        <v>1305.5630000000001</v>
      </c>
      <c r="N57">
        <v>1583.558</v>
      </c>
      <c r="O57">
        <v>1919.5930000000001</v>
      </c>
      <c r="P57">
        <v>1648.33</v>
      </c>
      <c r="R57" s="3">
        <f t="shared" si="2"/>
        <v>1614.261</v>
      </c>
      <c r="S57" s="3">
        <f t="shared" si="3"/>
        <v>126.03751306588549</v>
      </c>
    </row>
    <row r="58" spans="1:19" x14ac:dyDescent="0.25">
      <c r="A58">
        <v>60</v>
      </c>
      <c r="B58">
        <v>1894.0170000000001</v>
      </c>
      <c r="C58">
        <v>1603.67</v>
      </c>
      <c r="D58">
        <v>2322.058</v>
      </c>
      <c r="E58">
        <v>1388.83</v>
      </c>
      <c r="F58">
        <v>1712.87</v>
      </c>
      <c r="H58" s="2">
        <f t="shared" si="0"/>
        <v>1784.289</v>
      </c>
      <c r="I58" s="2">
        <f t="shared" si="1"/>
        <v>157.37653077063328</v>
      </c>
      <c r="K58">
        <v>60</v>
      </c>
      <c r="L58" t="s">
        <v>6</v>
      </c>
      <c r="M58">
        <v>1238.519</v>
      </c>
      <c r="N58">
        <v>1507.058</v>
      </c>
      <c r="O58">
        <v>1837.1679999999999</v>
      </c>
      <c r="P58">
        <v>1580.7429999999999</v>
      </c>
      <c r="R58" s="3">
        <f t="shared" si="2"/>
        <v>1540.8719999999998</v>
      </c>
      <c r="S58" s="3">
        <f t="shared" si="3"/>
        <v>123.13330833626327</v>
      </c>
    </row>
    <row r="59" spans="1:19" x14ac:dyDescent="0.25">
      <c r="A59">
        <v>61.25</v>
      </c>
      <c r="B59">
        <v>1813.7729999999999</v>
      </c>
      <c r="C59">
        <v>1538.2429999999999</v>
      </c>
      <c r="D59">
        <v>2254.5149999999999</v>
      </c>
      <c r="E59">
        <v>1322.6890000000001</v>
      </c>
      <c r="F59">
        <v>1653.5419999999999</v>
      </c>
      <c r="H59" s="2">
        <f t="shared" si="0"/>
        <v>1716.5523999999998</v>
      </c>
      <c r="I59" s="2">
        <f t="shared" si="1"/>
        <v>156.48458942643546</v>
      </c>
      <c r="K59">
        <v>61.25</v>
      </c>
      <c r="L59" t="s">
        <v>6</v>
      </c>
      <c r="M59">
        <v>1200.396</v>
      </c>
      <c r="N59">
        <v>1451.847</v>
      </c>
      <c r="O59">
        <v>1762.068</v>
      </c>
      <c r="P59">
        <v>1526.32</v>
      </c>
      <c r="R59" s="3">
        <f t="shared" si="2"/>
        <v>1485.1577499999999</v>
      </c>
      <c r="S59" s="3">
        <f t="shared" si="3"/>
        <v>115.67644448660434</v>
      </c>
    </row>
    <row r="60" spans="1:19" x14ac:dyDescent="0.25">
      <c r="A60">
        <v>62.5</v>
      </c>
      <c r="B60">
        <v>1753.884</v>
      </c>
      <c r="C60">
        <v>1477.377</v>
      </c>
      <c r="D60">
        <v>2179.4780000000001</v>
      </c>
      <c r="E60">
        <v>1279.174</v>
      </c>
      <c r="F60">
        <v>1601.655</v>
      </c>
      <c r="H60" s="2">
        <f t="shared" si="0"/>
        <v>1658.3136</v>
      </c>
      <c r="I60" s="2">
        <f t="shared" si="1"/>
        <v>151.73020787654687</v>
      </c>
      <c r="K60">
        <v>62.5</v>
      </c>
      <c r="L60" t="s">
        <v>6</v>
      </c>
      <c r="M60">
        <v>1167.933</v>
      </c>
      <c r="N60">
        <v>1413.777</v>
      </c>
      <c r="O60">
        <v>1700.066</v>
      </c>
      <c r="P60">
        <v>1464.8</v>
      </c>
      <c r="R60" s="3">
        <f t="shared" si="2"/>
        <v>1436.644</v>
      </c>
      <c r="S60" s="3">
        <f t="shared" si="3"/>
        <v>109.13004918826589</v>
      </c>
    </row>
    <row r="61" spans="1:19" x14ac:dyDescent="0.25">
      <c r="A61">
        <v>63.75</v>
      </c>
      <c r="B61">
        <v>1707.076</v>
      </c>
      <c r="C61">
        <v>1420.809</v>
      </c>
      <c r="D61">
        <v>2081.9259999999999</v>
      </c>
      <c r="E61">
        <v>1234.9380000000001</v>
      </c>
      <c r="F61">
        <v>1565.866</v>
      </c>
      <c r="H61" s="2">
        <f t="shared" si="0"/>
        <v>1602.123</v>
      </c>
      <c r="I61" s="2">
        <f t="shared" si="1"/>
        <v>143.2201473061661</v>
      </c>
      <c r="K61">
        <v>63.75</v>
      </c>
      <c r="L61" t="s">
        <v>6</v>
      </c>
      <c r="M61">
        <v>1145.4749999999999</v>
      </c>
      <c r="N61">
        <v>1382.952</v>
      </c>
      <c r="O61">
        <v>1634.587</v>
      </c>
      <c r="P61">
        <v>1409.61</v>
      </c>
      <c r="R61" s="3">
        <f t="shared" si="2"/>
        <v>1393.1559999999997</v>
      </c>
      <c r="S61" s="3">
        <f t="shared" si="3"/>
        <v>100.00402544148024</v>
      </c>
    </row>
    <row r="62" spans="1:19" x14ac:dyDescent="0.25">
      <c r="A62">
        <v>65</v>
      </c>
      <c r="B62">
        <v>1671.2070000000001</v>
      </c>
      <c r="C62">
        <v>1379.3420000000001</v>
      </c>
      <c r="D62">
        <v>1988.7070000000001</v>
      </c>
      <c r="E62">
        <v>1201.181</v>
      </c>
      <c r="F62">
        <v>1536.4590000000001</v>
      </c>
      <c r="H62" s="2">
        <f t="shared" si="0"/>
        <v>1555.3791999999999</v>
      </c>
      <c r="I62" s="2">
        <f t="shared" si="1"/>
        <v>133.78947943332506</v>
      </c>
      <c r="K62">
        <v>65</v>
      </c>
      <c r="L62" t="s">
        <v>6</v>
      </c>
      <c r="M62">
        <v>1121.163</v>
      </c>
      <c r="N62">
        <v>1339.6980000000001</v>
      </c>
      <c r="O62">
        <v>1570.5909999999999</v>
      </c>
      <c r="P62">
        <v>1352.518</v>
      </c>
      <c r="R62" s="3">
        <f t="shared" si="2"/>
        <v>1345.9924999999998</v>
      </c>
      <c r="S62" s="3">
        <f t="shared" si="3"/>
        <v>91.776446303413991</v>
      </c>
    </row>
    <row r="63" spans="1:19" x14ac:dyDescent="0.25">
      <c r="A63">
        <v>66.25</v>
      </c>
      <c r="B63">
        <v>1644.115</v>
      </c>
      <c r="C63">
        <v>1343.855</v>
      </c>
      <c r="D63">
        <v>1870.47</v>
      </c>
      <c r="E63">
        <v>1172.204</v>
      </c>
      <c r="F63">
        <v>1505.4829999999999</v>
      </c>
      <c r="H63" s="2">
        <f t="shared" si="0"/>
        <v>1507.2254</v>
      </c>
      <c r="I63" s="2">
        <f t="shared" si="1"/>
        <v>120.3365414222126</v>
      </c>
      <c r="K63">
        <v>66.25</v>
      </c>
      <c r="L63" t="s">
        <v>6</v>
      </c>
      <c r="M63">
        <v>1090.681</v>
      </c>
      <c r="N63">
        <v>1315.0340000000001</v>
      </c>
      <c r="O63">
        <v>1492.2950000000001</v>
      </c>
      <c r="P63">
        <v>1308.7439999999999</v>
      </c>
      <c r="R63" s="3">
        <f t="shared" si="2"/>
        <v>1301.6885</v>
      </c>
      <c r="S63" s="3">
        <f t="shared" si="3"/>
        <v>82.200408225365493</v>
      </c>
    </row>
    <row r="64" spans="1:19" x14ac:dyDescent="0.25">
      <c r="A64">
        <v>67.5</v>
      </c>
      <c r="B64">
        <v>1626.6559999999999</v>
      </c>
      <c r="C64">
        <v>1312.23</v>
      </c>
      <c r="D64">
        <v>1740.35</v>
      </c>
      <c r="E64">
        <v>1147.7449999999999</v>
      </c>
      <c r="F64">
        <v>1490.6659999999999</v>
      </c>
      <c r="H64" s="2">
        <f t="shared" si="0"/>
        <v>1463.5293999999999</v>
      </c>
      <c r="I64" s="2">
        <f t="shared" si="1"/>
        <v>106.43956571576182</v>
      </c>
      <c r="K64">
        <v>67.5</v>
      </c>
      <c r="L64" t="s">
        <v>6</v>
      </c>
      <c r="M64">
        <v>1061.788</v>
      </c>
      <c r="N64">
        <v>1306.8109999999999</v>
      </c>
      <c r="O64">
        <v>1421.1579999999999</v>
      </c>
      <c r="P64">
        <v>1269.7760000000001</v>
      </c>
      <c r="R64" s="3">
        <f t="shared" si="2"/>
        <v>1264.8832500000001</v>
      </c>
      <c r="S64" s="3">
        <f t="shared" si="3"/>
        <v>74.972969174868126</v>
      </c>
    </row>
    <row r="65" spans="1:19" x14ac:dyDescent="0.25">
      <c r="A65">
        <v>68.75</v>
      </c>
      <c r="B65">
        <v>1627.433</v>
      </c>
      <c r="C65">
        <v>1285.1020000000001</v>
      </c>
      <c r="D65">
        <v>1626.845</v>
      </c>
      <c r="E65">
        <v>1132.3150000000001</v>
      </c>
      <c r="F65">
        <v>1491.6410000000001</v>
      </c>
      <c r="H65" s="2">
        <f t="shared" si="0"/>
        <v>1432.6671999999999</v>
      </c>
      <c r="I65" s="2">
        <f t="shared" si="1"/>
        <v>97.750594945708968</v>
      </c>
      <c r="K65">
        <v>68.75</v>
      </c>
      <c r="L65" t="s">
        <v>6</v>
      </c>
      <c r="M65">
        <v>1049.6279999999999</v>
      </c>
      <c r="N65">
        <v>1297.587</v>
      </c>
      <c r="O65">
        <v>1361.625</v>
      </c>
      <c r="P65">
        <v>1231.8119999999999</v>
      </c>
      <c r="R65" s="3">
        <f t="shared" si="2"/>
        <v>1235.163</v>
      </c>
      <c r="S65" s="3">
        <f t="shared" si="3"/>
        <v>67.282896938969586</v>
      </c>
    </row>
    <row r="66" spans="1:19" x14ac:dyDescent="0.25">
      <c r="A66">
        <v>70</v>
      </c>
      <c r="B66">
        <v>1623.7840000000001</v>
      </c>
      <c r="C66">
        <v>1268.307</v>
      </c>
      <c r="D66">
        <v>1545.6949999999999</v>
      </c>
      <c r="E66">
        <v>1123.3679999999999</v>
      </c>
      <c r="F66">
        <v>1475.7909999999999</v>
      </c>
      <c r="H66" s="2">
        <f t="shared" si="0"/>
        <v>1407.3890000000001</v>
      </c>
      <c r="I66" s="2">
        <f t="shared" si="1"/>
        <v>92.370425578211268</v>
      </c>
      <c r="K66">
        <v>70</v>
      </c>
      <c r="L66" t="s">
        <v>6</v>
      </c>
      <c r="M66">
        <v>1041.356</v>
      </c>
      <c r="N66">
        <v>1276.951</v>
      </c>
      <c r="O66">
        <v>1329.752</v>
      </c>
      <c r="P66">
        <v>1207.335</v>
      </c>
      <c r="R66" s="3">
        <f t="shared" si="2"/>
        <v>1213.8485000000001</v>
      </c>
      <c r="S66" s="3">
        <f t="shared" si="3"/>
        <v>62.724021884894043</v>
      </c>
    </row>
    <row r="67" spans="1:19" x14ac:dyDescent="0.25">
      <c r="A67">
        <v>71.25</v>
      </c>
      <c r="B67">
        <v>1594.1780000000001</v>
      </c>
      <c r="C67">
        <v>1261.048</v>
      </c>
      <c r="D67">
        <v>1518.835</v>
      </c>
      <c r="E67">
        <v>1111.288</v>
      </c>
      <c r="F67">
        <v>1460.6679999999999</v>
      </c>
      <c r="H67" s="2">
        <f t="shared" si="0"/>
        <v>1389.2033999999999</v>
      </c>
      <c r="I67" s="2">
        <f t="shared" si="1"/>
        <v>88.765675664414118</v>
      </c>
      <c r="K67">
        <v>71.25</v>
      </c>
      <c r="L67" t="s">
        <v>6</v>
      </c>
      <c r="M67">
        <v>1030.2339999999999</v>
      </c>
      <c r="N67">
        <v>1272.99</v>
      </c>
      <c r="O67">
        <v>1308.364</v>
      </c>
      <c r="P67">
        <v>1193.645</v>
      </c>
      <c r="R67" s="3">
        <f t="shared" si="2"/>
        <v>1201.30825</v>
      </c>
      <c r="S67" s="3">
        <f t="shared" si="3"/>
        <v>61.862974457498964</v>
      </c>
    </row>
    <row r="68" spans="1:19" x14ac:dyDescent="0.25">
      <c r="A68">
        <v>72.5</v>
      </c>
      <c r="B68">
        <v>1576.825</v>
      </c>
      <c r="C68">
        <v>1241.9169999999999</v>
      </c>
      <c r="D68">
        <v>1506.7460000000001</v>
      </c>
      <c r="E68">
        <v>1099.826</v>
      </c>
      <c r="F68">
        <v>1449.961</v>
      </c>
      <c r="H68" s="2">
        <f t="shared" si="0"/>
        <v>1375.0550000000001</v>
      </c>
      <c r="I68" s="2">
        <f t="shared" si="1"/>
        <v>88.640084245784792</v>
      </c>
      <c r="K68">
        <v>72.5</v>
      </c>
      <c r="L68" t="s">
        <v>6</v>
      </c>
      <c r="M68">
        <v>1015.216</v>
      </c>
      <c r="N68">
        <v>1273.316</v>
      </c>
      <c r="O68">
        <v>1296.7650000000001</v>
      </c>
      <c r="P68">
        <v>1184.8810000000001</v>
      </c>
      <c r="R68" s="3">
        <f t="shared" si="2"/>
        <v>1192.5445000000002</v>
      </c>
      <c r="S68" s="3">
        <f t="shared" si="3"/>
        <v>63.829247460836228</v>
      </c>
    </row>
    <row r="69" spans="1:19" x14ac:dyDescent="0.25">
      <c r="A69">
        <v>73.75</v>
      </c>
      <c r="B69">
        <v>1573.251</v>
      </c>
      <c r="C69">
        <v>1236.68</v>
      </c>
      <c r="D69">
        <v>1514.6769999999999</v>
      </c>
      <c r="E69">
        <v>1106.972</v>
      </c>
      <c r="F69">
        <v>1456.1869999999999</v>
      </c>
      <c r="H69" s="2">
        <f t="shared" ref="H69:H96" si="4">AVERAGE(B69:F69)</f>
        <v>1377.5534</v>
      </c>
      <c r="I69" s="2">
        <f t="shared" ref="I69:I96" si="5">STDEV(B69:F69)/SQRT(COUNT(B69:F69))</f>
        <v>88.414728474728506</v>
      </c>
      <c r="K69">
        <v>73.75</v>
      </c>
      <c r="L69" t="s">
        <v>6</v>
      </c>
      <c r="M69">
        <v>1014.193</v>
      </c>
      <c r="N69">
        <v>1284.345</v>
      </c>
      <c r="O69">
        <v>1308.7650000000001</v>
      </c>
      <c r="P69">
        <v>1183.8240000000001</v>
      </c>
      <c r="R69" s="3">
        <f t="shared" ref="R69:R96" si="6">AVERAGE(L69:P69)</f>
        <v>1197.7817500000001</v>
      </c>
      <c r="S69" s="3">
        <f t="shared" ref="S69:S96" si="7">STDEV(L69:P69)/SQRT(COUNT(L69:P69))</f>
        <v>66.901747574801831</v>
      </c>
    </row>
    <row r="70" spans="1:19" x14ac:dyDescent="0.25">
      <c r="A70">
        <v>75</v>
      </c>
      <c r="B70">
        <v>1629.068</v>
      </c>
      <c r="C70">
        <v>1297.79</v>
      </c>
      <c r="D70">
        <v>1583.171</v>
      </c>
      <c r="E70">
        <v>1186.6590000000001</v>
      </c>
      <c r="F70">
        <v>1502.527</v>
      </c>
      <c r="H70" s="2">
        <f t="shared" si="4"/>
        <v>1439.8430000000001</v>
      </c>
      <c r="I70" s="2">
        <f t="shared" si="5"/>
        <v>85.017496061104723</v>
      </c>
      <c r="K70">
        <v>75</v>
      </c>
      <c r="L70" t="s">
        <v>6</v>
      </c>
      <c r="M70">
        <v>1067.8030000000001</v>
      </c>
      <c r="N70">
        <v>1376.5550000000001</v>
      </c>
      <c r="O70">
        <v>1367.7429999999999</v>
      </c>
      <c r="P70">
        <v>1244.7829999999999</v>
      </c>
      <c r="R70" s="3">
        <f t="shared" si="6"/>
        <v>1264.221</v>
      </c>
      <c r="S70" s="3">
        <f t="shared" si="7"/>
        <v>72.049519202652078</v>
      </c>
    </row>
    <row r="71" spans="1:19" x14ac:dyDescent="0.25">
      <c r="A71">
        <v>76.25</v>
      </c>
      <c r="B71">
        <v>1798.77</v>
      </c>
      <c r="C71">
        <v>1457.1279999999999</v>
      </c>
      <c r="D71">
        <v>1708.9069999999999</v>
      </c>
      <c r="E71">
        <v>1387.4780000000001</v>
      </c>
      <c r="F71">
        <v>1645.99</v>
      </c>
      <c r="H71" s="2">
        <f t="shared" si="4"/>
        <v>1599.6546000000001</v>
      </c>
      <c r="I71" s="2">
        <f t="shared" si="5"/>
        <v>77.156574577672899</v>
      </c>
      <c r="K71">
        <v>76.25</v>
      </c>
      <c r="L71" t="s">
        <v>6</v>
      </c>
      <c r="M71">
        <v>1221.3219999999999</v>
      </c>
      <c r="N71">
        <v>1514.7729999999999</v>
      </c>
      <c r="O71">
        <v>1472.5809999999999</v>
      </c>
      <c r="P71">
        <v>1392.491</v>
      </c>
      <c r="R71" s="3">
        <f t="shared" si="6"/>
        <v>1400.2917499999999</v>
      </c>
      <c r="S71" s="3">
        <f t="shared" si="7"/>
        <v>64.82200975411439</v>
      </c>
    </row>
    <row r="72" spans="1:19" x14ac:dyDescent="0.25">
      <c r="A72">
        <v>77.5</v>
      </c>
      <c r="B72">
        <v>1886.6559999999999</v>
      </c>
      <c r="C72">
        <v>1549.5119999999999</v>
      </c>
      <c r="D72">
        <v>1762.261</v>
      </c>
      <c r="E72">
        <v>1507.4190000000001</v>
      </c>
      <c r="F72">
        <v>1704.674</v>
      </c>
      <c r="H72" s="2">
        <f t="shared" si="4"/>
        <v>1682.1044000000002</v>
      </c>
      <c r="I72" s="2">
        <f t="shared" si="5"/>
        <v>69.595818100371503</v>
      </c>
      <c r="K72">
        <v>77.5</v>
      </c>
      <c r="L72" t="s">
        <v>6</v>
      </c>
      <c r="M72">
        <v>1307.1479999999999</v>
      </c>
      <c r="N72">
        <v>1593.5619999999999</v>
      </c>
      <c r="O72">
        <v>1519.0409999999999</v>
      </c>
      <c r="P72">
        <v>1461.096</v>
      </c>
      <c r="R72" s="3">
        <f t="shared" si="6"/>
        <v>1470.2117499999999</v>
      </c>
      <c r="S72" s="3">
        <f t="shared" si="7"/>
        <v>60.740200370615341</v>
      </c>
    </row>
    <row r="73" spans="1:19" x14ac:dyDescent="0.25">
      <c r="A73">
        <v>78.75</v>
      </c>
      <c r="B73">
        <v>1832.12</v>
      </c>
      <c r="C73">
        <v>1487.3040000000001</v>
      </c>
      <c r="D73">
        <v>1717.903</v>
      </c>
      <c r="E73">
        <v>1420.4590000000001</v>
      </c>
      <c r="F73">
        <v>1663.3009999999999</v>
      </c>
      <c r="H73" s="2">
        <f t="shared" si="4"/>
        <v>1624.2174</v>
      </c>
      <c r="I73" s="2">
        <f t="shared" si="5"/>
        <v>75.429031278811976</v>
      </c>
      <c r="K73">
        <v>78.75</v>
      </c>
      <c r="L73" t="s">
        <v>6</v>
      </c>
      <c r="M73">
        <v>1258.96</v>
      </c>
      <c r="N73">
        <v>1545.0409999999999</v>
      </c>
      <c r="O73">
        <v>1482.9760000000001</v>
      </c>
      <c r="P73">
        <v>1404.6320000000001</v>
      </c>
      <c r="R73" s="3">
        <f t="shared" si="6"/>
        <v>1422.9022500000001</v>
      </c>
      <c r="S73" s="3">
        <f t="shared" si="7"/>
        <v>61.73707223699413</v>
      </c>
    </row>
    <row r="74" spans="1:19" x14ac:dyDescent="0.25">
      <c r="A74">
        <v>80</v>
      </c>
      <c r="B74">
        <v>1766.1579999999999</v>
      </c>
      <c r="C74">
        <v>1404.634</v>
      </c>
      <c r="D74">
        <v>1668.8969999999999</v>
      </c>
      <c r="E74">
        <v>1279.934</v>
      </c>
      <c r="F74">
        <v>1621.6420000000001</v>
      </c>
      <c r="H74" s="2">
        <f t="shared" si="4"/>
        <v>1548.2530000000002</v>
      </c>
      <c r="I74" s="2">
        <f t="shared" si="5"/>
        <v>89.455299452855002</v>
      </c>
      <c r="K74">
        <v>80</v>
      </c>
      <c r="L74" t="s">
        <v>6</v>
      </c>
      <c r="M74">
        <v>1174.471</v>
      </c>
      <c r="N74">
        <v>1597.133</v>
      </c>
      <c r="O74">
        <v>1446.0160000000001</v>
      </c>
      <c r="P74">
        <v>1330.788</v>
      </c>
      <c r="R74" s="3">
        <f t="shared" si="6"/>
        <v>1387.1020000000003</v>
      </c>
      <c r="S74" s="3">
        <f t="shared" si="7"/>
        <v>89.427386331964129</v>
      </c>
    </row>
    <row r="75" spans="1:19" x14ac:dyDescent="0.25">
      <c r="A75">
        <v>81.25</v>
      </c>
      <c r="B75">
        <v>1839.566</v>
      </c>
      <c r="C75">
        <v>1399.1220000000001</v>
      </c>
      <c r="D75">
        <v>1718.0340000000001</v>
      </c>
      <c r="E75">
        <v>1226.336</v>
      </c>
      <c r="F75">
        <v>1758.482</v>
      </c>
      <c r="H75" s="2">
        <f t="shared" si="4"/>
        <v>1588.308</v>
      </c>
      <c r="I75" s="2">
        <f t="shared" si="5"/>
        <v>117.4167107561785</v>
      </c>
      <c r="K75">
        <v>81.25</v>
      </c>
      <c r="L75" t="s">
        <v>6</v>
      </c>
      <c r="M75">
        <v>1196.4570000000001</v>
      </c>
      <c r="N75">
        <v>1968.3409999999999</v>
      </c>
      <c r="O75">
        <v>1546.828</v>
      </c>
      <c r="P75">
        <v>1383.0889999999999</v>
      </c>
      <c r="R75" s="3">
        <f t="shared" si="6"/>
        <v>1523.67875</v>
      </c>
      <c r="S75" s="3">
        <f t="shared" si="7"/>
        <v>164.59545250622526</v>
      </c>
    </row>
    <row r="76" spans="1:19" x14ac:dyDescent="0.25">
      <c r="A76">
        <v>82.5</v>
      </c>
      <c r="B76">
        <v>2398.904</v>
      </c>
      <c r="C76">
        <v>1722.172</v>
      </c>
      <c r="D76">
        <v>2104.9360000000001</v>
      </c>
      <c r="E76">
        <v>1516.287</v>
      </c>
      <c r="F76">
        <v>2388.047</v>
      </c>
      <c r="H76" s="2">
        <f t="shared" si="4"/>
        <v>2026.0692000000004</v>
      </c>
      <c r="I76" s="2">
        <f t="shared" si="5"/>
        <v>177.26887593861414</v>
      </c>
      <c r="K76">
        <v>82.5</v>
      </c>
      <c r="L76" t="s">
        <v>6</v>
      </c>
      <c r="M76">
        <v>1556.0609999999999</v>
      </c>
      <c r="N76">
        <v>2667.6930000000002</v>
      </c>
      <c r="O76">
        <v>2031.252</v>
      </c>
      <c r="P76">
        <v>1870.297</v>
      </c>
      <c r="R76" s="3">
        <f t="shared" si="6"/>
        <v>2031.32575</v>
      </c>
      <c r="S76" s="3">
        <f t="shared" si="7"/>
        <v>233.94624083870804</v>
      </c>
    </row>
    <row r="77" spans="1:19" x14ac:dyDescent="0.25">
      <c r="A77">
        <v>83.75</v>
      </c>
      <c r="B77">
        <v>3440.5450000000001</v>
      </c>
      <c r="C77">
        <v>2522.4929999999999</v>
      </c>
      <c r="D77">
        <v>2822.183</v>
      </c>
      <c r="E77">
        <v>2295.4059999999999</v>
      </c>
      <c r="F77">
        <v>3347.9059999999999</v>
      </c>
      <c r="H77" s="2">
        <f t="shared" si="4"/>
        <v>2885.7066</v>
      </c>
      <c r="I77" s="2">
        <f t="shared" si="5"/>
        <v>224.26414122828504</v>
      </c>
      <c r="K77">
        <v>83.75</v>
      </c>
      <c r="L77" t="s">
        <v>6</v>
      </c>
      <c r="M77">
        <v>2310.5610000000001</v>
      </c>
      <c r="N77">
        <v>3397.39</v>
      </c>
      <c r="O77">
        <v>2792.0320000000002</v>
      </c>
      <c r="P77">
        <v>2761.0819999999999</v>
      </c>
      <c r="R77" s="3">
        <f t="shared" si="6"/>
        <v>2815.2662500000001</v>
      </c>
      <c r="S77" s="3">
        <f t="shared" si="7"/>
        <v>223.06038289604291</v>
      </c>
    </row>
    <row r="78" spans="1:19" x14ac:dyDescent="0.25">
      <c r="A78">
        <v>85</v>
      </c>
      <c r="B78">
        <v>4380.942</v>
      </c>
      <c r="C78">
        <v>3326.9929999999999</v>
      </c>
      <c r="D78">
        <v>3390.893</v>
      </c>
      <c r="E78">
        <v>3176.2930000000001</v>
      </c>
      <c r="F78">
        <v>4098.107</v>
      </c>
      <c r="H78" s="2">
        <f t="shared" si="4"/>
        <v>3674.6455999999998</v>
      </c>
      <c r="I78" s="2">
        <f t="shared" si="5"/>
        <v>237.47708775408461</v>
      </c>
      <c r="K78">
        <v>85</v>
      </c>
      <c r="L78" t="s">
        <v>6</v>
      </c>
      <c r="M78">
        <v>3061.723</v>
      </c>
      <c r="N78">
        <v>3960.931</v>
      </c>
      <c r="O78">
        <v>3370.1529999999998</v>
      </c>
      <c r="P78">
        <v>3506.0160000000001</v>
      </c>
      <c r="R78" s="3">
        <f t="shared" si="6"/>
        <v>3474.7057500000001</v>
      </c>
      <c r="S78" s="3">
        <f t="shared" si="7"/>
        <v>186.83356114082531</v>
      </c>
    </row>
    <row r="79" spans="1:19" x14ac:dyDescent="0.25">
      <c r="A79">
        <v>86.25</v>
      </c>
      <c r="B79">
        <v>4713.2309999999998</v>
      </c>
      <c r="C79">
        <v>3678.848</v>
      </c>
      <c r="D79">
        <v>3491.4079999999999</v>
      </c>
      <c r="E79">
        <v>3590.4029999999998</v>
      </c>
      <c r="F79">
        <v>4242.5079999999998</v>
      </c>
      <c r="H79" s="2">
        <f t="shared" si="4"/>
        <v>3943.2796000000003</v>
      </c>
      <c r="I79" s="2">
        <f t="shared" si="5"/>
        <v>232.48620416286801</v>
      </c>
      <c r="K79">
        <v>86.25</v>
      </c>
      <c r="L79" t="s">
        <v>6</v>
      </c>
      <c r="M79">
        <v>3402.5320000000002</v>
      </c>
      <c r="N79">
        <v>4170.6170000000002</v>
      </c>
      <c r="O79">
        <v>3508.7040000000002</v>
      </c>
      <c r="P79">
        <v>3762.9250000000002</v>
      </c>
      <c r="R79" s="3">
        <f t="shared" si="6"/>
        <v>3711.1945000000005</v>
      </c>
      <c r="S79" s="3">
        <f t="shared" si="7"/>
        <v>170.78739698647752</v>
      </c>
    </row>
    <row r="80" spans="1:19" x14ac:dyDescent="0.25">
      <c r="A80">
        <v>87.5</v>
      </c>
      <c r="B80">
        <v>4319.1890000000003</v>
      </c>
      <c r="C80">
        <v>3381.8609999999999</v>
      </c>
      <c r="D80">
        <v>3106.2359999999999</v>
      </c>
      <c r="E80">
        <v>3362.451</v>
      </c>
      <c r="F80">
        <v>3751.386</v>
      </c>
      <c r="H80" s="2">
        <f t="shared" si="4"/>
        <v>3584.2246</v>
      </c>
      <c r="I80" s="2">
        <f t="shared" si="5"/>
        <v>210.56154218056827</v>
      </c>
      <c r="K80">
        <v>87.5</v>
      </c>
      <c r="L80" t="s">
        <v>6</v>
      </c>
      <c r="M80">
        <v>3175.4209999999998</v>
      </c>
      <c r="N80">
        <v>3865.3139999999999</v>
      </c>
      <c r="O80">
        <v>3158.1460000000002</v>
      </c>
      <c r="P80">
        <v>3409.5410000000002</v>
      </c>
      <c r="R80" s="3">
        <f t="shared" si="6"/>
        <v>3402.1054999999997</v>
      </c>
      <c r="S80" s="3">
        <f t="shared" si="7"/>
        <v>164.70162448930688</v>
      </c>
    </row>
    <row r="81" spans="1:19" x14ac:dyDescent="0.25">
      <c r="A81">
        <v>88.75</v>
      </c>
      <c r="B81">
        <v>3569.1149999999998</v>
      </c>
      <c r="C81">
        <v>2795.27</v>
      </c>
      <c r="D81">
        <v>2615.598</v>
      </c>
      <c r="E81">
        <v>2770.9560000000001</v>
      </c>
      <c r="F81">
        <v>3046.33</v>
      </c>
      <c r="H81" s="2">
        <f t="shared" si="4"/>
        <v>2959.4538000000002</v>
      </c>
      <c r="I81" s="2">
        <f t="shared" si="5"/>
        <v>167.32585049728578</v>
      </c>
      <c r="K81">
        <v>88.75</v>
      </c>
      <c r="L81" t="s">
        <v>6</v>
      </c>
      <c r="M81">
        <v>2602.6849999999999</v>
      </c>
      <c r="N81">
        <v>3263.5839999999998</v>
      </c>
      <c r="O81">
        <v>2596.4270000000001</v>
      </c>
      <c r="P81">
        <v>2732.989</v>
      </c>
      <c r="R81" s="3">
        <f t="shared" si="6"/>
        <v>2798.9212499999999</v>
      </c>
      <c r="S81" s="3">
        <f t="shared" si="7"/>
        <v>158.0535563041712</v>
      </c>
    </row>
    <row r="82" spans="1:19" x14ac:dyDescent="0.25">
      <c r="A82">
        <v>90</v>
      </c>
      <c r="B82">
        <v>3178.5129999999999</v>
      </c>
      <c r="C82">
        <v>2464.3150000000001</v>
      </c>
      <c r="D82">
        <v>2398.681</v>
      </c>
      <c r="E82">
        <v>2278.1</v>
      </c>
      <c r="F82">
        <v>2706.933</v>
      </c>
      <c r="H82" s="2">
        <f t="shared" si="4"/>
        <v>2605.3084000000003</v>
      </c>
      <c r="I82" s="2">
        <f t="shared" si="5"/>
        <v>159.45695831339518</v>
      </c>
      <c r="K82">
        <v>90</v>
      </c>
      <c r="L82" t="s">
        <v>6</v>
      </c>
      <c r="M82">
        <v>2185.5309999999999</v>
      </c>
      <c r="N82">
        <v>2881.6129999999998</v>
      </c>
      <c r="O82">
        <v>2250.6309999999999</v>
      </c>
      <c r="P82">
        <v>2300.259</v>
      </c>
      <c r="R82" s="3">
        <f t="shared" si="6"/>
        <v>2404.5084999999999</v>
      </c>
      <c r="S82" s="3">
        <f t="shared" si="7"/>
        <v>160.76019736525754</v>
      </c>
    </row>
    <row r="83" spans="1:19" x14ac:dyDescent="0.25">
      <c r="A83">
        <v>91.25</v>
      </c>
      <c r="B83">
        <v>3487.2829999999999</v>
      </c>
      <c r="C83">
        <v>2584.9009999999998</v>
      </c>
      <c r="D83">
        <v>2455.431</v>
      </c>
      <c r="E83">
        <v>2360.5830000000001</v>
      </c>
      <c r="F83">
        <v>2868.5210000000002</v>
      </c>
      <c r="H83" s="2">
        <f t="shared" si="4"/>
        <v>2751.3438000000001</v>
      </c>
      <c r="I83" s="2">
        <f t="shared" si="5"/>
        <v>202.89142367147943</v>
      </c>
      <c r="K83">
        <v>91.25</v>
      </c>
      <c r="L83" t="s">
        <v>6</v>
      </c>
      <c r="M83">
        <v>2267.3090000000002</v>
      </c>
      <c r="N83">
        <v>3050.433</v>
      </c>
      <c r="O83">
        <v>2274.41</v>
      </c>
      <c r="P83">
        <v>2415.5839999999998</v>
      </c>
      <c r="R83" s="3">
        <f t="shared" si="6"/>
        <v>2501.9340000000002</v>
      </c>
      <c r="S83" s="3">
        <f t="shared" si="7"/>
        <v>185.99362370387769</v>
      </c>
    </row>
    <row r="84" spans="1:19" x14ac:dyDescent="0.25">
      <c r="A84">
        <v>92.5</v>
      </c>
      <c r="B84">
        <v>4063.69</v>
      </c>
      <c r="C84">
        <v>2941.808</v>
      </c>
      <c r="D84">
        <v>2687.895</v>
      </c>
      <c r="E84">
        <v>2780.5949999999998</v>
      </c>
      <c r="F84">
        <v>3218.1030000000001</v>
      </c>
      <c r="H84" s="2">
        <f t="shared" si="4"/>
        <v>3138.4182000000001</v>
      </c>
      <c r="I84" s="2">
        <f t="shared" si="5"/>
        <v>248.20774949291987</v>
      </c>
      <c r="K84">
        <v>92.5</v>
      </c>
      <c r="L84" t="s">
        <v>6</v>
      </c>
      <c r="M84">
        <v>2649.241</v>
      </c>
      <c r="N84">
        <v>3424.768</v>
      </c>
      <c r="O84">
        <v>2482.2869999999998</v>
      </c>
      <c r="P84">
        <v>2774.9520000000002</v>
      </c>
      <c r="R84" s="3">
        <f t="shared" si="6"/>
        <v>2832.8119999999999</v>
      </c>
      <c r="S84" s="3">
        <f t="shared" si="7"/>
        <v>206.22111377556254</v>
      </c>
    </row>
    <row r="85" spans="1:19" x14ac:dyDescent="0.25">
      <c r="A85">
        <v>93.75</v>
      </c>
      <c r="B85">
        <v>4388.384</v>
      </c>
      <c r="C85">
        <v>3252.3159999999998</v>
      </c>
      <c r="D85">
        <v>3065.5749999999998</v>
      </c>
      <c r="E85">
        <v>3091.7869999999998</v>
      </c>
      <c r="F85">
        <v>3489.1860000000001</v>
      </c>
      <c r="H85" s="2">
        <f t="shared" si="4"/>
        <v>3457.4495999999999</v>
      </c>
      <c r="I85" s="2">
        <f t="shared" si="5"/>
        <v>244.64266688388582</v>
      </c>
      <c r="K85">
        <v>93.75</v>
      </c>
      <c r="L85" t="s">
        <v>6</v>
      </c>
      <c r="M85">
        <v>2994.66</v>
      </c>
      <c r="N85">
        <v>3730.098</v>
      </c>
      <c r="O85">
        <v>2737.884</v>
      </c>
      <c r="P85">
        <v>3050.06</v>
      </c>
      <c r="R85" s="3">
        <f t="shared" si="6"/>
        <v>3128.1754999999998</v>
      </c>
      <c r="S85" s="3">
        <f t="shared" si="7"/>
        <v>211.85029522814048</v>
      </c>
    </row>
    <row r="86" spans="1:19" x14ac:dyDescent="0.25">
      <c r="A86">
        <v>95</v>
      </c>
      <c r="B86">
        <v>4431.8440000000001</v>
      </c>
      <c r="C86">
        <v>3375.6909999999998</v>
      </c>
      <c r="D86">
        <v>3460.6889999999999</v>
      </c>
      <c r="E86">
        <v>3147.087</v>
      </c>
      <c r="F86">
        <v>3605.9070000000002</v>
      </c>
      <c r="H86" s="2">
        <f t="shared" si="4"/>
        <v>3604.2436000000002</v>
      </c>
      <c r="I86" s="2">
        <f t="shared" si="5"/>
        <v>219.85922314644833</v>
      </c>
      <c r="K86">
        <v>95</v>
      </c>
      <c r="L86" t="s">
        <v>6</v>
      </c>
      <c r="M86">
        <v>3126.9430000000002</v>
      </c>
      <c r="N86">
        <v>3809.4659999999999</v>
      </c>
      <c r="O86">
        <v>2982.0419999999999</v>
      </c>
      <c r="P86">
        <v>3150.5030000000002</v>
      </c>
      <c r="R86" s="3">
        <f t="shared" si="6"/>
        <v>3267.2384999999999</v>
      </c>
      <c r="S86" s="3">
        <f t="shared" si="7"/>
        <v>184.53945143902604</v>
      </c>
    </row>
    <row r="87" spans="1:19" x14ac:dyDescent="0.25">
      <c r="A87">
        <v>96.25</v>
      </c>
      <c r="B87">
        <v>4373.3670000000002</v>
      </c>
      <c r="C87">
        <v>3388.6759999999999</v>
      </c>
      <c r="D87">
        <v>3752.4720000000002</v>
      </c>
      <c r="E87">
        <v>3038.1089999999999</v>
      </c>
      <c r="F87">
        <v>3695.42</v>
      </c>
      <c r="H87" s="2">
        <f t="shared" si="4"/>
        <v>3649.6088000000004</v>
      </c>
      <c r="I87" s="2">
        <f t="shared" si="5"/>
        <v>221.19260470716418</v>
      </c>
      <c r="K87">
        <v>96.25</v>
      </c>
      <c r="L87" t="s">
        <v>6</v>
      </c>
      <c r="M87">
        <v>3042.83</v>
      </c>
      <c r="N87">
        <v>3711.0990000000002</v>
      </c>
      <c r="O87">
        <v>3196.2260000000001</v>
      </c>
      <c r="P87">
        <v>3161.1170000000002</v>
      </c>
      <c r="R87" s="3">
        <f t="shared" si="6"/>
        <v>3277.8180000000002</v>
      </c>
      <c r="S87" s="3">
        <f t="shared" si="7"/>
        <v>148.10698919193521</v>
      </c>
    </row>
    <row r="88" spans="1:19" x14ac:dyDescent="0.25">
      <c r="A88">
        <v>97.5</v>
      </c>
      <c r="B88">
        <v>4327.4660000000003</v>
      </c>
      <c r="C88">
        <v>3385.922</v>
      </c>
      <c r="D88">
        <v>3927.087</v>
      </c>
      <c r="E88">
        <v>2944.4479999999999</v>
      </c>
      <c r="F88">
        <v>3835.6930000000002</v>
      </c>
      <c r="H88" s="2">
        <f t="shared" si="4"/>
        <v>3684.1232000000005</v>
      </c>
      <c r="I88" s="2">
        <f t="shared" si="5"/>
        <v>237.90104327963741</v>
      </c>
      <c r="K88">
        <v>97.5</v>
      </c>
      <c r="L88" t="s">
        <v>6</v>
      </c>
      <c r="M88">
        <v>2901.8440000000001</v>
      </c>
      <c r="N88">
        <v>3578.873</v>
      </c>
      <c r="O88">
        <v>3367.067</v>
      </c>
      <c r="P88">
        <v>3177.9749999999999</v>
      </c>
      <c r="R88" s="3">
        <f t="shared" si="6"/>
        <v>3256.43975</v>
      </c>
      <c r="S88" s="3">
        <f t="shared" si="7"/>
        <v>143.78701032509568</v>
      </c>
    </row>
    <row r="89" spans="1:19" x14ac:dyDescent="0.25">
      <c r="A89">
        <v>98.75</v>
      </c>
      <c r="B89">
        <v>4308.8469999999998</v>
      </c>
      <c r="C89">
        <v>3384.9169999999999</v>
      </c>
      <c r="D89">
        <v>3991.6570000000002</v>
      </c>
      <c r="E89">
        <v>2951.672</v>
      </c>
      <c r="F89">
        <v>3923.89</v>
      </c>
      <c r="H89" s="2">
        <f t="shared" si="4"/>
        <v>3712.1966000000002</v>
      </c>
      <c r="I89" s="2">
        <f t="shared" si="5"/>
        <v>241.28960963675823</v>
      </c>
      <c r="K89">
        <v>98.75</v>
      </c>
      <c r="L89" t="s">
        <v>6</v>
      </c>
      <c r="M89">
        <v>2811.3820000000001</v>
      </c>
      <c r="N89">
        <v>3518.0569999999998</v>
      </c>
      <c r="O89">
        <v>3458.817</v>
      </c>
      <c r="P89">
        <v>3216.578</v>
      </c>
      <c r="R89" s="3">
        <f t="shared" si="6"/>
        <v>3251.2085000000002</v>
      </c>
      <c r="S89" s="3">
        <f t="shared" si="7"/>
        <v>160.45664857342825</v>
      </c>
    </row>
    <row r="90" spans="1:19" x14ac:dyDescent="0.25">
      <c r="A90">
        <v>100</v>
      </c>
      <c r="B90">
        <v>4301.3059999999996</v>
      </c>
      <c r="C90">
        <v>3388.2510000000002</v>
      </c>
      <c r="D90">
        <v>4001.7959999999998</v>
      </c>
      <c r="E90">
        <v>2992.9969999999998</v>
      </c>
      <c r="F90">
        <v>3960.8119999999999</v>
      </c>
      <c r="H90" s="2">
        <f t="shared" si="4"/>
        <v>3729.0323999999991</v>
      </c>
      <c r="I90" s="2">
        <f t="shared" si="5"/>
        <v>235.95538882988106</v>
      </c>
      <c r="K90">
        <v>100</v>
      </c>
      <c r="L90" t="s">
        <v>6</v>
      </c>
      <c r="M90">
        <v>2786.3339999999998</v>
      </c>
      <c r="N90">
        <v>3497.89</v>
      </c>
      <c r="O90">
        <v>3489.3739999999998</v>
      </c>
      <c r="P90">
        <v>3241.498</v>
      </c>
      <c r="R90" s="3">
        <f t="shared" si="6"/>
        <v>3253.7739999999999</v>
      </c>
      <c r="S90" s="3">
        <f t="shared" si="7"/>
        <v>166.77100947906584</v>
      </c>
    </row>
    <row r="91" spans="1:19" x14ac:dyDescent="0.25">
      <c r="A91">
        <v>101.25</v>
      </c>
      <c r="B91">
        <v>4198.2330000000002</v>
      </c>
      <c r="C91">
        <v>3285.8449999999998</v>
      </c>
      <c r="D91">
        <v>3846.703</v>
      </c>
      <c r="E91">
        <v>2972.8690000000001</v>
      </c>
      <c r="F91">
        <v>3904.7359999999999</v>
      </c>
      <c r="H91" s="2">
        <f t="shared" si="4"/>
        <v>3641.6771999999996</v>
      </c>
      <c r="I91" s="2">
        <f t="shared" si="5"/>
        <v>223.03708574817958</v>
      </c>
      <c r="K91">
        <v>101.25</v>
      </c>
      <c r="L91" t="s">
        <v>6</v>
      </c>
      <c r="M91">
        <v>2715.8760000000002</v>
      </c>
      <c r="N91">
        <v>3452.6419999999998</v>
      </c>
      <c r="O91">
        <v>3426.4949999999999</v>
      </c>
      <c r="P91">
        <v>3187.2649999999999</v>
      </c>
      <c r="R91" s="3">
        <f t="shared" si="6"/>
        <v>3195.5694999999996</v>
      </c>
      <c r="S91" s="3">
        <f t="shared" si="7"/>
        <v>170.68188623601307</v>
      </c>
    </row>
    <row r="92" spans="1:19" x14ac:dyDescent="0.25">
      <c r="A92">
        <v>102.5</v>
      </c>
      <c r="B92">
        <v>3833.0520000000001</v>
      </c>
      <c r="C92">
        <v>2938.0839999999998</v>
      </c>
      <c r="D92">
        <v>3452.462</v>
      </c>
      <c r="E92">
        <v>2730.7629999999999</v>
      </c>
      <c r="F92">
        <v>3620.7739999999999</v>
      </c>
      <c r="H92" s="2">
        <f t="shared" si="4"/>
        <v>3315.0270000000005</v>
      </c>
      <c r="I92" s="2">
        <f t="shared" si="5"/>
        <v>207.86653828887188</v>
      </c>
      <c r="K92">
        <v>102.5</v>
      </c>
      <c r="L92" t="s">
        <v>6</v>
      </c>
      <c r="M92">
        <v>2467.511</v>
      </c>
      <c r="N92">
        <v>3268.288</v>
      </c>
      <c r="O92">
        <v>3157.9229999999998</v>
      </c>
      <c r="P92">
        <v>2903.9</v>
      </c>
      <c r="R92" s="3">
        <f t="shared" si="6"/>
        <v>2949.4054999999998</v>
      </c>
      <c r="S92" s="3">
        <f t="shared" si="7"/>
        <v>177.82450531188513</v>
      </c>
    </row>
    <row r="93" spans="1:19" x14ac:dyDescent="0.25">
      <c r="A93">
        <v>103.75</v>
      </c>
      <c r="B93">
        <v>3370.5320000000002</v>
      </c>
      <c r="C93">
        <v>2573.4839999999999</v>
      </c>
      <c r="D93">
        <v>3073.9209999999998</v>
      </c>
      <c r="E93">
        <v>2364.0219999999999</v>
      </c>
      <c r="F93">
        <v>3247.6439999999998</v>
      </c>
      <c r="H93" s="2">
        <f t="shared" si="4"/>
        <v>2925.9205999999999</v>
      </c>
      <c r="I93" s="2">
        <f t="shared" si="5"/>
        <v>195.32421191690614</v>
      </c>
      <c r="K93">
        <v>103.75</v>
      </c>
      <c r="L93" t="s">
        <v>6</v>
      </c>
      <c r="M93">
        <v>2165.0459999999998</v>
      </c>
      <c r="N93">
        <v>2934.5929999999998</v>
      </c>
      <c r="O93">
        <v>2797.5479999999998</v>
      </c>
      <c r="P93">
        <v>2534.694</v>
      </c>
      <c r="R93" s="3">
        <f t="shared" si="6"/>
        <v>2607.9702499999999</v>
      </c>
      <c r="S93" s="3">
        <f t="shared" si="7"/>
        <v>169.35501276036217</v>
      </c>
    </row>
    <row r="94" spans="1:19" x14ac:dyDescent="0.25">
      <c r="A94">
        <v>105</v>
      </c>
      <c r="B94">
        <v>3110.6370000000002</v>
      </c>
      <c r="C94">
        <v>2385.549</v>
      </c>
      <c r="D94">
        <v>2852.0839999999998</v>
      </c>
      <c r="E94">
        <v>2132.1370000000002</v>
      </c>
      <c r="F94">
        <v>3029.0079999999998</v>
      </c>
      <c r="H94" s="2">
        <f t="shared" si="4"/>
        <v>2701.8830000000003</v>
      </c>
      <c r="I94" s="2">
        <f t="shared" si="5"/>
        <v>189.91164295719102</v>
      </c>
      <c r="K94">
        <v>105</v>
      </c>
      <c r="L94" t="s">
        <v>6</v>
      </c>
      <c r="M94">
        <v>1998.7619999999999</v>
      </c>
      <c r="N94">
        <v>2664.1990000000001</v>
      </c>
      <c r="O94">
        <v>2563.2130000000002</v>
      </c>
      <c r="P94">
        <v>2307.92</v>
      </c>
      <c r="R94" s="3">
        <f t="shared" si="6"/>
        <v>2383.5235000000002</v>
      </c>
      <c r="S94" s="3">
        <f t="shared" si="7"/>
        <v>148.55536392340804</v>
      </c>
    </row>
    <row r="95" spans="1:19" x14ac:dyDescent="0.25">
      <c r="A95">
        <v>106.25</v>
      </c>
      <c r="B95">
        <v>2910.377</v>
      </c>
      <c r="C95">
        <v>2233.1329999999998</v>
      </c>
      <c r="D95">
        <v>2672.569</v>
      </c>
      <c r="E95">
        <v>1973.223</v>
      </c>
      <c r="F95">
        <v>2867.0369999999998</v>
      </c>
      <c r="H95" s="2">
        <f t="shared" si="4"/>
        <v>2531.2678000000001</v>
      </c>
      <c r="I95" s="2">
        <f t="shared" si="5"/>
        <v>183.94688473752356</v>
      </c>
      <c r="K95">
        <v>106.25</v>
      </c>
      <c r="L95" t="s">
        <v>6</v>
      </c>
      <c r="M95">
        <v>1871.48</v>
      </c>
      <c r="N95">
        <v>2498.4259999999999</v>
      </c>
      <c r="O95">
        <v>2393.1570000000002</v>
      </c>
      <c r="P95">
        <v>2141.3359999999998</v>
      </c>
      <c r="R95" s="3">
        <f t="shared" si="6"/>
        <v>2226.0997499999999</v>
      </c>
      <c r="S95" s="3">
        <f t="shared" si="7"/>
        <v>139.94337295871802</v>
      </c>
    </row>
    <row r="96" spans="1:19" x14ac:dyDescent="0.25">
      <c r="A96">
        <v>107.5</v>
      </c>
      <c r="B96">
        <v>2709.7089999999998</v>
      </c>
      <c r="C96">
        <v>2074.5740000000001</v>
      </c>
      <c r="D96">
        <v>2513.0059999999999</v>
      </c>
      <c r="E96">
        <v>1817.6510000000001</v>
      </c>
      <c r="F96">
        <v>2705.1959999999999</v>
      </c>
      <c r="H96" s="2">
        <f t="shared" si="4"/>
        <v>2364.0271999999995</v>
      </c>
      <c r="I96" s="2">
        <f t="shared" si="5"/>
        <v>178.9408906190545</v>
      </c>
      <c r="K96">
        <v>107.5</v>
      </c>
      <c r="L96" t="s">
        <v>6</v>
      </c>
      <c r="M96">
        <v>1742.0039999999999</v>
      </c>
      <c r="N96">
        <v>2342.84</v>
      </c>
      <c r="O96">
        <v>2248.7350000000001</v>
      </c>
      <c r="P96">
        <v>1985.386</v>
      </c>
      <c r="R96" s="3">
        <f t="shared" si="6"/>
        <v>2079.74125</v>
      </c>
      <c r="S96" s="3">
        <f t="shared" si="7"/>
        <v>135.63099542224663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BRIGHT</vt:lpstr>
      <vt:lpstr>BRIGHT!OCT_RAW___\AQ03\_dark_profiles_AQ03_DARK</vt:lpstr>
      <vt:lpstr>BRIGHT!OCT_RAW___\AQ03\_light_profiles_AQ03_LIGHT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2020-01-17T02:54:17Z</dcterms:modified>
</cp:coreProperties>
</file>