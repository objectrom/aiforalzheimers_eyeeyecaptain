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CO091\"/>
    </mc:Choice>
  </mc:AlternateContent>
  <xr:revisionPtr revIDLastSave="0" documentId="13_ncr:1_{9E8C58F1-2799-4CD0-BEF4-852724A47AB1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BRIGHT" sheetId="1" r:id="rId1"/>
  </sheets>
  <definedNames>
    <definedName name="OCT_RAW___\CO10__revise__line__to__243\_dark_profiles_CO10_DARK" localSheetId="0">BRIGHT!$A$2:$F$96</definedName>
    <definedName name="OCT_RAW___\CO10__revise__line__to__243\_fovea_dark_profiles_CO10_DARK" localSheetId="0">BRIGHT!#REF!</definedName>
    <definedName name="OCT_RAW___\CO10__revise__line__to__243\_fovea_light_profiles_CO10_LIGHT" localSheetId="0">BRIGHT!#REF!</definedName>
    <definedName name="OCT_RAW___\CO10__revise__line__to__243\_light_profiles_CO10_LIGHT" localSheetId="0">BRIGHT!$K$2:$P$96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1310B5-17C5-4B66-972E-5570DE43DFEE}" name="[[[OCT RAW]]]\CO10--revise--line--to--243\_dark_profiles_CO10_DARK" type="6" refreshedVersion="6" background="1" saveData="1">
    <textPr codePage="437" sourceFile="E:\[Documents]\[[[OCT RAW]]]\CO10--revise--line--to--243\_dark_profiles_CO10_DARK.txt" space="1" consecutive="1">
      <textFields count="6">
        <textField/>
        <textField/>
        <textField/>
        <textField/>
        <textField/>
        <textField/>
      </textFields>
    </textPr>
  </connection>
  <connection id="2" xr16:uid="{358EA95A-C9DF-40DD-A153-C67D46AED734}" name="[[[OCT RAW]]]\CO10--revise--line--to--243\_light_profiles_CO10_LIGHT" type="6" refreshedVersion="6" background="1" saveData="1">
    <textPr codePage="437" sourceFile="E:\[Documents]\[[[OCT RAW]]]\CO10--revise--line--to--243\_light_profiles_CO10_LIGHT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<sst xmlns="http://schemas.openxmlformats.org/spreadsheetml/2006/main" count="12" uniqueCount="8">
  <si>
    <t>angle</t>
  </si>
  <si>
    <t>whole</t>
  </si>
  <si>
    <t>RPEtoOLM</t>
  </si>
  <si>
    <t>RNFL</t>
  </si>
  <si>
    <t>DARK 500 microns to 2750 microns</t>
  </si>
  <si>
    <t>LIGHT 500 microns to 2750 microns</t>
  </si>
  <si>
    <t>CO091_DARK</t>
  </si>
  <si>
    <t>CO091_LIGHT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</si>
</sst>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BRIGHT!$H$7:$H$96</c:f>
              <c:numCache>
                <c:formatCode>General</c:formatCode>
                <c:ptCount val="90"/>
                <c:pt idx="0">
                  <c:v>670.02700000000004</c:v>
                </c:pt>
                <c:pt idx="1">
                  <c:v>883.83500000000004</c:v>
                </c:pt>
                <c:pt idx="2">
                  <c:v>1381.4018000000001</c:v>
                </c:pt>
                <c:pt idx="3">
                  <c:v>1983.5040000000001</c:v>
                </c:pt>
                <c:pt idx="4">
                  <c:v>2558.9866000000002</c:v>
                </c:pt>
                <c:pt idx="5">
                  <c:v>2960.4317999999998</c:v>
                </c:pt>
                <c:pt idx="6">
                  <c:v>3179.8705999999997</c:v>
                </c:pt>
                <c:pt idx="7">
                  <c:v>3275.8843999999999</c:v>
                </c:pt>
                <c:pt idx="8">
                  <c:v>3295.4</c:v>
                </c:pt>
                <c:pt idx="9">
                  <c:v>3216.2552000000005</c:v>
                </c:pt>
                <c:pt idx="10">
                  <c:v>3001.2287999999999</c:v>
                </c:pt>
                <c:pt idx="11">
                  <c:v>2653.2974000000004</c:v>
                </c:pt>
                <c:pt idx="12">
                  <c:v>2351.0388000000003</c:v>
                </c:pt>
                <c:pt idx="13">
                  <c:v>2223.6084000000001</c:v>
                </c:pt>
                <c:pt idx="14">
                  <c:v>2206.0030000000002</c:v>
                </c:pt>
                <c:pt idx="15">
                  <c:v>2216.8141999999998</c:v>
                </c:pt>
                <c:pt idx="16">
                  <c:v>2231.4376000000002</c:v>
                </c:pt>
                <c:pt idx="17">
                  <c:v>2239.7064</c:v>
                </c:pt>
                <c:pt idx="18">
                  <c:v>2236.8352</c:v>
                </c:pt>
                <c:pt idx="19">
                  <c:v>2229.3496</c:v>
                </c:pt>
                <c:pt idx="20">
                  <c:v>2222.2515999999996</c:v>
                </c:pt>
                <c:pt idx="21">
                  <c:v>2224.7388000000001</c:v>
                </c:pt>
                <c:pt idx="22">
                  <c:v>2228.4650000000001</c:v>
                </c:pt>
                <c:pt idx="23">
                  <c:v>2236.3875999999996</c:v>
                </c:pt>
                <c:pt idx="24">
                  <c:v>2269.2015999999999</c:v>
                </c:pt>
                <c:pt idx="25">
                  <c:v>2299.6454000000003</c:v>
                </c:pt>
                <c:pt idx="26">
                  <c:v>2300.4998000000001</c:v>
                </c:pt>
                <c:pt idx="27">
                  <c:v>2311.2159999999994</c:v>
                </c:pt>
                <c:pt idx="28">
                  <c:v>2326.886</c:v>
                </c:pt>
                <c:pt idx="29">
                  <c:v>2323.3606</c:v>
                </c:pt>
                <c:pt idx="30">
                  <c:v>2318.8185999999996</c:v>
                </c:pt>
                <c:pt idx="31">
                  <c:v>2297.018</c:v>
                </c:pt>
                <c:pt idx="32">
                  <c:v>2189.5648000000001</c:v>
                </c:pt>
                <c:pt idx="33">
                  <c:v>2031.8455999999999</c:v>
                </c:pt>
                <c:pt idx="34">
                  <c:v>1893.1228000000003</c:v>
                </c:pt>
                <c:pt idx="35">
                  <c:v>1806.702</c:v>
                </c:pt>
                <c:pt idx="36">
                  <c:v>1761.1439999999998</c:v>
                </c:pt>
                <c:pt idx="37">
                  <c:v>1742.1096000000002</c:v>
                </c:pt>
                <c:pt idx="38">
                  <c:v>1738.5133999999998</c:v>
                </c:pt>
                <c:pt idx="39">
                  <c:v>1755.5672</c:v>
                </c:pt>
                <c:pt idx="40">
                  <c:v>1802.0238000000002</c:v>
                </c:pt>
                <c:pt idx="41">
                  <c:v>1867.8027999999999</c:v>
                </c:pt>
                <c:pt idx="42">
                  <c:v>1934.2628</c:v>
                </c:pt>
                <c:pt idx="43">
                  <c:v>1999.2469999999998</c:v>
                </c:pt>
                <c:pt idx="44">
                  <c:v>2066.0830000000001</c:v>
                </c:pt>
                <c:pt idx="45">
                  <c:v>2116.0003999999999</c:v>
                </c:pt>
                <c:pt idx="46">
                  <c:v>2124.6938</c:v>
                </c:pt>
                <c:pt idx="47">
                  <c:v>2090.4430000000002</c:v>
                </c:pt>
                <c:pt idx="48">
                  <c:v>2011.2225999999998</c:v>
                </c:pt>
                <c:pt idx="49">
                  <c:v>1909.0572</c:v>
                </c:pt>
                <c:pt idx="50">
                  <c:v>1796.4224000000002</c:v>
                </c:pt>
                <c:pt idx="51">
                  <c:v>1712.9975999999999</c:v>
                </c:pt>
                <c:pt idx="52">
                  <c:v>1645.8968</c:v>
                </c:pt>
                <c:pt idx="53">
                  <c:v>1585.6912</c:v>
                </c:pt>
                <c:pt idx="54">
                  <c:v>1533.1795999999999</c:v>
                </c:pt>
                <c:pt idx="55">
                  <c:v>1476.8096</c:v>
                </c:pt>
                <c:pt idx="56">
                  <c:v>1419.3833999999999</c:v>
                </c:pt>
                <c:pt idx="57">
                  <c:v>1376.5917999999999</c:v>
                </c:pt>
                <c:pt idx="58">
                  <c:v>1352.4264000000001</c:v>
                </c:pt>
                <c:pt idx="59">
                  <c:v>1330.0808000000002</c:v>
                </c:pt>
                <c:pt idx="60">
                  <c:v>1315.5747999999999</c:v>
                </c:pt>
                <c:pt idx="61">
                  <c:v>1301.3276000000001</c:v>
                </c:pt>
                <c:pt idx="62">
                  <c:v>1299.6799999999998</c:v>
                </c:pt>
                <c:pt idx="63">
                  <c:v>1376.7868000000001</c:v>
                </c:pt>
                <c:pt idx="64">
                  <c:v>1534.3848</c:v>
                </c:pt>
                <c:pt idx="65">
                  <c:v>1606.5802000000001</c:v>
                </c:pt>
                <c:pt idx="66">
                  <c:v>1571.5332000000001</c:v>
                </c:pt>
                <c:pt idx="67">
                  <c:v>1505.6568</c:v>
                </c:pt>
                <c:pt idx="68">
                  <c:v>1555.9299999999998</c:v>
                </c:pt>
                <c:pt idx="69">
                  <c:v>1965.4688000000001</c:v>
                </c:pt>
                <c:pt idx="70">
                  <c:v>2646.5296000000003</c:v>
                </c:pt>
                <c:pt idx="71">
                  <c:v>3270.2838000000002</c:v>
                </c:pt>
                <c:pt idx="72">
                  <c:v>3516.6116000000002</c:v>
                </c:pt>
                <c:pt idx="73">
                  <c:v>3292.6083999999996</c:v>
                </c:pt>
                <c:pt idx="74">
                  <c:v>2818.7527999999998</c:v>
                </c:pt>
                <c:pt idx="75">
                  <c:v>2544.1884</c:v>
                </c:pt>
                <c:pt idx="76">
                  <c:v>2602.6228000000001</c:v>
                </c:pt>
                <c:pt idx="77">
                  <c:v>2825.5468000000001</c:v>
                </c:pt>
                <c:pt idx="78">
                  <c:v>3054.8679999999999</c:v>
                </c:pt>
                <c:pt idx="79">
                  <c:v>3261.8030000000008</c:v>
                </c:pt>
                <c:pt idx="80">
                  <c:v>3476.0739999999996</c:v>
                </c:pt>
                <c:pt idx="81">
                  <c:v>3729.6212</c:v>
                </c:pt>
                <c:pt idx="82">
                  <c:v>3944.2837999999997</c:v>
                </c:pt>
                <c:pt idx="83">
                  <c:v>4023.3906000000002</c:v>
                </c:pt>
                <c:pt idx="84">
                  <c:v>3878.3657999999996</c:v>
                </c:pt>
                <c:pt idx="85">
                  <c:v>3540.1800000000003</c:v>
                </c:pt>
                <c:pt idx="86">
                  <c:v>3093.3756000000003</c:v>
                </c:pt>
                <c:pt idx="87">
                  <c:v>2660.7359999999999</c:v>
                </c:pt>
                <c:pt idx="88">
                  <c:v>2356.2777999999998</c:v>
                </c:pt>
                <c:pt idx="89">
                  <c:v>2160.5891999999999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699.3442</c:v>
                </c:pt>
                <c:pt idx="1">
                  <c:v>882.65220000000011</c:v>
                </c:pt>
                <c:pt idx="2">
                  <c:v>1388.9666000000002</c:v>
                </c:pt>
                <c:pt idx="3">
                  <c:v>2022.2671999999998</c:v>
                </c:pt>
                <c:pt idx="4">
                  <c:v>2646.5852</c:v>
                </c:pt>
                <c:pt idx="5">
                  <c:v>3055.2451999999998</c:v>
                </c:pt>
                <c:pt idx="6">
                  <c:v>3267.2619999999997</c:v>
                </c:pt>
                <c:pt idx="7">
                  <c:v>3372.3831999999993</c:v>
                </c:pt>
                <c:pt idx="8">
                  <c:v>3386.9826000000003</c:v>
                </c:pt>
                <c:pt idx="9">
                  <c:v>3314.1068</c:v>
                </c:pt>
                <c:pt idx="10">
                  <c:v>3103.3845999999999</c:v>
                </c:pt>
                <c:pt idx="11">
                  <c:v>2726.5219999999999</c:v>
                </c:pt>
                <c:pt idx="12">
                  <c:v>2407.4078</c:v>
                </c:pt>
                <c:pt idx="13">
                  <c:v>2281.8307999999997</c:v>
                </c:pt>
                <c:pt idx="14">
                  <c:v>2258.1523999999999</c:v>
                </c:pt>
                <c:pt idx="15">
                  <c:v>2269.7889999999998</c:v>
                </c:pt>
                <c:pt idx="16">
                  <c:v>2289.4456</c:v>
                </c:pt>
                <c:pt idx="17">
                  <c:v>2298.9502000000002</c:v>
                </c:pt>
                <c:pt idx="18">
                  <c:v>2295.4386</c:v>
                </c:pt>
                <c:pt idx="19">
                  <c:v>2296.3620000000001</c:v>
                </c:pt>
                <c:pt idx="20">
                  <c:v>2293.3516</c:v>
                </c:pt>
                <c:pt idx="21">
                  <c:v>2290.9160000000002</c:v>
                </c:pt>
                <c:pt idx="22">
                  <c:v>2292.2777999999998</c:v>
                </c:pt>
                <c:pt idx="23">
                  <c:v>2299.6627999999996</c:v>
                </c:pt>
                <c:pt idx="24">
                  <c:v>2326.3849999999998</c:v>
                </c:pt>
                <c:pt idx="25">
                  <c:v>2362.6274000000003</c:v>
                </c:pt>
                <c:pt idx="26">
                  <c:v>2372.8015999999998</c:v>
                </c:pt>
                <c:pt idx="27">
                  <c:v>2387.6905999999999</c:v>
                </c:pt>
                <c:pt idx="28">
                  <c:v>2411.0450000000001</c:v>
                </c:pt>
                <c:pt idx="29">
                  <c:v>2411.0371999999998</c:v>
                </c:pt>
                <c:pt idx="30">
                  <c:v>2412.4556000000002</c:v>
                </c:pt>
                <c:pt idx="31">
                  <c:v>2390.9082000000003</c:v>
                </c:pt>
                <c:pt idx="32">
                  <c:v>2278.0506</c:v>
                </c:pt>
                <c:pt idx="33">
                  <c:v>2105.1896000000002</c:v>
                </c:pt>
                <c:pt idx="34">
                  <c:v>1959.8211999999999</c:v>
                </c:pt>
                <c:pt idx="35">
                  <c:v>1868.4153999999999</c:v>
                </c:pt>
                <c:pt idx="36">
                  <c:v>1825.8326000000002</c:v>
                </c:pt>
                <c:pt idx="37">
                  <c:v>1813.5216</c:v>
                </c:pt>
                <c:pt idx="38">
                  <c:v>1814.2975999999999</c:v>
                </c:pt>
                <c:pt idx="39">
                  <c:v>1834.0812000000001</c:v>
                </c:pt>
                <c:pt idx="40">
                  <c:v>1886.4834000000003</c:v>
                </c:pt>
                <c:pt idx="41">
                  <c:v>1964.2254</c:v>
                </c:pt>
                <c:pt idx="42">
                  <c:v>2041.4911999999999</c:v>
                </c:pt>
                <c:pt idx="43">
                  <c:v>2104.3816000000002</c:v>
                </c:pt>
                <c:pt idx="44">
                  <c:v>2154.4277999999999</c:v>
                </c:pt>
                <c:pt idx="45">
                  <c:v>2191.3914</c:v>
                </c:pt>
                <c:pt idx="46">
                  <c:v>2205.8694000000005</c:v>
                </c:pt>
                <c:pt idx="47">
                  <c:v>2182.4730000000004</c:v>
                </c:pt>
                <c:pt idx="48">
                  <c:v>2109.0962</c:v>
                </c:pt>
                <c:pt idx="49">
                  <c:v>2009.7483999999999</c:v>
                </c:pt>
                <c:pt idx="50">
                  <c:v>1909.0502000000001</c:v>
                </c:pt>
                <c:pt idx="51">
                  <c:v>1824.7518</c:v>
                </c:pt>
                <c:pt idx="52">
                  <c:v>1752.2995999999998</c:v>
                </c:pt>
                <c:pt idx="53">
                  <c:v>1688.6876</c:v>
                </c:pt>
                <c:pt idx="54">
                  <c:v>1630.6699999999998</c:v>
                </c:pt>
                <c:pt idx="55">
                  <c:v>1570.9718</c:v>
                </c:pt>
                <c:pt idx="56">
                  <c:v>1511.0840000000001</c:v>
                </c:pt>
                <c:pt idx="57">
                  <c:v>1463.5424</c:v>
                </c:pt>
                <c:pt idx="58">
                  <c:v>1430.0765999999999</c:v>
                </c:pt>
                <c:pt idx="59">
                  <c:v>1401.5637999999999</c:v>
                </c:pt>
                <c:pt idx="60">
                  <c:v>1381.3676</c:v>
                </c:pt>
                <c:pt idx="61">
                  <c:v>1365.6288</c:v>
                </c:pt>
                <c:pt idx="62">
                  <c:v>1367.9176000000002</c:v>
                </c:pt>
                <c:pt idx="63">
                  <c:v>1451.4202</c:v>
                </c:pt>
                <c:pt idx="64">
                  <c:v>1656.8990000000001</c:v>
                </c:pt>
                <c:pt idx="65">
                  <c:v>1752.1382000000001</c:v>
                </c:pt>
                <c:pt idx="66">
                  <c:v>1705.2725999999998</c:v>
                </c:pt>
                <c:pt idx="67">
                  <c:v>1629.2738000000002</c:v>
                </c:pt>
                <c:pt idx="68">
                  <c:v>1693.2125999999996</c:v>
                </c:pt>
                <c:pt idx="69">
                  <c:v>2156.0072</c:v>
                </c:pt>
                <c:pt idx="70">
                  <c:v>2969.5837999999999</c:v>
                </c:pt>
                <c:pt idx="71">
                  <c:v>3823.1860000000001</c:v>
                </c:pt>
                <c:pt idx="72">
                  <c:v>4261.2749999999996</c:v>
                </c:pt>
                <c:pt idx="73">
                  <c:v>4079.7231999999995</c:v>
                </c:pt>
                <c:pt idx="74">
                  <c:v>3480.1143999999999</c:v>
                </c:pt>
                <c:pt idx="75">
                  <c:v>3039.8401999999996</c:v>
                </c:pt>
                <c:pt idx="76">
                  <c:v>3112.9137999999994</c:v>
                </c:pt>
                <c:pt idx="77">
                  <c:v>3441.3463999999999</c:v>
                </c:pt>
                <c:pt idx="78">
                  <c:v>3740.2302000000004</c:v>
                </c:pt>
                <c:pt idx="79">
                  <c:v>3910.5596000000005</c:v>
                </c:pt>
                <c:pt idx="80">
                  <c:v>3956.5744</c:v>
                </c:pt>
                <c:pt idx="81">
                  <c:v>4021.2580000000003</c:v>
                </c:pt>
                <c:pt idx="82">
                  <c:v>4176.0532000000003</c:v>
                </c:pt>
                <c:pt idx="83">
                  <c:v>4297.5841999999993</c:v>
                </c:pt>
                <c:pt idx="84">
                  <c:v>4200.1346000000003</c:v>
                </c:pt>
                <c:pt idx="85">
                  <c:v>3890.5906000000004</c:v>
                </c:pt>
                <c:pt idx="86">
                  <c:v>3433.8661999999995</c:v>
                </c:pt>
                <c:pt idx="87">
                  <c:v>2942.2419999999997</c:v>
                </c:pt>
                <c:pt idx="88">
                  <c:v>2574.1232</c:v>
                </c:pt>
                <c:pt idx="89">
                  <c:v>2346.7786000000001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BRIGHT!$A$5</c:f>
              <c:strCache>
                <c:ptCount val="1"/>
                <c:pt idx="0">
                  <c:v>RPEtoOLM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(BRIGHT!$H$5,BRIGHT!$R$5)</c:f>
              <c:numCache>
                <c:formatCode>General</c:formatCode>
                <c:ptCount val="2"/>
                <c:pt idx="0">
                  <c:v>65.376000000000005</c:v>
                </c:pt>
                <c:pt idx="1">
                  <c:v>65.470399999999998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5-42D5-9ADF-A39D29C5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974376"/>
        <c:axId val="566974704"/>
      </c:barChart>
      <c:catAx>
        <c:axId val="566974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74704"/>
        <c:crosses val="autoZero"/>
        <c:auto val="1"/>
        <c:lblAlgn val="ctr"/>
        <c:lblOffset val="100"/>
        <c:noMultiLvlLbl val="0"/>
      </c:catAx>
      <c:valAx>
        <c:axId val="5669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974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185737</xdr:colOff>
      <xdr:row>25</xdr:row>
      <xdr:rowOff>147637</xdr:rowOff>
    </xdr:from>
    <xdr:to>
      <xdr:col>12</xdr:col>
      <xdr:colOff>38100</xdr:colOff>
      <xdr:row>40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7C6950-0E8C-4EDB-83C7-0A03A09E2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0--revise--line--to--243\_light_profiles_CO10_LIGHT" connectionId="2" xr16:uid="{FAD8B9DB-17A2-444E-B215-A8968E6F794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CO10--revise--line--to--243\_dark_profiles_CO10_DARK" connectionId="1" xr16:uid="{B6AECB38-4A7D-4554-AA2E-BFD10FF08BA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K2" sqref="K2"/>
    </sheetView>
  </sheetViews>
  <sheetFormatPr defaultRowHeight="15" x14ac:dyDescent="0.25"/>
  <cols>
    <col min="1" max="1" width="11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  <c r="K2" t="s">
        <v>7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-2.0369999999999999</v>
      </c>
      <c r="C3">
        <v>-2.3620000000000001</v>
      </c>
      <c r="D3">
        <v>3.6429999999999998</v>
      </c>
      <c r="E3">
        <v>-1.353</v>
      </c>
      <c r="F3">
        <v>2.2389999999999999</v>
      </c>
      <c r="K3" t="s">
        <v>0</v>
      </c>
      <c r="L3">
        <v>-1.173</v>
      </c>
      <c r="M3">
        <v>-1.24</v>
      </c>
      <c r="N3">
        <v>-0.17199999999999999</v>
      </c>
      <c r="O3">
        <v>-0.998</v>
      </c>
      <c r="P3">
        <v>-1.5629999999999999</v>
      </c>
    </row>
    <row r="4" spans="1:19" x14ac:dyDescent="0.25">
      <c r="A4" t="s">
        <v>1</v>
      </c>
      <c r="B4">
        <v>329.52800000000002</v>
      </c>
      <c r="C4">
        <v>329.447</v>
      </c>
      <c r="D4">
        <v>330.55</v>
      </c>
      <c r="E4">
        <v>327.88499999999999</v>
      </c>
      <c r="F4">
        <v>329.64</v>
      </c>
      <c r="H4" s="2">
        <f>AVERAGE(B4:F4)</f>
        <v>329.41</v>
      </c>
      <c r="I4" s="2">
        <f>STDEV(B4:F4)/SQRT(COUNT(B4:F4))</f>
        <v>0.42973352208083859</v>
      </c>
      <c r="K4" t="s">
        <v>1</v>
      </c>
      <c r="L4">
        <v>327.63</v>
      </c>
      <c r="M4">
        <v>328.387</v>
      </c>
      <c r="N4">
        <v>329.26</v>
      </c>
      <c r="O4">
        <v>327.67</v>
      </c>
      <c r="P4">
        <v>328.75900000000001</v>
      </c>
      <c r="R4" s="3">
        <f>AVERAGE(L4:P4)</f>
        <v>328.34120000000001</v>
      </c>
      <c r="S4" s="3">
        <f>STDEV(L4:P4)/SQRT(COUNT(L4:P4))</f>
        <v>0.31441714329851517</v>
      </c>
    </row>
    <row r="5" spans="1:19" x14ac:dyDescent="0.25">
      <c r="A5" t="s">
        <v>2</v>
      </c>
      <c r="B5">
        <v>65.405000000000001</v>
      </c>
      <c r="C5">
        <v>64.915000000000006</v>
      </c>
      <c r="D5">
        <v>65.491</v>
      </c>
      <c r="E5">
        <v>65.411000000000001</v>
      </c>
      <c r="F5">
        <v>65.658000000000001</v>
      </c>
      <c r="H5" s="2">
        <f t="shared" ref="H5:H68" si="0">AVERAGE(B5:F5)</f>
        <v>65.376000000000005</v>
      </c>
      <c r="I5" s="2">
        <f t="shared" ref="I5:I68" si="1">STDEV(B5:F5)/SQRT(COUNT(B5:F5))</f>
        <v>0.12396289767506949</v>
      </c>
      <c r="K5" t="s">
        <v>2</v>
      </c>
      <c r="L5">
        <v>65.805000000000007</v>
      </c>
      <c r="M5">
        <v>65.022000000000006</v>
      </c>
      <c r="N5">
        <v>66.441000000000003</v>
      </c>
      <c r="O5">
        <v>65.161000000000001</v>
      </c>
      <c r="P5">
        <v>64.923000000000002</v>
      </c>
      <c r="R5" s="3">
        <f t="shared" ref="R5:R68" si="2">AVERAGE(L5:P5)</f>
        <v>65.470399999999998</v>
      </c>
      <c r="S5" s="3">
        <f t="shared" ref="S5:S68" si="3">STDEV(L5:P5)/SQRT(COUNT(L5:P5))</f>
        <v>0.28726809777627599</v>
      </c>
    </row>
    <row r="6" spans="1:19" x14ac:dyDescent="0.25">
      <c r="A6" t="s">
        <v>3</v>
      </c>
      <c r="B6">
        <v>33.341999999999999</v>
      </c>
      <c r="C6">
        <v>33.643999999999998</v>
      </c>
      <c r="D6">
        <v>34.212000000000003</v>
      </c>
      <c r="E6">
        <v>33.661999999999999</v>
      </c>
      <c r="F6">
        <v>33.71</v>
      </c>
      <c r="H6" s="2">
        <f t="shared" si="0"/>
        <v>33.713999999999999</v>
      </c>
      <c r="I6" s="2">
        <f t="shared" si="1"/>
        <v>0.14035811340994944</v>
      </c>
      <c r="K6" t="s">
        <v>3</v>
      </c>
      <c r="L6">
        <v>33.515999999999998</v>
      </c>
      <c r="M6">
        <v>33.156999999999996</v>
      </c>
      <c r="N6">
        <v>34.164999999999999</v>
      </c>
      <c r="O6">
        <v>34.832999999999998</v>
      </c>
      <c r="P6">
        <v>33.509</v>
      </c>
      <c r="R6" s="3">
        <f t="shared" si="2"/>
        <v>33.835999999999999</v>
      </c>
      <c r="S6" s="3">
        <f t="shared" si="3"/>
        <v>0.29770959003700248</v>
      </c>
    </row>
    <row r="7" spans="1:19" x14ac:dyDescent="0.25">
      <c r="A7">
        <v>-3.75</v>
      </c>
      <c r="B7">
        <v>814.20100000000002</v>
      </c>
      <c r="C7">
        <v>590.67499999999995</v>
      </c>
      <c r="D7">
        <v>454.96</v>
      </c>
      <c r="E7">
        <v>740.89300000000003</v>
      </c>
      <c r="F7">
        <v>749.40599999999995</v>
      </c>
      <c r="H7" s="2">
        <f t="shared" si="0"/>
        <v>670.02700000000004</v>
      </c>
      <c r="I7" s="2">
        <f t="shared" si="1"/>
        <v>65.061398796060132</v>
      </c>
      <c r="K7">
        <v>-3.75</v>
      </c>
      <c r="L7">
        <v>655.34799999999996</v>
      </c>
      <c r="M7">
        <v>728.45</v>
      </c>
      <c r="N7">
        <v>703.21699999999998</v>
      </c>
      <c r="O7">
        <v>734.54100000000005</v>
      </c>
      <c r="P7">
        <v>675.16499999999996</v>
      </c>
      <c r="R7" s="3">
        <f t="shared" si="2"/>
        <v>699.3442</v>
      </c>
      <c r="S7" s="3">
        <f t="shared" si="3"/>
        <v>15.200756939705359</v>
      </c>
    </row>
    <row r="8" spans="1:19" x14ac:dyDescent="0.25">
      <c r="A8">
        <v>-2.5</v>
      </c>
      <c r="B8">
        <v>1058.69</v>
      </c>
      <c r="C8">
        <v>860.47900000000004</v>
      </c>
      <c r="D8">
        <v>635.79600000000005</v>
      </c>
      <c r="E8">
        <v>929.59299999999996</v>
      </c>
      <c r="F8">
        <v>934.61699999999996</v>
      </c>
      <c r="H8" s="2">
        <f t="shared" si="0"/>
        <v>883.83500000000004</v>
      </c>
      <c r="I8" s="2">
        <f t="shared" si="1"/>
        <v>69.755188111709359</v>
      </c>
      <c r="K8">
        <v>-2.5</v>
      </c>
      <c r="L8">
        <v>819.37699999999995</v>
      </c>
      <c r="M8">
        <v>928.95799999999997</v>
      </c>
      <c r="N8">
        <v>855.54399999999998</v>
      </c>
      <c r="O8">
        <v>949.11900000000003</v>
      </c>
      <c r="P8">
        <v>860.26300000000003</v>
      </c>
      <c r="R8" s="3">
        <f t="shared" si="2"/>
        <v>882.65220000000011</v>
      </c>
      <c r="S8" s="3">
        <f t="shared" si="3"/>
        <v>24.291916695477124</v>
      </c>
    </row>
    <row r="9" spans="1:19" x14ac:dyDescent="0.25">
      <c r="A9">
        <v>-1.25</v>
      </c>
      <c r="B9">
        <v>1534.3820000000001</v>
      </c>
      <c r="C9">
        <v>1364.933</v>
      </c>
      <c r="D9">
        <v>1048.758</v>
      </c>
      <c r="E9">
        <v>1444.6389999999999</v>
      </c>
      <c r="F9">
        <v>1514.297</v>
      </c>
      <c r="H9" s="2">
        <f t="shared" si="0"/>
        <v>1381.4018000000001</v>
      </c>
      <c r="I9" s="2">
        <f t="shared" si="1"/>
        <v>88.313684752364438</v>
      </c>
      <c r="K9">
        <v>-1.25</v>
      </c>
      <c r="L9">
        <v>1240.558</v>
      </c>
      <c r="M9">
        <v>1464.9570000000001</v>
      </c>
      <c r="N9">
        <v>1338.412</v>
      </c>
      <c r="O9">
        <v>1492.89</v>
      </c>
      <c r="P9">
        <v>1408.0160000000001</v>
      </c>
      <c r="R9" s="3">
        <f t="shared" si="2"/>
        <v>1388.9666000000002</v>
      </c>
      <c r="S9" s="3">
        <f t="shared" si="3"/>
        <v>45.562250677068199</v>
      </c>
    </row>
    <row r="10" spans="1:19" x14ac:dyDescent="0.25">
      <c r="A10">
        <v>0</v>
      </c>
      <c r="B10">
        <v>2121.1280000000002</v>
      </c>
      <c r="C10">
        <v>1970.527</v>
      </c>
      <c r="D10">
        <v>1526.1759999999999</v>
      </c>
      <c r="E10">
        <v>2106.8319999999999</v>
      </c>
      <c r="F10">
        <v>2192.857</v>
      </c>
      <c r="H10" s="2">
        <f t="shared" si="0"/>
        <v>1983.5040000000001</v>
      </c>
      <c r="I10" s="2">
        <f t="shared" si="1"/>
        <v>119.8532731472109</v>
      </c>
      <c r="K10">
        <v>0</v>
      </c>
      <c r="L10">
        <v>1782.202</v>
      </c>
      <c r="M10">
        <v>2087.0120000000002</v>
      </c>
      <c r="N10">
        <v>2005.9110000000001</v>
      </c>
      <c r="O10">
        <v>2184.7939999999999</v>
      </c>
      <c r="P10">
        <v>2051.4169999999999</v>
      </c>
      <c r="R10" s="3">
        <f t="shared" si="2"/>
        <v>2022.2671999999998</v>
      </c>
      <c r="S10" s="3">
        <f t="shared" si="3"/>
        <v>66.841374243353187</v>
      </c>
    </row>
    <row r="11" spans="1:19" x14ac:dyDescent="0.25">
      <c r="A11">
        <v>1.25</v>
      </c>
      <c r="B11">
        <v>2688.09</v>
      </c>
      <c r="C11">
        <v>2531.1790000000001</v>
      </c>
      <c r="D11">
        <v>1968.26</v>
      </c>
      <c r="E11">
        <v>2729.8879999999999</v>
      </c>
      <c r="F11">
        <v>2877.5160000000001</v>
      </c>
      <c r="H11" s="2">
        <f t="shared" si="0"/>
        <v>2558.9866000000002</v>
      </c>
      <c r="I11" s="2">
        <f t="shared" si="1"/>
        <v>157.64947409414265</v>
      </c>
      <c r="K11">
        <v>1.25</v>
      </c>
      <c r="L11">
        <v>2327.585</v>
      </c>
      <c r="M11">
        <v>2663.3040000000001</v>
      </c>
      <c r="N11">
        <v>2671.067</v>
      </c>
      <c r="O11">
        <v>2897.3609999999999</v>
      </c>
      <c r="P11">
        <v>2673.6089999999999</v>
      </c>
      <c r="R11" s="3">
        <f t="shared" si="2"/>
        <v>2646.5852</v>
      </c>
      <c r="S11" s="3">
        <f t="shared" si="3"/>
        <v>91.175323426023525</v>
      </c>
    </row>
    <row r="12" spans="1:19" x14ac:dyDescent="0.25">
      <c r="A12">
        <v>2.5</v>
      </c>
      <c r="B12">
        <v>3109.366</v>
      </c>
      <c r="C12">
        <v>2937.5970000000002</v>
      </c>
      <c r="D12">
        <v>2273.1390000000001</v>
      </c>
      <c r="E12">
        <v>3167.8220000000001</v>
      </c>
      <c r="F12">
        <v>3314.2350000000001</v>
      </c>
      <c r="H12" s="2">
        <f t="shared" si="0"/>
        <v>2960.4317999999998</v>
      </c>
      <c r="I12" s="2">
        <f t="shared" si="1"/>
        <v>182.10733323218986</v>
      </c>
      <c r="K12">
        <v>2.5</v>
      </c>
      <c r="L12">
        <v>2667.2080000000001</v>
      </c>
      <c r="M12">
        <v>3046.998</v>
      </c>
      <c r="N12">
        <v>3082.489</v>
      </c>
      <c r="O12">
        <v>3378.203</v>
      </c>
      <c r="P12">
        <v>3101.328</v>
      </c>
      <c r="R12" s="3">
        <f t="shared" si="2"/>
        <v>3055.2451999999998</v>
      </c>
      <c r="S12" s="3">
        <f t="shared" si="3"/>
        <v>113.53600190397755</v>
      </c>
    </row>
    <row r="13" spans="1:19" x14ac:dyDescent="0.25">
      <c r="A13">
        <v>3.75</v>
      </c>
      <c r="B13">
        <v>3342.2959999999998</v>
      </c>
      <c r="C13">
        <v>3172.6860000000001</v>
      </c>
      <c r="D13">
        <v>2460.5419999999999</v>
      </c>
      <c r="E13">
        <v>3383.7</v>
      </c>
      <c r="F13">
        <v>3540.1289999999999</v>
      </c>
      <c r="H13" s="2">
        <f t="shared" si="0"/>
        <v>3179.8705999999997</v>
      </c>
      <c r="I13" s="2">
        <f t="shared" si="1"/>
        <v>189.10312039932117</v>
      </c>
      <c r="K13">
        <v>3.75</v>
      </c>
      <c r="L13">
        <v>2871.2440000000001</v>
      </c>
      <c r="M13">
        <v>3259.2359999999999</v>
      </c>
      <c r="N13">
        <v>3236.922</v>
      </c>
      <c r="O13">
        <v>3627.732</v>
      </c>
      <c r="P13">
        <v>3341.1759999999999</v>
      </c>
      <c r="R13" s="3">
        <f t="shared" si="2"/>
        <v>3267.2619999999997</v>
      </c>
      <c r="S13" s="3">
        <f t="shared" si="3"/>
        <v>121.08201536479309</v>
      </c>
    </row>
    <row r="14" spans="1:19" x14ac:dyDescent="0.25">
      <c r="A14">
        <v>5</v>
      </c>
      <c r="B14">
        <v>3423.3240000000001</v>
      </c>
      <c r="C14">
        <v>3254.8910000000001</v>
      </c>
      <c r="D14">
        <v>2559.0839999999998</v>
      </c>
      <c r="E14">
        <v>3483.2860000000001</v>
      </c>
      <c r="F14">
        <v>3658.837</v>
      </c>
      <c r="H14" s="2">
        <f t="shared" si="0"/>
        <v>3275.8843999999999</v>
      </c>
      <c r="I14" s="2">
        <f t="shared" si="1"/>
        <v>190.47966944810767</v>
      </c>
      <c r="K14">
        <v>5</v>
      </c>
      <c r="L14">
        <v>2968.482</v>
      </c>
      <c r="M14">
        <v>3371.4859999999999</v>
      </c>
      <c r="N14">
        <v>3330.1210000000001</v>
      </c>
      <c r="O14">
        <v>3746.8539999999998</v>
      </c>
      <c r="P14">
        <v>3444.973</v>
      </c>
      <c r="R14" s="3">
        <f t="shared" si="2"/>
        <v>3372.3831999999993</v>
      </c>
      <c r="S14" s="3">
        <f t="shared" si="3"/>
        <v>124.58345335452856</v>
      </c>
    </row>
    <row r="15" spans="1:19" x14ac:dyDescent="0.25">
      <c r="A15">
        <v>6.25</v>
      </c>
      <c r="B15">
        <v>3444.951</v>
      </c>
      <c r="C15">
        <v>3289.3690000000001</v>
      </c>
      <c r="D15">
        <v>2570.884</v>
      </c>
      <c r="E15">
        <v>3488.069</v>
      </c>
      <c r="F15">
        <v>3683.7269999999999</v>
      </c>
      <c r="H15" s="2">
        <f t="shared" si="0"/>
        <v>3295.4</v>
      </c>
      <c r="I15" s="2">
        <f t="shared" si="1"/>
        <v>191.73477922745255</v>
      </c>
      <c r="K15">
        <v>6.25</v>
      </c>
      <c r="L15">
        <v>2963.15</v>
      </c>
      <c r="M15">
        <v>3403.817</v>
      </c>
      <c r="N15">
        <v>3358.7179999999998</v>
      </c>
      <c r="O15">
        <v>3767.9929999999999</v>
      </c>
      <c r="P15">
        <v>3441.2350000000001</v>
      </c>
      <c r="R15" s="3">
        <f t="shared" si="2"/>
        <v>3386.9826000000003</v>
      </c>
      <c r="S15" s="3">
        <f t="shared" si="3"/>
        <v>128.22414072108259</v>
      </c>
    </row>
    <row r="16" spans="1:19" x14ac:dyDescent="0.25">
      <c r="A16">
        <v>7.5</v>
      </c>
      <c r="B16">
        <v>3357.5810000000001</v>
      </c>
      <c r="C16">
        <v>3204.9659999999999</v>
      </c>
      <c r="D16">
        <v>2524.3580000000002</v>
      </c>
      <c r="E16">
        <v>3394.6610000000001</v>
      </c>
      <c r="F16">
        <v>3599.71</v>
      </c>
      <c r="H16" s="2">
        <f t="shared" si="0"/>
        <v>3216.2552000000005</v>
      </c>
      <c r="I16" s="2">
        <f t="shared" si="1"/>
        <v>184.07720883732352</v>
      </c>
      <c r="K16">
        <v>7.5</v>
      </c>
      <c r="L16">
        <v>2884.82</v>
      </c>
      <c r="M16">
        <v>3347.66</v>
      </c>
      <c r="N16">
        <v>3302.5909999999999</v>
      </c>
      <c r="O16">
        <v>3670.0340000000001</v>
      </c>
      <c r="P16">
        <v>3365.4290000000001</v>
      </c>
      <c r="R16" s="3">
        <f t="shared" si="2"/>
        <v>3314.1068</v>
      </c>
      <c r="S16" s="3">
        <f t="shared" si="3"/>
        <v>125.47185490116895</v>
      </c>
    </row>
    <row r="17" spans="1:19" x14ac:dyDescent="0.25">
      <c r="A17">
        <v>8.75</v>
      </c>
      <c r="B17">
        <v>3138.12</v>
      </c>
      <c r="C17">
        <v>3000.0360000000001</v>
      </c>
      <c r="D17">
        <v>2343.1060000000002</v>
      </c>
      <c r="E17">
        <v>3167.201</v>
      </c>
      <c r="F17">
        <v>3357.681</v>
      </c>
      <c r="H17" s="2">
        <f t="shared" si="0"/>
        <v>3001.2287999999999</v>
      </c>
      <c r="I17" s="2">
        <f t="shared" si="1"/>
        <v>174.13661093331356</v>
      </c>
      <c r="K17">
        <v>8.75</v>
      </c>
      <c r="L17">
        <v>2687.828</v>
      </c>
      <c r="M17">
        <v>3134.4470000000001</v>
      </c>
      <c r="N17">
        <v>3092.6219999999998</v>
      </c>
      <c r="O17">
        <v>3429.7139999999999</v>
      </c>
      <c r="P17">
        <v>3172.3119999999999</v>
      </c>
      <c r="R17" s="3">
        <f t="shared" si="2"/>
        <v>3103.3845999999999</v>
      </c>
      <c r="S17" s="3">
        <f t="shared" si="3"/>
        <v>119.37542834084408</v>
      </c>
    </row>
    <row r="18" spans="1:19" x14ac:dyDescent="0.25">
      <c r="A18">
        <v>10</v>
      </c>
      <c r="B18">
        <v>2821.12</v>
      </c>
      <c r="C18">
        <v>2679.5929999999998</v>
      </c>
      <c r="D18">
        <v>2022.0640000000001</v>
      </c>
      <c r="E18">
        <v>2810.1559999999999</v>
      </c>
      <c r="F18">
        <v>2933.5540000000001</v>
      </c>
      <c r="H18" s="2">
        <f t="shared" si="0"/>
        <v>2653.2974000000004</v>
      </c>
      <c r="I18" s="2">
        <f t="shared" si="1"/>
        <v>162.85881480030554</v>
      </c>
      <c r="K18">
        <v>10</v>
      </c>
      <c r="L18">
        <v>2369.337</v>
      </c>
      <c r="M18">
        <v>2736.99</v>
      </c>
      <c r="N18">
        <v>2694.1779999999999</v>
      </c>
      <c r="O18">
        <v>3017.6770000000001</v>
      </c>
      <c r="P18">
        <v>2814.4279999999999</v>
      </c>
      <c r="R18" s="3">
        <f t="shared" si="2"/>
        <v>2726.5219999999999</v>
      </c>
      <c r="S18" s="3">
        <f t="shared" si="3"/>
        <v>105.17498192203317</v>
      </c>
    </row>
    <row r="19" spans="1:19" x14ac:dyDescent="0.25">
      <c r="A19">
        <v>11.25</v>
      </c>
      <c r="B19">
        <v>2528.3879999999999</v>
      </c>
      <c r="C19">
        <v>2374.09</v>
      </c>
      <c r="D19">
        <v>1777.8820000000001</v>
      </c>
      <c r="E19">
        <v>2487.9830000000002</v>
      </c>
      <c r="F19">
        <v>2586.8510000000001</v>
      </c>
      <c r="H19" s="2">
        <f t="shared" si="0"/>
        <v>2351.0388000000003</v>
      </c>
      <c r="I19" s="2">
        <f t="shared" si="1"/>
        <v>147.45404733861906</v>
      </c>
      <c r="K19">
        <v>11.25</v>
      </c>
      <c r="L19">
        <v>2106.605</v>
      </c>
      <c r="M19">
        <v>2408.7849999999999</v>
      </c>
      <c r="N19">
        <v>2372.5160000000001</v>
      </c>
      <c r="O19">
        <v>2676.491</v>
      </c>
      <c r="P19">
        <v>2472.6419999999998</v>
      </c>
      <c r="R19" s="3">
        <f t="shared" si="2"/>
        <v>2407.4078</v>
      </c>
      <c r="S19" s="3">
        <f t="shared" si="3"/>
        <v>91.750457286816825</v>
      </c>
    </row>
    <row r="20" spans="1:19" x14ac:dyDescent="0.25">
      <c r="A20">
        <v>12.5</v>
      </c>
      <c r="B20">
        <v>2397.375</v>
      </c>
      <c r="C20">
        <v>2247.9</v>
      </c>
      <c r="D20">
        <v>1678.2180000000001</v>
      </c>
      <c r="E20">
        <v>2358.8069999999998</v>
      </c>
      <c r="F20">
        <v>2435.7420000000002</v>
      </c>
      <c r="H20" s="2">
        <f t="shared" si="0"/>
        <v>2223.6084000000001</v>
      </c>
      <c r="I20" s="2">
        <f t="shared" si="1"/>
        <v>139.91335304559072</v>
      </c>
      <c r="K20">
        <v>12.5</v>
      </c>
      <c r="L20">
        <v>2005.7639999999999</v>
      </c>
      <c r="M20">
        <v>2283.1089999999999</v>
      </c>
      <c r="N20">
        <v>2242.8090000000002</v>
      </c>
      <c r="O20">
        <v>2530.422</v>
      </c>
      <c r="P20">
        <v>2347.0500000000002</v>
      </c>
      <c r="R20" s="3">
        <f t="shared" si="2"/>
        <v>2281.8307999999997</v>
      </c>
      <c r="S20" s="3">
        <f t="shared" si="3"/>
        <v>84.790430326423049</v>
      </c>
    </row>
    <row r="21" spans="1:19" x14ac:dyDescent="0.25">
      <c r="A21">
        <v>13.75</v>
      </c>
      <c r="B21">
        <v>2377.5680000000002</v>
      </c>
      <c r="C21">
        <v>2240.4160000000002</v>
      </c>
      <c r="D21">
        <v>1666.3130000000001</v>
      </c>
      <c r="E21">
        <v>2342.0030000000002</v>
      </c>
      <c r="F21">
        <v>2403.7150000000001</v>
      </c>
      <c r="H21" s="2">
        <f t="shared" si="0"/>
        <v>2206.0030000000002</v>
      </c>
      <c r="I21" s="2">
        <f t="shared" si="1"/>
        <v>137.74435284939926</v>
      </c>
      <c r="K21">
        <v>13.75</v>
      </c>
      <c r="L21">
        <v>1979.7059999999999</v>
      </c>
      <c r="M21">
        <v>2269.634</v>
      </c>
      <c r="N21">
        <v>2216.0039999999999</v>
      </c>
      <c r="O21">
        <v>2500.0770000000002</v>
      </c>
      <c r="P21">
        <v>2325.3409999999999</v>
      </c>
      <c r="R21" s="3">
        <f t="shared" si="2"/>
        <v>2258.1523999999999</v>
      </c>
      <c r="S21" s="3">
        <f t="shared" si="3"/>
        <v>84.404541491912667</v>
      </c>
    </row>
    <row r="22" spans="1:19" x14ac:dyDescent="0.25">
      <c r="A22">
        <v>15</v>
      </c>
      <c r="B22">
        <v>2390.1909999999998</v>
      </c>
      <c r="C22">
        <v>2247.8890000000001</v>
      </c>
      <c r="D22">
        <v>1670.76</v>
      </c>
      <c r="E22">
        <v>2353.2069999999999</v>
      </c>
      <c r="F22">
        <v>2422.0239999999999</v>
      </c>
      <c r="H22" s="2">
        <f t="shared" si="0"/>
        <v>2216.8141999999998</v>
      </c>
      <c r="I22" s="2">
        <f t="shared" si="1"/>
        <v>139.62707567280825</v>
      </c>
      <c r="K22">
        <v>15</v>
      </c>
      <c r="L22">
        <v>1980.5319999999999</v>
      </c>
      <c r="M22">
        <v>2277.1039999999998</v>
      </c>
      <c r="N22">
        <v>2243.4189999999999</v>
      </c>
      <c r="O22">
        <v>2513.7449999999999</v>
      </c>
      <c r="P22">
        <v>2334.145</v>
      </c>
      <c r="R22" s="3">
        <f t="shared" si="2"/>
        <v>2269.7889999999998</v>
      </c>
      <c r="S22" s="3">
        <f t="shared" si="3"/>
        <v>86.044965816135914</v>
      </c>
    </row>
    <row r="23" spans="1:19" x14ac:dyDescent="0.25">
      <c r="A23">
        <v>16.25</v>
      </c>
      <c r="B23">
        <v>2412.0909999999999</v>
      </c>
      <c r="C23">
        <v>2257.424</v>
      </c>
      <c r="D23">
        <v>1677.5150000000001</v>
      </c>
      <c r="E23">
        <v>2372.0320000000002</v>
      </c>
      <c r="F23">
        <v>2438.1260000000002</v>
      </c>
      <c r="H23" s="2">
        <f t="shared" si="0"/>
        <v>2231.4376000000002</v>
      </c>
      <c r="I23" s="2">
        <f t="shared" si="1"/>
        <v>141.88517729368411</v>
      </c>
      <c r="K23">
        <v>16.25</v>
      </c>
      <c r="L23">
        <v>1994.9290000000001</v>
      </c>
      <c r="M23">
        <v>2289.2910000000002</v>
      </c>
      <c r="N23">
        <v>2268.5230000000001</v>
      </c>
      <c r="O23">
        <v>2540.261</v>
      </c>
      <c r="P23">
        <v>2354.2240000000002</v>
      </c>
      <c r="R23" s="3">
        <f t="shared" si="2"/>
        <v>2289.4456</v>
      </c>
      <c r="S23" s="3">
        <f t="shared" si="3"/>
        <v>87.830066819740026</v>
      </c>
    </row>
    <row r="24" spans="1:19" x14ac:dyDescent="0.25">
      <c r="A24">
        <v>17.5</v>
      </c>
      <c r="B24">
        <v>2427.7379999999998</v>
      </c>
      <c r="C24">
        <v>2263.0129999999999</v>
      </c>
      <c r="D24">
        <v>1684.2380000000001</v>
      </c>
      <c r="E24">
        <v>2382.1729999999998</v>
      </c>
      <c r="F24">
        <v>2441.37</v>
      </c>
      <c r="H24" s="2">
        <f t="shared" si="0"/>
        <v>2239.7064</v>
      </c>
      <c r="I24" s="2">
        <f t="shared" si="1"/>
        <v>142.3743592226491</v>
      </c>
      <c r="K24">
        <v>17.5</v>
      </c>
      <c r="L24">
        <v>2001.7750000000001</v>
      </c>
      <c r="M24">
        <v>2296.0700000000002</v>
      </c>
      <c r="N24">
        <v>2280.183</v>
      </c>
      <c r="O24">
        <v>2552.4899999999998</v>
      </c>
      <c r="P24">
        <v>2364.2330000000002</v>
      </c>
      <c r="R24" s="3">
        <f t="shared" si="2"/>
        <v>2298.9502000000002</v>
      </c>
      <c r="S24" s="3">
        <f t="shared" si="3"/>
        <v>88.661681972202572</v>
      </c>
    </row>
    <row r="25" spans="1:19" x14ac:dyDescent="0.25">
      <c r="A25">
        <v>18.75</v>
      </c>
      <c r="B25">
        <v>2422.8969999999999</v>
      </c>
      <c r="C25">
        <v>2265.7950000000001</v>
      </c>
      <c r="D25">
        <v>1682.0709999999999</v>
      </c>
      <c r="E25">
        <v>2375.2959999999998</v>
      </c>
      <c r="F25">
        <v>2438.1170000000002</v>
      </c>
      <c r="H25" s="2">
        <f t="shared" si="0"/>
        <v>2236.8352</v>
      </c>
      <c r="I25" s="2">
        <f t="shared" si="1"/>
        <v>141.93426950261235</v>
      </c>
      <c r="K25">
        <v>18.75</v>
      </c>
      <c r="L25">
        <v>1996.415</v>
      </c>
      <c r="M25">
        <v>2297.0970000000002</v>
      </c>
      <c r="N25">
        <v>2274.4259999999999</v>
      </c>
      <c r="O25">
        <v>2538.9</v>
      </c>
      <c r="P25">
        <v>2370.355</v>
      </c>
      <c r="R25" s="3">
        <f t="shared" si="2"/>
        <v>2295.4386</v>
      </c>
      <c r="S25" s="3">
        <f t="shared" si="3"/>
        <v>87.961728406506452</v>
      </c>
    </row>
    <row r="26" spans="1:19" x14ac:dyDescent="0.25">
      <c r="A26">
        <v>20</v>
      </c>
      <c r="B26">
        <v>2415.9029999999998</v>
      </c>
      <c r="C26">
        <v>2251.4319999999998</v>
      </c>
      <c r="D26">
        <v>1673.4580000000001</v>
      </c>
      <c r="E26">
        <v>2375.808</v>
      </c>
      <c r="F26">
        <v>2430.1469999999999</v>
      </c>
      <c r="H26" s="2">
        <f t="shared" si="0"/>
        <v>2229.3496</v>
      </c>
      <c r="I26" s="2">
        <f t="shared" si="1"/>
        <v>142.49121607474567</v>
      </c>
      <c r="K26">
        <v>20</v>
      </c>
      <c r="L26">
        <v>2004.7329999999999</v>
      </c>
      <c r="M26">
        <v>2307.71</v>
      </c>
      <c r="N26">
        <v>2269.2359999999999</v>
      </c>
      <c r="O26">
        <v>2522.547</v>
      </c>
      <c r="P26">
        <v>2377.5839999999998</v>
      </c>
      <c r="R26" s="3">
        <f t="shared" si="2"/>
        <v>2296.3620000000001</v>
      </c>
      <c r="S26" s="3">
        <f t="shared" si="3"/>
        <v>84.755158583416033</v>
      </c>
    </row>
    <row r="27" spans="1:19" x14ac:dyDescent="0.25">
      <c r="A27">
        <v>21.25</v>
      </c>
      <c r="B27">
        <v>2419.076</v>
      </c>
      <c r="C27">
        <v>2233.8049999999998</v>
      </c>
      <c r="D27">
        <v>1667.5319999999999</v>
      </c>
      <c r="E27">
        <v>2360.7779999999998</v>
      </c>
      <c r="F27">
        <v>2430.067</v>
      </c>
      <c r="H27" s="2">
        <f t="shared" si="0"/>
        <v>2222.2515999999996</v>
      </c>
      <c r="I27" s="2">
        <f t="shared" si="1"/>
        <v>142.99719649091202</v>
      </c>
      <c r="K27">
        <v>21.25</v>
      </c>
      <c r="L27">
        <v>2011.1079999999999</v>
      </c>
      <c r="M27">
        <v>2302.3330000000001</v>
      </c>
      <c r="N27">
        <v>2263.6790000000001</v>
      </c>
      <c r="O27">
        <v>2517.569</v>
      </c>
      <c r="P27">
        <v>2372.069</v>
      </c>
      <c r="R27" s="3">
        <f t="shared" si="2"/>
        <v>2293.3516</v>
      </c>
      <c r="S27" s="3">
        <f t="shared" si="3"/>
        <v>82.792647621392078</v>
      </c>
    </row>
    <row r="28" spans="1:19" x14ac:dyDescent="0.25">
      <c r="A28">
        <v>22.5</v>
      </c>
      <c r="B28">
        <v>2425.2199999999998</v>
      </c>
      <c r="C28">
        <v>2232.971</v>
      </c>
      <c r="D28">
        <v>1667.3710000000001</v>
      </c>
      <c r="E28">
        <v>2352.855</v>
      </c>
      <c r="F28">
        <v>2445.277</v>
      </c>
      <c r="H28" s="2">
        <f t="shared" si="0"/>
        <v>2224.7388000000001</v>
      </c>
      <c r="I28" s="2">
        <f t="shared" si="1"/>
        <v>144.21688588871999</v>
      </c>
      <c r="K28">
        <v>22.5</v>
      </c>
      <c r="L28">
        <v>2011.009</v>
      </c>
      <c r="M28">
        <v>2289.0050000000001</v>
      </c>
      <c r="N28">
        <v>2261.0210000000002</v>
      </c>
      <c r="O28">
        <v>2528.431</v>
      </c>
      <c r="P28">
        <v>2365.114</v>
      </c>
      <c r="R28" s="3">
        <f t="shared" si="2"/>
        <v>2290.9160000000002</v>
      </c>
      <c r="S28" s="3">
        <f t="shared" si="3"/>
        <v>84.013097200377032</v>
      </c>
    </row>
    <row r="29" spans="1:19" x14ac:dyDescent="0.25">
      <c r="A29">
        <v>23.75</v>
      </c>
      <c r="B29">
        <v>2431.277</v>
      </c>
      <c r="C29">
        <v>2229.415</v>
      </c>
      <c r="D29">
        <v>1671.384</v>
      </c>
      <c r="E29">
        <v>2358.8710000000001</v>
      </c>
      <c r="F29">
        <v>2451.3780000000002</v>
      </c>
      <c r="H29" s="2">
        <f t="shared" si="0"/>
        <v>2228.4650000000001</v>
      </c>
      <c r="I29" s="2">
        <f t="shared" si="1"/>
        <v>144.59750703418067</v>
      </c>
      <c r="K29">
        <v>23.75</v>
      </c>
      <c r="L29">
        <v>2002.578</v>
      </c>
      <c r="M29">
        <v>2283.982</v>
      </c>
      <c r="N29">
        <v>2268.2750000000001</v>
      </c>
      <c r="O29">
        <v>2539</v>
      </c>
      <c r="P29">
        <v>2367.5540000000001</v>
      </c>
      <c r="R29" s="3">
        <f t="shared" si="2"/>
        <v>2292.2777999999998</v>
      </c>
      <c r="S29" s="3">
        <f t="shared" si="3"/>
        <v>86.922171821923541</v>
      </c>
    </row>
    <row r="30" spans="1:19" x14ac:dyDescent="0.25">
      <c r="A30">
        <v>25</v>
      </c>
      <c r="B30">
        <v>2436.183</v>
      </c>
      <c r="C30">
        <v>2230.0259999999998</v>
      </c>
      <c r="D30">
        <v>1677.579</v>
      </c>
      <c r="E30">
        <v>2378.9839999999999</v>
      </c>
      <c r="F30">
        <v>2459.1660000000002</v>
      </c>
      <c r="H30" s="2">
        <f t="shared" si="0"/>
        <v>2236.3875999999996</v>
      </c>
      <c r="I30" s="2">
        <f t="shared" si="1"/>
        <v>145.29103070203709</v>
      </c>
      <c r="K30">
        <v>25</v>
      </c>
      <c r="L30">
        <v>2002.356</v>
      </c>
      <c r="M30">
        <v>2295.9960000000001</v>
      </c>
      <c r="N30">
        <v>2284.3229999999999</v>
      </c>
      <c r="O30">
        <v>2541.0880000000002</v>
      </c>
      <c r="P30">
        <v>2374.5509999999999</v>
      </c>
      <c r="R30" s="3">
        <f t="shared" si="2"/>
        <v>2299.6627999999996</v>
      </c>
      <c r="S30" s="3">
        <f t="shared" si="3"/>
        <v>87.331110695673644</v>
      </c>
    </row>
    <row r="31" spans="1:19" x14ac:dyDescent="0.25">
      <c r="A31">
        <v>26.25</v>
      </c>
      <c r="B31">
        <v>2474.799</v>
      </c>
      <c r="C31">
        <v>2258.9479999999999</v>
      </c>
      <c r="D31">
        <v>1703.5340000000001</v>
      </c>
      <c r="E31">
        <v>2421.0230000000001</v>
      </c>
      <c r="F31">
        <v>2487.7040000000002</v>
      </c>
      <c r="H31" s="2">
        <f t="shared" si="0"/>
        <v>2269.2015999999999</v>
      </c>
      <c r="I31" s="2">
        <f t="shared" si="1"/>
        <v>147.164584257423</v>
      </c>
      <c r="K31">
        <v>26.25</v>
      </c>
      <c r="L31">
        <v>2031.528</v>
      </c>
      <c r="M31">
        <v>2322.8290000000002</v>
      </c>
      <c r="N31">
        <v>2308.634</v>
      </c>
      <c r="O31">
        <v>2568.337</v>
      </c>
      <c r="P31">
        <v>2400.5970000000002</v>
      </c>
      <c r="R31" s="3">
        <f t="shared" si="2"/>
        <v>2326.3849999999998</v>
      </c>
      <c r="S31" s="3">
        <f t="shared" si="3"/>
        <v>86.981775342309504</v>
      </c>
    </row>
    <row r="32" spans="1:19" x14ac:dyDescent="0.25">
      <c r="A32">
        <v>27.5</v>
      </c>
      <c r="B32">
        <v>2518.9780000000001</v>
      </c>
      <c r="C32">
        <v>2281.2910000000002</v>
      </c>
      <c r="D32">
        <v>1729.6379999999999</v>
      </c>
      <c r="E32">
        <v>2458.0680000000002</v>
      </c>
      <c r="F32">
        <v>2510.252</v>
      </c>
      <c r="H32" s="2">
        <f t="shared" si="0"/>
        <v>2299.6454000000003</v>
      </c>
      <c r="I32" s="2">
        <f t="shared" si="1"/>
        <v>148.79599618793489</v>
      </c>
      <c r="K32">
        <v>27.5</v>
      </c>
      <c r="L32">
        <v>2070.9769999999999</v>
      </c>
      <c r="M32">
        <v>2359.471</v>
      </c>
      <c r="N32">
        <v>2337.3330000000001</v>
      </c>
      <c r="O32">
        <v>2603.1280000000002</v>
      </c>
      <c r="P32">
        <v>2442.2280000000001</v>
      </c>
      <c r="R32" s="3">
        <f t="shared" si="2"/>
        <v>2362.6274000000003</v>
      </c>
      <c r="S32" s="3">
        <f t="shared" si="3"/>
        <v>86.569775173902386</v>
      </c>
    </row>
    <row r="33" spans="1:19" x14ac:dyDescent="0.25">
      <c r="A33">
        <v>28.75</v>
      </c>
      <c r="B33">
        <v>2532.96</v>
      </c>
      <c r="C33">
        <v>2279.3519999999999</v>
      </c>
      <c r="D33">
        <v>1738.098</v>
      </c>
      <c r="E33">
        <v>2444.8969999999999</v>
      </c>
      <c r="F33">
        <v>2507.192</v>
      </c>
      <c r="H33" s="2">
        <f t="shared" si="0"/>
        <v>2300.4998000000001</v>
      </c>
      <c r="I33" s="2">
        <f t="shared" si="1"/>
        <v>147.36909031082536</v>
      </c>
      <c r="K33">
        <v>28.75</v>
      </c>
      <c r="L33">
        <v>2074.9639999999999</v>
      </c>
      <c r="M33">
        <v>2374.433</v>
      </c>
      <c r="N33">
        <v>2340.2620000000002</v>
      </c>
      <c r="O33">
        <v>2623.393</v>
      </c>
      <c r="P33">
        <v>2450.9560000000001</v>
      </c>
      <c r="R33" s="3">
        <f t="shared" si="2"/>
        <v>2372.8015999999998</v>
      </c>
      <c r="S33" s="3">
        <f t="shared" si="3"/>
        <v>89.071006225707364</v>
      </c>
    </row>
    <row r="34" spans="1:19" x14ac:dyDescent="0.25">
      <c r="A34">
        <v>30</v>
      </c>
      <c r="B34">
        <v>2533.1350000000002</v>
      </c>
      <c r="C34">
        <v>2281.953</v>
      </c>
      <c r="D34">
        <v>1746.2270000000001</v>
      </c>
      <c r="E34">
        <v>2463.1889999999999</v>
      </c>
      <c r="F34">
        <v>2531.576</v>
      </c>
      <c r="H34" s="2">
        <f t="shared" si="0"/>
        <v>2311.2159999999994</v>
      </c>
      <c r="I34" s="2">
        <f t="shared" si="1"/>
        <v>148.48758503322946</v>
      </c>
      <c r="K34">
        <v>30</v>
      </c>
      <c r="L34">
        <v>2082.5100000000002</v>
      </c>
      <c r="M34">
        <v>2389.125</v>
      </c>
      <c r="N34">
        <v>2364.5169999999998</v>
      </c>
      <c r="O34">
        <v>2644.7750000000001</v>
      </c>
      <c r="P34">
        <v>2457.5259999999998</v>
      </c>
      <c r="R34" s="3">
        <f t="shared" si="2"/>
        <v>2387.6905999999999</v>
      </c>
      <c r="S34" s="3">
        <f t="shared" si="3"/>
        <v>90.731373756049763</v>
      </c>
    </row>
    <row r="35" spans="1:19" x14ac:dyDescent="0.25">
      <c r="A35">
        <v>31.25</v>
      </c>
      <c r="B35">
        <v>2546.0259999999998</v>
      </c>
      <c r="C35">
        <v>2296.58</v>
      </c>
      <c r="D35">
        <v>1742.3979999999999</v>
      </c>
      <c r="E35">
        <v>2495.0990000000002</v>
      </c>
      <c r="F35">
        <v>2554.3270000000002</v>
      </c>
      <c r="H35" s="2">
        <f t="shared" si="0"/>
        <v>2326.886</v>
      </c>
      <c r="I35" s="2">
        <f t="shared" si="1"/>
        <v>153.39361740796124</v>
      </c>
      <c r="K35">
        <v>31.25</v>
      </c>
      <c r="L35">
        <v>2111.1129999999998</v>
      </c>
      <c r="M35">
        <v>2407.9589999999998</v>
      </c>
      <c r="N35">
        <v>2387.7730000000001</v>
      </c>
      <c r="O35">
        <v>2669.4859999999999</v>
      </c>
      <c r="P35">
        <v>2478.8939999999998</v>
      </c>
      <c r="R35" s="3">
        <f t="shared" si="2"/>
        <v>2411.0450000000001</v>
      </c>
      <c r="S35" s="3">
        <f t="shared" si="3"/>
        <v>89.973760421024977</v>
      </c>
    </row>
    <row r="36" spans="1:19" x14ac:dyDescent="0.25">
      <c r="A36">
        <v>32.5</v>
      </c>
      <c r="B36">
        <v>2563.7460000000001</v>
      </c>
      <c r="C36">
        <v>2290.52</v>
      </c>
      <c r="D36">
        <v>1738.838</v>
      </c>
      <c r="E36">
        <v>2477.7249999999999</v>
      </c>
      <c r="F36">
        <v>2545.9740000000002</v>
      </c>
      <c r="H36" s="2">
        <f t="shared" si="0"/>
        <v>2323.3606</v>
      </c>
      <c r="I36" s="2">
        <f t="shared" si="1"/>
        <v>153.93430567927382</v>
      </c>
      <c r="K36">
        <v>32.5</v>
      </c>
      <c r="L36">
        <v>2118.8069999999998</v>
      </c>
      <c r="M36">
        <v>2411.6410000000001</v>
      </c>
      <c r="N36">
        <v>2394.2420000000002</v>
      </c>
      <c r="O36">
        <v>2655.3739999999998</v>
      </c>
      <c r="P36">
        <v>2475.1219999999998</v>
      </c>
      <c r="R36" s="3">
        <f t="shared" si="2"/>
        <v>2411.0371999999998</v>
      </c>
      <c r="S36" s="3">
        <f t="shared" si="3"/>
        <v>86.454689443314749</v>
      </c>
    </row>
    <row r="37" spans="1:19" x14ac:dyDescent="0.25">
      <c r="A37">
        <v>33.75</v>
      </c>
      <c r="B37">
        <v>2567.7530000000002</v>
      </c>
      <c r="C37">
        <v>2280.7359999999999</v>
      </c>
      <c r="D37">
        <v>1735.1369999999999</v>
      </c>
      <c r="E37">
        <v>2461.92</v>
      </c>
      <c r="F37">
        <v>2548.547</v>
      </c>
      <c r="H37" s="2">
        <f t="shared" si="0"/>
        <v>2318.8185999999996</v>
      </c>
      <c r="I37" s="2">
        <f t="shared" si="1"/>
        <v>154.49206752341721</v>
      </c>
      <c r="K37">
        <v>33.75</v>
      </c>
      <c r="L37">
        <v>2116.5949999999998</v>
      </c>
      <c r="M37">
        <v>2419.489</v>
      </c>
      <c r="N37">
        <v>2391.8330000000001</v>
      </c>
      <c r="O37">
        <v>2657.09</v>
      </c>
      <c r="P37">
        <v>2477.2710000000002</v>
      </c>
      <c r="R37" s="3">
        <f t="shared" si="2"/>
        <v>2412.4556000000002</v>
      </c>
      <c r="S37" s="3">
        <f t="shared" si="3"/>
        <v>87.193830263155718</v>
      </c>
    </row>
    <row r="38" spans="1:19" x14ac:dyDescent="0.25">
      <c r="A38">
        <v>35</v>
      </c>
      <c r="B38">
        <v>2538.7869999999998</v>
      </c>
      <c r="C38">
        <v>2267.4499999999998</v>
      </c>
      <c r="D38">
        <v>1717.6</v>
      </c>
      <c r="E38">
        <v>2446.3980000000001</v>
      </c>
      <c r="F38">
        <v>2514.855</v>
      </c>
      <c r="H38" s="2">
        <f t="shared" si="0"/>
        <v>2297.018</v>
      </c>
      <c r="I38" s="2">
        <f t="shared" si="1"/>
        <v>152.44984055058873</v>
      </c>
      <c r="K38">
        <v>35</v>
      </c>
      <c r="L38">
        <v>2091.4029999999998</v>
      </c>
      <c r="M38">
        <v>2401.511</v>
      </c>
      <c r="N38">
        <v>2361.2370000000001</v>
      </c>
      <c r="O38">
        <v>2638.7240000000002</v>
      </c>
      <c r="P38">
        <v>2461.6660000000002</v>
      </c>
      <c r="R38" s="3">
        <f t="shared" si="2"/>
        <v>2390.9082000000003</v>
      </c>
      <c r="S38" s="3">
        <f t="shared" si="3"/>
        <v>88.632810317286058</v>
      </c>
    </row>
    <row r="39" spans="1:19" x14ac:dyDescent="0.25">
      <c r="A39">
        <v>36.25</v>
      </c>
      <c r="B39">
        <v>2416.4250000000002</v>
      </c>
      <c r="C39">
        <v>2166.625</v>
      </c>
      <c r="D39">
        <v>1635.864</v>
      </c>
      <c r="E39">
        <v>2335.0129999999999</v>
      </c>
      <c r="F39">
        <v>2393.8969999999999</v>
      </c>
      <c r="H39" s="2">
        <f t="shared" si="0"/>
        <v>2189.5648000000001</v>
      </c>
      <c r="I39" s="2">
        <f t="shared" si="1"/>
        <v>145.16941611937349</v>
      </c>
      <c r="K39">
        <v>36.25</v>
      </c>
      <c r="L39">
        <v>1996.819</v>
      </c>
      <c r="M39">
        <v>2286.4459999999999</v>
      </c>
      <c r="N39">
        <v>2246.6329999999998</v>
      </c>
      <c r="O39">
        <v>2509.9029999999998</v>
      </c>
      <c r="P39">
        <v>2350.4520000000002</v>
      </c>
      <c r="R39" s="3">
        <f t="shared" si="2"/>
        <v>2278.0506</v>
      </c>
      <c r="S39" s="3">
        <f t="shared" si="3"/>
        <v>83.410508713590744</v>
      </c>
    </row>
    <row r="40" spans="1:19" x14ac:dyDescent="0.25">
      <c r="A40">
        <v>37.5</v>
      </c>
      <c r="B40">
        <v>2247.7689999999998</v>
      </c>
      <c r="C40">
        <v>2004.0909999999999</v>
      </c>
      <c r="D40">
        <v>1518.652</v>
      </c>
      <c r="E40">
        <v>2164.73</v>
      </c>
      <c r="F40">
        <v>2223.9859999999999</v>
      </c>
      <c r="H40" s="2">
        <f t="shared" si="0"/>
        <v>2031.8455999999999</v>
      </c>
      <c r="I40" s="2">
        <f t="shared" si="1"/>
        <v>135.15492973717295</v>
      </c>
      <c r="K40">
        <v>37.5</v>
      </c>
      <c r="L40">
        <v>1857.0039999999999</v>
      </c>
      <c r="M40">
        <v>2110.2260000000001</v>
      </c>
      <c r="N40">
        <v>2075.7220000000002</v>
      </c>
      <c r="O40">
        <v>2312.9319999999998</v>
      </c>
      <c r="P40">
        <v>2170.0639999999999</v>
      </c>
      <c r="R40" s="3">
        <f t="shared" si="2"/>
        <v>2105.1896000000002</v>
      </c>
      <c r="S40" s="3">
        <f t="shared" si="3"/>
        <v>74.113220600375996</v>
      </c>
    </row>
    <row r="41" spans="1:19" x14ac:dyDescent="0.25">
      <c r="A41">
        <v>38.75</v>
      </c>
      <c r="B41">
        <v>2098.1640000000002</v>
      </c>
      <c r="C41">
        <v>1857.3969999999999</v>
      </c>
      <c r="D41">
        <v>1417.4949999999999</v>
      </c>
      <c r="E41">
        <v>2019.3340000000001</v>
      </c>
      <c r="F41">
        <v>2073.2240000000002</v>
      </c>
      <c r="H41" s="2">
        <f t="shared" si="0"/>
        <v>1893.1228000000003</v>
      </c>
      <c r="I41" s="2">
        <f t="shared" si="1"/>
        <v>126.07651245628576</v>
      </c>
      <c r="K41">
        <v>38.75</v>
      </c>
      <c r="L41">
        <v>1736.4849999999999</v>
      </c>
      <c r="M41">
        <v>1957.499</v>
      </c>
      <c r="N41">
        <v>1941.1120000000001</v>
      </c>
      <c r="O41">
        <v>2158.2089999999998</v>
      </c>
      <c r="P41">
        <v>2005.8009999999999</v>
      </c>
      <c r="R41" s="3">
        <f t="shared" si="2"/>
        <v>1959.8211999999999</v>
      </c>
      <c r="S41" s="3">
        <f t="shared" si="3"/>
        <v>67.714971093843033</v>
      </c>
    </row>
    <row r="42" spans="1:19" x14ac:dyDescent="0.25">
      <c r="A42">
        <v>40</v>
      </c>
      <c r="B42">
        <v>2003.8630000000001</v>
      </c>
      <c r="C42">
        <v>1771.662</v>
      </c>
      <c r="D42">
        <v>1346.9749999999999</v>
      </c>
      <c r="E42">
        <v>1921.8230000000001</v>
      </c>
      <c r="F42">
        <v>1989.1869999999999</v>
      </c>
      <c r="H42" s="2">
        <f t="shared" si="0"/>
        <v>1806.702</v>
      </c>
      <c r="I42" s="2">
        <f t="shared" si="1"/>
        <v>122.06612878190255</v>
      </c>
      <c r="K42">
        <v>40</v>
      </c>
      <c r="L42">
        <v>1656.8869999999999</v>
      </c>
      <c r="M42">
        <v>1868.258</v>
      </c>
      <c r="N42">
        <v>1848.4</v>
      </c>
      <c r="O42">
        <v>2054.4679999999998</v>
      </c>
      <c r="P42">
        <v>1914.0640000000001</v>
      </c>
      <c r="R42" s="3">
        <f t="shared" si="2"/>
        <v>1868.4153999999999</v>
      </c>
      <c r="S42" s="3">
        <f t="shared" si="3"/>
        <v>63.970410998836002</v>
      </c>
    </row>
    <row r="43" spans="1:19" x14ac:dyDescent="0.25">
      <c r="A43">
        <v>41.25</v>
      </c>
      <c r="B43">
        <v>1963.183</v>
      </c>
      <c r="C43">
        <v>1729.0440000000001</v>
      </c>
      <c r="D43">
        <v>1308.2080000000001</v>
      </c>
      <c r="E43">
        <v>1867.586</v>
      </c>
      <c r="F43">
        <v>1937.6990000000001</v>
      </c>
      <c r="H43" s="2">
        <f t="shared" si="0"/>
        <v>1761.1439999999998</v>
      </c>
      <c r="I43" s="2">
        <f t="shared" si="1"/>
        <v>120.31266662450884</v>
      </c>
      <c r="K43">
        <v>41.25</v>
      </c>
      <c r="L43">
        <v>1610.114</v>
      </c>
      <c r="M43">
        <v>1821.547</v>
      </c>
      <c r="N43">
        <v>1807.7629999999999</v>
      </c>
      <c r="O43">
        <v>2009.415</v>
      </c>
      <c r="P43">
        <v>1880.3240000000001</v>
      </c>
      <c r="R43" s="3">
        <f t="shared" si="2"/>
        <v>1825.8326000000002</v>
      </c>
      <c r="S43" s="3">
        <f t="shared" si="3"/>
        <v>64.634047320742638</v>
      </c>
    </row>
    <row r="44" spans="1:19" x14ac:dyDescent="0.25">
      <c r="A44">
        <v>42.5</v>
      </c>
      <c r="B44">
        <v>1945.7840000000001</v>
      </c>
      <c r="C44">
        <v>1700.827</v>
      </c>
      <c r="D44">
        <v>1298.0940000000001</v>
      </c>
      <c r="E44">
        <v>1850.153</v>
      </c>
      <c r="F44">
        <v>1915.69</v>
      </c>
      <c r="H44" s="2">
        <f t="shared" si="0"/>
        <v>1742.1096000000002</v>
      </c>
      <c r="I44" s="2">
        <f t="shared" si="1"/>
        <v>118.77308172923686</v>
      </c>
      <c r="K44">
        <v>42.5</v>
      </c>
      <c r="L44">
        <v>1594.7429999999999</v>
      </c>
      <c r="M44">
        <v>1800.761</v>
      </c>
      <c r="N44">
        <v>1793.67</v>
      </c>
      <c r="O44">
        <v>2004.19</v>
      </c>
      <c r="P44">
        <v>1874.2439999999999</v>
      </c>
      <c r="R44" s="3">
        <f t="shared" si="2"/>
        <v>1813.5216</v>
      </c>
      <c r="S44" s="3">
        <f t="shared" si="3"/>
        <v>66.506632516313758</v>
      </c>
    </row>
    <row r="45" spans="1:19" x14ac:dyDescent="0.25">
      <c r="A45">
        <v>43.75</v>
      </c>
      <c r="B45">
        <v>1947.5909999999999</v>
      </c>
      <c r="C45">
        <v>1693.9649999999999</v>
      </c>
      <c r="D45">
        <v>1295.7139999999999</v>
      </c>
      <c r="E45">
        <v>1848.443</v>
      </c>
      <c r="F45">
        <v>1906.854</v>
      </c>
      <c r="H45" s="2">
        <f t="shared" si="0"/>
        <v>1738.5133999999998</v>
      </c>
      <c r="I45" s="2">
        <f t="shared" si="1"/>
        <v>118.7839185178707</v>
      </c>
      <c r="K45">
        <v>43.75</v>
      </c>
      <c r="L45">
        <v>1601.86</v>
      </c>
      <c r="M45">
        <v>1798.348</v>
      </c>
      <c r="N45">
        <v>1793.4870000000001</v>
      </c>
      <c r="O45">
        <v>2002.9469999999999</v>
      </c>
      <c r="P45">
        <v>1874.846</v>
      </c>
      <c r="R45" s="3">
        <f t="shared" si="2"/>
        <v>1814.2975999999999</v>
      </c>
      <c r="S45" s="3">
        <f t="shared" si="3"/>
        <v>65.219594283160021</v>
      </c>
    </row>
    <row r="46" spans="1:19" x14ac:dyDescent="0.25">
      <c r="A46">
        <v>45</v>
      </c>
      <c r="B46">
        <v>1976.1420000000001</v>
      </c>
      <c r="C46">
        <v>1718.558</v>
      </c>
      <c r="D46">
        <v>1303.0730000000001</v>
      </c>
      <c r="E46">
        <v>1866.097</v>
      </c>
      <c r="F46">
        <v>1913.9659999999999</v>
      </c>
      <c r="H46" s="2">
        <f t="shared" si="0"/>
        <v>1755.5672</v>
      </c>
      <c r="I46" s="2">
        <f t="shared" si="1"/>
        <v>120.84720535510982</v>
      </c>
      <c r="K46">
        <v>45</v>
      </c>
      <c r="L46">
        <v>1618.5830000000001</v>
      </c>
      <c r="M46">
        <v>1819.9390000000001</v>
      </c>
      <c r="N46">
        <v>1817.059</v>
      </c>
      <c r="O46">
        <v>2018.9390000000001</v>
      </c>
      <c r="P46">
        <v>1895.886</v>
      </c>
      <c r="R46" s="3">
        <f t="shared" si="2"/>
        <v>1834.0812000000001</v>
      </c>
      <c r="S46" s="3">
        <f t="shared" si="3"/>
        <v>65.161902535453933</v>
      </c>
    </row>
    <row r="47" spans="1:19" x14ac:dyDescent="0.25">
      <c r="A47">
        <v>46.25</v>
      </c>
      <c r="B47">
        <v>2040.441</v>
      </c>
      <c r="C47">
        <v>1764.1969999999999</v>
      </c>
      <c r="D47">
        <v>1331.59</v>
      </c>
      <c r="E47">
        <v>1909.366</v>
      </c>
      <c r="F47">
        <v>1964.5250000000001</v>
      </c>
      <c r="H47" s="2">
        <f t="shared" si="0"/>
        <v>1802.0238000000002</v>
      </c>
      <c r="I47" s="2">
        <f t="shared" si="1"/>
        <v>125.99813017239543</v>
      </c>
      <c r="K47">
        <v>46.25</v>
      </c>
      <c r="L47">
        <v>1654.1320000000001</v>
      </c>
      <c r="M47">
        <v>1868.7919999999999</v>
      </c>
      <c r="N47">
        <v>1878.039</v>
      </c>
      <c r="O47">
        <v>2074.8510000000001</v>
      </c>
      <c r="P47">
        <v>1956.6030000000001</v>
      </c>
      <c r="R47" s="3">
        <f t="shared" si="2"/>
        <v>1886.4834000000003</v>
      </c>
      <c r="S47" s="3">
        <f t="shared" si="3"/>
        <v>68.836973219774862</v>
      </c>
    </row>
    <row r="48" spans="1:19" x14ac:dyDescent="0.25">
      <c r="A48">
        <v>47.5</v>
      </c>
      <c r="B48">
        <v>2126.1999999999998</v>
      </c>
      <c r="C48">
        <v>1820.595</v>
      </c>
      <c r="D48">
        <v>1373.221</v>
      </c>
      <c r="E48">
        <v>1979.3810000000001</v>
      </c>
      <c r="F48">
        <v>2039.617</v>
      </c>
      <c r="H48" s="2">
        <f t="shared" si="0"/>
        <v>1867.8027999999999</v>
      </c>
      <c r="I48" s="2">
        <f t="shared" si="1"/>
        <v>133.33766539819197</v>
      </c>
      <c r="K48">
        <v>47.5</v>
      </c>
      <c r="L48">
        <v>1714.24</v>
      </c>
      <c r="M48">
        <v>1943.011</v>
      </c>
      <c r="N48">
        <v>1958.4290000000001</v>
      </c>
      <c r="O48">
        <v>2165.239</v>
      </c>
      <c r="P48">
        <v>2040.2080000000001</v>
      </c>
      <c r="R48" s="3">
        <f t="shared" si="2"/>
        <v>1964.2254</v>
      </c>
      <c r="S48" s="3">
        <f t="shared" si="3"/>
        <v>73.87698292472426</v>
      </c>
    </row>
    <row r="49" spans="1:19" x14ac:dyDescent="0.25">
      <c r="A49">
        <v>48.75</v>
      </c>
      <c r="B49">
        <v>2204.8200000000002</v>
      </c>
      <c r="C49">
        <v>1887.184</v>
      </c>
      <c r="D49">
        <v>1415.028</v>
      </c>
      <c r="E49">
        <v>2054.2449999999999</v>
      </c>
      <c r="F49">
        <v>2110.0369999999998</v>
      </c>
      <c r="H49" s="2">
        <f t="shared" si="0"/>
        <v>1934.2628</v>
      </c>
      <c r="I49" s="2">
        <f t="shared" si="1"/>
        <v>139.69872710851757</v>
      </c>
      <c r="K49">
        <v>48.75</v>
      </c>
      <c r="L49">
        <v>1788.386</v>
      </c>
      <c r="M49">
        <v>2014.84</v>
      </c>
      <c r="N49">
        <v>2036.634</v>
      </c>
      <c r="O49">
        <v>2247.348</v>
      </c>
      <c r="P49">
        <v>2120.248</v>
      </c>
      <c r="R49" s="3">
        <f t="shared" si="2"/>
        <v>2041.4911999999999</v>
      </c>
      <c r="S49" s="3">
        <f t="shared" si="3"/>
        <v>75.291359654611099</v>
      </c>
    </row>
    <row r="50" spans="1:19" x14ac:dyDescent="0.25">
      <c r="A50">
        <v>50</v>
      </c>
      <c r="B50">
        <v>2276.038</v>
      </c>
      <c r="C50">
        <v>1953.819</v>
      </c>
      <c r="D50">
        <v>1459.2349999999999</v>
      </c>
      <c r="E50">
        <v>2133.9839999999999</v>
      </c>
      <c r="F50">
        <v>2173.1590000000001</v>
      </c>
      <c r="H50" s="2">
        <f t="shared" si="0"/>
        <v>1999.2469999999998</v>
      </c>
      <c r="I50" s="2">
        <f t="shared" si="1"/>
        <v>144.68748458695447</v>
      </c>
      <c r="K50">
        <v>50</v>
      </c>
      <c r="L50">
        <v>1858.0630000000001</v>
      </c>
      <c r="M50">
        <v>2072.1320000000001</v>
      </c>
      <c r="N50">
        <v>2095.5239999999999</v>
      </c>
      <c r="O50">
        <v>2310.84</v>
      </c>
      <c r="P50">
        <v>2185.3490000000002</v>
      </c>
      <c r="R50" s="3">
        <f t="shared" si="2"/>
        <v>2104.3816000000002</v>
      </c>
      <c r="S50" s="3">
        <f t="shared" si="3"/>
        <v>74.488971424365914</v>
      </c>
    </row>
    <row r="51" spans="1:19" x14ac:dyDescent="0.25">
      <c r="A51">
        <v>51.25</v>
      </c>
      <c r="B51">
        <v>2345.518</v>
      </c>
      <c r="C51">
        <v>2015.82</v>
      </c>
      <c r="D51">
        <v>1516.5050000000001</v>
      </c>
      <c r="E51">
        <v>2209.3290000000002</v>
      </c>
      <c r="F51">
        <v>2243.2429999999999</v>
      </c>
      <c r="H51" s="2">
        <f t="shared" si="0"/>
        <v>2066.0830000000001</v>
      </c>
      <c r="I51" s="2">
        <f t="shared" si="1"/>
        <v>147.40273888126958</v>
      </c>
      <c r="K51">
        <v>51.25</v>
      </c>
      <c r="L51">
        <v>1910.9639999999999</v>
      </c>
      <c r="M51">
        <v>2126.2570000000001</v>
      </c>
      <c r="N51">
        <v>2146</v>
      </c>
      <c r="O51">
        <v>2360.3130000000001</v>
      </c>
      <c r="P51">
        <v>2228.605</v>
      </c>
      <c r="R51" s="3">
        <f t="shared" si="2"/>
        <v>2154.4277999999999</v>
      </c>
      <c r="S51" s="3">
        <f t="shared" si="3"/>
        <v>73.494971350018247</v>
      </c>
    </row>
    <row r="52" spans="1:19" x14ac:dyDescent="0.25">
      <c r="A52">
        <v>52.5</v>
      </c>
      <c r="B52">
        <v>2400.4389999999999</v>
      </c>
      <c r="C52">
        <v>2054.451</v>
      </c>
      <c r="D52">
        <v>1560.643</v>
      </c>
      <c r="E52">
        <v>2259.4430000000002</v>
      </c>
      <c r="F52">
        <v>2305.0259999999998</v>
      </c>
      <c r="H52" s="2">
        <f t="shared" si="0"/>
        <v>2116.0003999999999</v>
      </c>
      <c r="I52" s="2">
        <f t="shared" si="1"/>
        <v>149.90362645633439</v>
      </c>
      <c r="K52">
        <v>52.5</v>
      </c>
      <c r="L52">
        <v>1943.635</v>
      </c>
      <c r="M52">
        <v>2163.009</v>
      </c>
      <c r="N52">
        <v>2178.6909999999998</v>
      </c>
      <c r="O52">
        <v>2399.56</v>
      </c>
      <c r="P52">
        <v>2272.0619999999999</v>
      </c>
      <c r="R52" s="3">
        <f t="shared" si="2"/>
        <v>2191.3914</v>
      </c>
      <c r="S52" s="3">
        <f t="shared" si="3"/>
        <v>74.89726505727694</v>
      </c>
    </row>
    <row r="53" spans="1:19" x14ac:dyDescent="0.25">
      <c r="A53">
        <v>53.75</v>
      </c>
      <c r="B53">
        <v>2421.6439999999998</v>
      </c>
      <c r="C53">
        <v>2059.3910000000001</v>
      </c>
      <c r="D53">
        <v>1549.509</v>
      </c>
      <c r="E53">
        <v>2286.9450000000002</v>
      </c>
      <c r="F53">
        <v>2305.98</v>
      </c>
      <c r="H53" s="2">
        <f t="shared" si="0"/>
        <v>2124.6938</v>
      </c>
      <c r="I53" s="2">
        <f t="shared" si="1"/>
        <v>155.31766952455925</v>
      </c>
      <c r="K53">
        <v>53.75</v>
      </c>
      <c r="L53">
        <v>1951.114</v>
      </c>
      <c r="M53">
        <v>2171.6030000000001</v>
      </c>
      <c r="N53">
        <v>2191.7669999999998</v>
      </c>
      <c r="O53">
        <v>2431.645</v>
      </c>
      <c r="P53">
        <v>2283.2179999999998</v>
      </c>
      <c r="R53" s="3">
        <f t="shared" si="2"/>
        <v>2205.8694000000005</v>
      </c>
      <c r="S53" s="3">
        <f t="shared" si="3"/>
        <v>78.49547922052578</v>
      </c>
    </row>
    <row r="54" spans="1:19" x14ac:dyDescent="0.25">
      <c r="A54">
        <v>55</v>
      </c>
      <c r="B54">
        <v>2404.2719999999999</v>
      </c>
      <c r="C54">
        <v>2037.239</v>
      </c>
      <c r="D54">
        <v>1488.85</v>
      </c>
      <c r="E54">
        <v>2276.884</v>
      </c>
      <c r="F54">
        <v>2244.9699999999998</v>
      </c>
      <c r="H54" s="2">
        <f t="shared" si="0"/>
        <v>2090.4430000000002</v>
      </c>
      <c r="I54" s="2">
        <f t="shared" si="1"/>
        <v>161.53517956098642</v>
      </c>
      <c r="K54">
        <v>55</v>
      </c>
      <c r="L54">
        <v>1940.8589999999999</v>
      </c>
      <c r="M54">
        <v>2138.5540000000001</v>
      </c>
      <c r="N54">
        <v>2148.636</v>
      </c>
      <c r="O54">
        <v>2412.5810000000001</v>
      </c>
      <c r="P54">
        <v>2271.7350000000001</v>
      </c>
      <c r="R54" s="3">
        <f t="shared" si="2"/>
        <v>2182.4730000000004</v>
      </c>
      <c r="S54" s="3">
        <f t="shared" si="3"/>
        <v>78.220375361538672</v>
      </c>
    </row>
    <row r="55" spans="1:19" x14ac:dyDescent="0.25">
      <c r="A55">
        <v>56.25</v>
      </c>
      <c r="B55">
        <v>2339.4850000000001</v>
      </c>
      <c r="C55">
        <v>1997.479</v>
      </c>
      <c r="D55">
        <v>1392.2560000000001</v>
      </c>
      <c r="E55">
        <v>2208.1529999999998</v>
      </c>
      <c r="F55">
        <v>2118.7399999999998</v>
      </c>
      <c r="H55" s="2">
        <f t="shared" si="0"/>
        <v>2011.2225999999998</v>
      </c>
      <c r="I55" s="2">
        <f t="shared" si="1"/>
        <v>164.53059220965602</v>
      </c>
      <c r="K55">
        <v>56.25</v>
      </c>
      <c r="L55">
        <v>1900.9659999999999</v>
      </c>
      <c r="M55">
        <v>2077.4369999999999</v>
      </c>
      <c r="N55">
        <v>2042.2159999999999</v>
      </c>
      <c r="O55">
        <v>2332.8049999999998</v>
      </c>
      <c r="P55">
        <v>2192.0569999999998</v>
      </c>
      <c r="R55" s="3">
        <f t="shared" si="2"/>
        <v>2109.0962</v>
      </c>
      <c r="S55" s="3">
        <f t="shared" si="3"/>
        <v>72.70542200647759</v>
      </c>
    </row>
    <row r="56" spans="1:19" x14ac:dyDescent="0.25">
      <c r="A56">
        <v>57.5</v>
      </c>
      <c r="B56">
        <v>2250.3449999999998</v>
      </c>
      <c r="C56">
        <v>1925.921</v>
      </c>
      <c r="D56">
        <v>1286.9860000000001</v>
      </c>
      <c r="E56">
        <v>2128.3910000000001</v>
      </c>
      <c r="F56">
        <v>1953.643</v>
      </c>
      <c r="H56" s="2">
        <f t="shared" si="0"/>
        <v>1909.0572</v>
      </c>
      <c r="I56" s="2">
        <f t="shared" si="1"/>
        <v>166.40756254341287</v>
      </c>
      <c r="K56">
        <v>57.5</v>
      </c>
      <c r="L56">
        <v>1829.1389999999999</v>
      </c>
      <c r="M56">
        <v>1984.364</v>
      </c>
      <c r="N56">
        <v>1914.1880000000001</v>
      </c>
      <c r="O56">
        <v>2233.596</v>
      </c>
      <c r="P56">
        <v>2087.4549999999999</v>
      </c>
      <c r="R56" s="3">
        <f t="shared" si="2"/>
        <v>2009.7483999999999</v>
      </c>
      <c r="S56" s="3">
        <f t="shared" si="3"/>
        <v>70.193296292879694</v>
      </c>
    </row>
    <row r="57" spans="1:19" x14ac:dyDescent="0.25">
      <c r="A57">
        <v>58.75</v>
      </c>
      <c r="B57">
        <v>2161.9070000000002</v>
      </c>
      <c r="C57">
        <v>1833.951</v>
      </c>
      <c r="D57">
        <v>1165.336</v>
      </c>
      <c r="E57">
        <v>2033.0250000000001</v>
      </c>
      <c r="F57">
        <v>1787.893</v>
      </c>
      <c r="H57" s="2">
        <f t="shared" si="0"/>
        <v>1796.4224000000002</v>
      </c>
      <c r="I57" s="2">
        <f t="shared" si="1"/>
        <v>171.65531945022821</v>
      </c>
      <c r="K57">
        <v>58.75</v>
      </c>
      <c r="L57">
        <v>1739.9639999999999</v>
      </c>
      <c r="M57">
        <v>1884.559</v>
      </c>
      <c r="N57">
        <v>1797.171</v>
      </c>
      <c r="O57">
        <v>2133.2220000000002</v>
      </c>
      <c r="P57">
        <v>1990.335</v>
      </c>
      <c r="R57" s="3">
        <f t="shared" si="2"/>
        <v>1909.0502000000001</v>
      </c>
      <c r="S57" s="3">
        <f t="shared" si="3"/>
        <v>70.202254923470974</v>
      </c>
    </row>
    <row r="58" spans="1:19" x14ac:dyDescent="0.25">
      <c r="A58">
        <v>60</v>
      </c>
      <c r="B58">
        <v>2093.5100000000002</v>
      </c>
      <c r="C58">
        <v>1742.2929999999999</v>
      </c>
      <c r="D58">
        <v>1087.3689999999999</v>
      </c>
      <c r="E58">
        <v>1947.335</v>
      </c>
      <c r="F58">
        <v>1694.481</v>
      </c>
      <c r="H58" s="2">
        <f t="shared" si="0"/>
        <v>1712.9975999999999</v>
      </c>
      <c r="I58" s="2">
        <f t="shared" si="1"/>
        <v>172.09240739602711</v>
      </c>
      <c r="K58">
        <v>60</v>
      </c>
      <c r="L58">
        <v>1670.5709999999999</v>
      </c>
      <c r="M58">
        <v>1803.2729999999999</v>
      </c>
      <c r="N58">
        <v>1707.6079999999999</v>
      </c>
      <c r="O58">
        <v>2039.319</v>
      </c>
      <c r="P58">
        <v>1902.9880000000001</v>
      </c>
      <c r="R58" s="3">
        <f t="shared" si="2"/>
        <v>1824.7518</v>
      </c>
      <c r="S58" s="3">
        <f t="shared" si="3"/>
        <v>67.125149580019567</v>
      </c>
    </row>
    <row r="59" spans="1:19" x14ac:dyDescent="0.25">
      <c r="A59">
        <v>61.25</v>
      </c>
      <c r="B59">
        <v>2016.9690000000001</v>
      </c>
      <c r="C59">
        <v>1677.7529999999999</v>
      </c>
      <c r="D59">
        <v>1046.95</v>
      </c>
      <c r="E59">
        <v>1856.259</v>
      </c>
      <c r="F59">
        <v>1631.5530000000001</v>
      </c>
      <c r="H59" s="2">
        <f t="shared" si="0"/>
        <v>1645.8968</v>
      </c>
      <c r="I59" s="2">
        <f t="shared" si="1"/>
        <v>164.60629758742522</v>
      </c>
      <c r="K59">
        <v>61.25</v>
      </c>
      <c r="L59">
        <v>1608.587</v>
      </c>
      <c r="M59">
        <v>1730.9659999999999</v>
      </c>
      <c r="N59">
        <v>1635.0909999999999</v>
      </c>
      <c r="O59">
        <v>1959.202</v>
      </c>
      <c r="P59">
        <v>1827.652</v>
      </c>
      <c r="R59" s="3">
        <f t="shared" si="2"/>
        <v>1752.2995999999998</v>
      </c>
      <c r="S59" s="3">
        <f t="shared" si="3"/>
        <v>64.549545743250604</v>
      </c>
    </row>
    <row r="60" spans="1:19" x14ac:dyDescent="0.25">
      <c r="A60">
        <v>62.5</v>
      </c>
      <c r="B60">
        <v>1924.3579999999999</v>
      </c>
      <c r="C60">
        <v>1616.5129999999999</v>
      </c>
      <c r="D60">
        <v>1022.603</v>
      </c>
      <c r="E60">
        <v>1781.9829999999999</v>
      </c>
      <c r="F60">
        <v>1582.999</v>
      </c>
      <c r="H60" s="2">
        <f t="shared" si="0"/>
        <v>1585.6912</v>
      </c>
      <c r="I60" s="2">
        <f t="shared" si="1"/>
        <v>153.50101374987679</v>
      </c>
      <c r="K60">
        <v>62.5</v>
      </c>
      <c r="L60">
        <v>1547.3430000000001</v>
      </c>
      <c r="M60">
        <v>1657.2149999999999</v>
      </c>
      <c r="N60">
        <v>1585.8989999999999</v>
      </c>
      <c r="O60">
        <v>1890.7829999999999</v>
      </c>
      <c r="P60">
        <v>1762.1980000000001</v>
      </c>
      <c r="R60" s="3">
        <f t="shared" si="2"/>
        <v>1688.6876</v>
      </c>
      <c r="S60" s="3">
        <f t="shared" si="3"/>
        <v>62.362106442614653</v>
      </c>
    </row>
    <row r="61" spans="1:19" x14ac:dyDescent="0.25">
      <c r="A61">
        <v>63.75</v>
      </c>
      <c r="B61">
        <v>1847.278</v>
      </c>
      <c r="C61">
        <v>1557.3240000000001</v>
      </c>
      <c r="D61">
        <v>1004.522</v>
      </c>
      <c r="E61">
        <v>1713.9929999999999</v>
      </c>
      <c r="F61">
        <v>1542.7809999999999</v>
      </c>
      <c r="H61" s="2">
        <f t="shared" si="0"/>
        <v>1533.1795999999999</v>
      </c>
      <c r="I61" s="2">
        <f t="shared" si="1"/>
        <v>143.44080442349693</v>
      </c>
      <c r="K61">
        <v>63.75</v>
      </c>
      <c r="L61">
        <v>1486.6289999999999</v>
      </c>
      <c r="M61">
        <v>1598.4639999999999</v>
      </c>
      <c r="N61">
        <v>1546.7619999999999</v>
      </c>
      <c r="O61">
        <v>1820.2940000000001</v>
      </c>
      <c r="P61">
        <v>1701.201</v>
      </c>
      <c r="R61" s="3">
        <f t="shared" si="2"/>
        <v>1630.6699999999998</v>
      </c>
      <c r="S61" s="3">
        <f t="shared" si="3"/>
        <v>59.058222085497995</v>
      </c>
    </row>
    <row r="62" spans="1:19" x14ac:dyDescent="0.25">
      <c r="A62">
        <v>65</v>
      </c>
      <c r="B62">
        <v>1765.1569999999999</v>
      </c>
      <c r="C62">
        <v>1487.2239999999999</v>
      </c>
      <c r="D62">
        <v>990.00400000000002</v>
      </c>
      <c r="E62">
        <v>1637</v>
      </c>
      <c r="F62">
        <v>1504.663</v>
      </c>
      <c r="H62" s="2">
        <f t="shared" si="0"/>
        <v>1476.8096</v>
      </c>
      <c r="I62" s="2">
        <f t="shared" si="1"/>
        <v>131.65658949501889</v>
      </c>
      <c r="K62">
        <v>65</v>
      </c>
      <c r="L62">
        <v>1431.7829999999999</v>
      </c>
      <c r="M62">
        <v>1542.5060000000001</v>
      </c>
      <c r="N62">
        <v>1486.0640000000001</v>
      </c>
      <c r="O62">
        <v>1745.376</v>
      </c>
      <c r="P62">
        <v>1649.13</v>
      </c>
      <c r="R62" s="3">
        <f t="shared" si="2"/>
        <v>1570.9718</v>
      </c>
      <c r="S62" s="3">
        <f t="shared" si="3"/>
        <v>56.532595695227023</v>
      </c>
    </row>
    <row r="63" spans="1:19" x14ac:dyDescent="0.25">
      <c r="A63">
        <v>66.25</v>
      </c>
      <c r="B63">
        <v>1691.2840000000001</v>
      </c>
      <c r="C63">
        <v>1402.1220000000001</v>
      </c>
      <c r="D63">
        <v>976.16099999999994</v>
      </c>
      <c r="E63">
        <v>1549.0930000000001</v>
      </c>
      <c r="F63">
        <v>1478.2570000000001</v>
      </c>
      <c r="H63" s="2">
        <f t="shared" si="0"/>
        <v>1419.3833999999999</v>
      </c>
      <c r="I63" s="2">
        <f t="shared" si="1"/>
        <v>120.61605804808943</v>
      </c>
      <c r="K63">
        <v>66.25</v>
      </c>
      <c r="L63">
        <v>1375.046</v>
      </c>
      <c r="M63">
        <v>1474.67</v>
      </c>
      <c r="N63">
        <v>1446.279</v>
      </c>
      <c r="O63">
        <v>1669.4359999999999</v>
      </c>
      <c r="P63">
        <v>1589.989</v>
      </c>
      <c r="R63" s="3">
        <f t="shared" si="2"/>
        <v>1511.0840000000001</v>
      </c>
      <c r="S63" s="3">
        <f t="shared" si="3"/>
        <v>52.599125370104758</v>
      </c>
    </row>
    <row r="64" spans="1:19" x14ac:dyDescent="0.25">
      <c r="A64">
        <v>67.5</v>
      </c>
      <c r="B64">
        <v>1628.3520000000001</v>
      </c>
      <c r="C64">
        <v>1350.423</v>
      </c>
      <c r="D64">
        <v>965.84500000000003</v>
      </c>
      <c r="E64">
        <v>1481.09</v>
      </c>
      <c r="F64">
        <v>1457.249</v>
      </c>
      <c r="H64" s="2">
        <f t="shared" si="0"/>
        <v>1376.5917999999999</v>
      </c>
      <c r="I64" s="2">
        <f t="shared" si="1"/>
        <v>111.84954086244625</v>
      </c>
      <c r="K64">
        <v>67.5</v>
      </c>
      <c r="L64">
        <v>1319.2529999999999</v>
      </c>
      <c r="M64">
        <v>1427.7639999999999</v>
      </c>
      <c r="N64">
        <v>1432.7049999999999</v>
      </c>
      <c r="O64">
        <v>1611.1179999999999</v>
      </c>
      <c r="P64">
        <v>1526.8720000000001</v>
      </c>
      <c r="R64" s="3">
        <f t="shared" si="2"/>
        <v>1463.5424</v>
      </c>
      <c r="S64" s="3">
        <f t="shared" si="3"/>
        <v>49.416427455452514</v>
      </c>
    </row>
    <row r="65" spans="1:19" x14ac:dyDescent="0.25">
      <c r="A65">
        <v>68.75</v>
      </c>
      <c r="B65">
        <v>1575.57</v>
      </c>
      <c r="C65">
        <v>1311.414</v>
      </c>
      <c r="D65">
        <v>971.42600000000004</v>
      </c>
      <c r="E65">
        <v>1432.672</v>
      </c>
      <c r="F65">
        <v>1471.05</v>
      </c>
      <c r="H65" s="2">
        <f t="shared" si="0"/>
        <v>1352.4264000000001</v>
      </c>
      <c r="I65" s="2">
        <f t="shared" si="1"/>
        <v>104.19868107879236</v>
      </c>
      <c r="K65">
        <v>68.75</v>
      </c>
      <c r="L65">
        <v>1285.2059999999999</v>
      </c>
      <c r="M65">
        <v>1398.356</v>
      </c>
      <c r="N65">
        <v>1425.4359999999999</v>
      </c>
      <c r="O65">
        <v>1564.1679999999999</v>
      </c>
      <c r="P65">
        <v>1477.2170000000001</v>
      </c>
      <c r="R65" s="3">
        <f t="shared" si="2"/>
        <v>1430.0765999999999</v>
      </c>
      <c r="S65" s="3">
        <f t="shared" si="3"/>
        <v>45.944500891401574</v>
      </c>
    </row>
    <row r="66" spans="1:19" x14ac:dyDescent="0.25">
      <c r="A66">
        <v>70</v>
      </c>
      <c r="B66">
        <v>1529.415</v>
      </c>
      <c r="C66">
        <v>1269.6220000000001</v>
      </c>
      <c r="D66">
        <v>987.17</v>
      </c>
      <c r="E66">
        <v>1393.502</v>
      </c>
      <c r="F66">
        <v>1470.6949999999999</v>
      </c>
      <c r="H66" s="2">
        <f t="shared" si="0"/>
        <v>1330.0808000000002</v>
      </c>
      <c r="I66" s="2">
        <f t="shared" si="1"/>
        <v>96.117586422776711</v>
      </c>
      <c r="K66">
        <v>70</v>
      </c>
      <c r="L66">
        <v>1252.8230000000001</v>
      </c>
      <c r="M66">
        <v>1373.7639999999999</v>
      </c>
      <c r="N66">
        <v>1407.3720000000001</v>
      </c>
      <c r="O66">
        <v>1530.115</v>
      </c>
      <c r="P66">
        <v>1443.7449999999999</v>
      </c>
      <c r="R66" s="3">
        <f t="shared" si="2"/>
        <v>1401.5637999999999</v>
      </c>
      <c r="S66" s="3">
        <f t="shared" si="3"/>
        <v>45.406527232766862</v>
      </c>
    </row>
    <row r="67" spans="1:19" x14ac:dyDescent="0.25">
      <c r="A67">
        <v>71.25</v>
      </c>
      <c r="B67">
        <v>1509.886</v>
      </c>
      <c r="C67">
        <v>1244.04</v>
      </c>
      <c r="D67">
        <v>986.59500000000003</v>
      </c>
      <c r="E67">
        <v>1379.3109999999999</v>
      </c>
      <c r="F67">
        <v>1458.0419999999999</v>
      </c>
      <c r="H67" s="2">
        <f t="shared" si="0"/>
        <v>1315.5747999999999</v>
      </c>
      <c r="I67" s="2">
        <f t="shared" si="1"/>
        <v>93.664557098936328</v>
      </c>
      <c r="K67">
        <v>71.25</v>
      </c>
      <c r="L67">
        <v>1232.5609999999999</v>
      </c>
      <c r="M67">
        <v>1348.7239999999999</v>
      </c>
      <c r="N67">
        <v>1389.9290000000001</v>
      </c>
      <c r="O67">
        <v>1507.99</v>
      </c>
      <c r="P67">
        <v>1427.634</v>
      </c>
      <c r="R67" s="3">
        <f t="shared" si="2"/>
        <v>1381.3676</v>
      </c>
      <c r="S67" s="3">
        <f t="shared" si="3"/>
        <v>45.528078339196369</v>
      </c>
    </row>
    <row r="68" spans="1:19" x14ac:dyDescent="0.25">
      <c r="A68">
        <v>72.5</v>
      </c>
      <c r="B68">
        <v>1494.6890000000001</v>
      </c>
      <c r="C68">
        <v>1224.732</v>
      </c>
      <c r="D68">
        <v>978.08100000000002</v>
      </c>
      <c r="E68">
        <v>1366.364</v>
      </c>
      <c r="F68">
        <v>1442.7719999999999</v>
      </c>
      <c r="H68" s="2">
        <f t="shared" si="0"/>
        <v>1301.3276000000001</v>
      </c>
      <c r="I68" s="2">
        <f t="shared" si="1"/>
        <v>92.730829009882328</v>
      </c>
      <c r="K68">
        <v>72.5</v>
      </c>
      <c r="L68">
        <v>1217.441</v>
      </c>
      <c r="M68">
        <v>1340.51</v>
      </c>
      <c r="N68">
        <v>1371.125</v>
      </c>
      <c r="O68">
        <v>1489.7760000000001</v>
      </c>
      <c r="P68">
        <v>1409.2919999999999</v>
      </c>
      <c r="R68" s="3">
        <f t="shared" si="2"/>
        <v>1365.6288</v>
      </c>
      <c r="S68" s="3">
        <f t="shared" si="3"/>
        <v>44.687687733200065</v>
      </c>
    </row>
    <row r="69" spans="1:19" x14ac:dyDescent="0.25">
      <c r="A69">
        <v>73.75</v>
      </c>
      <c r="B69">
        <v>1492.6420000000001</v>
      </c>
      <c r="C69">
        <v>1220.865</v>
      </c>
      <c r="D69">
        <v>978.39099999999996</v>
      </c>
      <c r="E69">
        <v>1367.7850000000001</v>
      </c>
      <c r="F69">
        <v>1438.7170000000001</v>
      </c>
      <c r="H69" s="2">
        <f t="shared" ref="H69:H96" si="4">AVERAGE(B69:F69)</f>
        <v>1299.6799999999998</v>
      </c>
      <c r="I69" s="2">
        <f t="shared" ref="I69:I96" si="5">STDEV(B69:F69)/SQRT(COUNT(B69:F69))</f>
        <v>92.369458584534826</v>
      </c>
      <c r="K69">
        <v>73.75</v>
      </c>
      <c r="L69">
        <v>1215.777</v>
      </c>
      <c r="M69">
        <v>1339.19</v>
      </c>
      <c r="N69">
        <v>1376.0260000000001</v>
      </c>
      <c r="O69">
        <v>1499.473</v>
      </c>
      <c r="P69">
        <v>1409.1220000000001</v>
      </c>
      <c r="R69" s="3">
        <f t="shared" ref="R69:R96" si="6">AVERAGE(L69:P69)</f>
        <v>1367.9176000000002</v>
      </c>
      <c r="S69" s="3">
        <f t="shared" ref="S69:S96" si="7">STDEV(L69:P69)/SQRT(COUNT(L69:P69))</f>
        <v>46.390952334048912</v>
      </c>
    </row>
    <row r="70" spans="1:19" x14ac:dyDescent="0.25">
      <c r="A70">
        <v>75</v>
      </c>
      <c r="B70">
        <v>1585.0889999999999</v>
      </c>
      <c r="C70">
        <v>1292.481</v>
      </c>
      <c r="D70">
        <v>1028.502</v>
      </c>
      <c r="E70">
        <v>1444.6869999999999</v>
      </c>
      <c r="F70">
        <v>1533.175</v>
      </c>
      <c r="H70" s="2">
        <f t="shared" si="4"/>
        <v>1376.7868000000001</v>
      </c>
      <c r="I70" s="2">
        <f t="shared" si="5"/>
        <v>100.2165861044966</v>
      </c>
      <c r="K70">
        <v>75</v>
      </c>
      <c r="L70">
        <v>1278.704</v>
      </c>
      <c r="M70">
        <v>1410.896</v>
      </c>
      <c r="N70">
        <v>1460.598</v>
      </c>
      <c r="O70">
        <v>1601.4839999999999</v>
      </c>
      <c r="P70">
        <v>1505.4190000000001</v>
      </c>
      <c r="R70" s="3">
        <f t="shared" si="6"/>
        <v>1451.4202</v>
      </c>
      <c r="S70" s="3">
        <f t="shared" si="7"/>
        <v>53.381805426942989</v>
      </c>
    </row>
    <row r="71" spans="1:19" x14ac:dyDescent="0.25">
      <c r="A71">
        <v>76.25</v>
      </c>
      <c r="B71">
        <v>1756.9839999999999</v>
      </c>
      <c r="C71">
        <v>1434.8720000000001</v>
      </c>
      <c r="D71">
        <v>1146.7280000000001</v>
      </c>
      <c r="E71">
        <v>1628.1030000000001</v>
      </c>
      <c r="F71">
        <v>1705.2370000000001</v>
      </c>
      <c r="H71" s="2">
        <f t="shared" si="4"/>
        <v>1534.3848</v>
      </c>
      <c r="I71" s="2">
        <f t="shared" si="5"/>
        <v>111.28894173429798</v>
      </c>
      <c r="K71">
        <v>76.25</v>
      </c>
      <c r="L71">
        <v>1450.41</v>
      </c>
      <c r="M71">
        <v>1602.9</v>
      </c>
      <c r="N71">
        <v>1719.3409999999999</v>
      </c>
      <c r="O71">
        <v>1818.0060000000001</v>
      </c>
      <c r="P71">
        <v>1693.838</v>
      </c>
      <c r="R71" s="3">
        <f t="shared" si="6"/>
        <v>1656.8990000000001</v>
      </c>
      <c r="S71" s="3">
        <f t="shared" si="7"/>
        <v>61.956661327092178</v>
      </c>
    </row>
    <row r="72" spans="1:19" x14ac:dyDescent="0.25">
      <c r="A72">
        <v>77.5</v>
      </c>
      <c r="B72">
        <v>1840.4390000000001</v>
      </c>
      <c r="C72">
        <v>1492.09</v>
      </c>
      <c r="D72">
        <v>1211.5440000000001</v>
      </c>
      <c r="E72">
        <v>1712.3710000000001</v>
      </c>
      <c r="F72">
        <v>1776.4570000000001</v>
      </c>
      <c r="H72" s="2">
        <f t="shared" si="4"/>
        <v>1606.5802000000001</v>
      </c>
      <c r="I72" s="2">
        <f t="shared" si="5"/>
        <v>114.86978803993662</v>
      </c>
      <c r="K72">
        <v>77.5</v>
      </c>
      <c r="L72">
        <v>1533.0409999999999</v>
      </c>
      <c r="M72">
        <v>1684.789</v>
      </c>
      <c r="N72">
        <v>1856.5820000000001</v>
      </c>
      <c r="O72">
        <v>1906.6990000000001</v>
      </c>
      <c r="P72">
        <v>1779.58</v>
      </c>
      <c r="R72" s="3">
        <f t="shared" si="6"/>
        <v>1752.1382000000001</v>
      </c>
      <c r="S72" s="3">
        <f t="shared" si="7"/>
        <v>66.366444243608555</v>
      </c>
    </row>
    <row r="73" spans="1:19" x14ac:dyDescent="0.25">
      <c r="A73">
        <v>78.75</v>
      </c>
      <c r="B73">
        <v>1800.2149999999999</v>
      </c>
      <c r="C73">
        <v>1464.039</v>
      </c>
      <c r="D73">
        <v>1180.933</v>
      </c>
      <c r="E73">
        <v>1666.327</v>
      </c>
      <c r="F73">
        <v>1746.152</v>
      </c>
      <c r="H73" s="2">
        <f t="shared" si="4"/>
        <v>1571.5332000000001</v>
      </c>
      <c r="I73" s="2">
        <f t="shared" si="5"/>
        <v>113.11420661367021</v>
      </c>
      <c r="K73">
        <v>78.75</v>
      </c>
      <c r="L73">
        <v>1496.761</v>
      </c>
      <c r="M73">
        <v>1644.671</v>
      </c>
      <c r="N73">
        <v>1786.4159999999999</v>
      </c>
      <c r="O73">
        <v>1858.117</v>
      </c>
      <c r="P73">
        <v>1740.3979999999999</v>
      </c>
      <c r="R73" s="3">
        <f t="shared" si="6"/>
        <v>1705.2725999999998</v>
      </c>
      <c r="S73" s="3">
        <f t="shared" si="7"/>
        <v>62.581585533286045</v>
      </c>
    </row>
    <row r="74" spans="1:19" x14ac:dyDescent="0.25">
      <c r="A74">
        <v>80</v>
      </c>
      <c r="B74">
        <v>1727.1010000000001</v>
      </c>
      <c r="C74">
        <v>1404.182</v>
      </c>
      <c r="D74">
        <v>1128.5050000000001</v>
      </c>
      <c r="E74">
        <v>1592.873</v>
      </c>
      <c r="F74">
        <v>1675.623</v>
      </c>
      <c r="H74" s="2">
        <f t="shared" si="4"/>
        <v>1505.6568</v>
      </c>
      <c r="I74" s="2">
        <f t="shared" si="5"/>
        <v>109.10392377838714</v>
      </c>
      <c r="K74">
        <v>80</v>
      </c>
      <c r="L74">
        <v>1446.287</v>
      </c>
      <c r="M74">
        <v>1565.1110000000001</v>
      </c>
      <c r="N74">
        <v>1670.43</v>
      </c>
      <c r="O74">
        <v>1784.942</v>
      </c>
      <c r="P74">
        <v>1679.5989999999999</v>
      </c>
      <c r="R74" s="3">
        <f t="shared" si="6"/>
        <v>1629.2738000000002</v>
      </c>
      <c r="S74" s="3">
        <f t="shared" si="7"/>
        <v>57.471767383124721</v>
      </c>
    </row>
    <row r="75" spans="1:19" x14ac:dyDescent="0.25">
      <c r="A75">
        <v>81.25</v>
      </c>
      <c r="B75">
        <v>1779.3150000000001</v>
      </c>
      <c r="C75">
        <v>1442.1990000000001</v>
      </c>
      <c r="D75">
        <v>1175.4680000000001</v>
      </c>
      <c r="E75">
        <v>1653.0889999999999</v>
      </c>
      <c r="F75">
        <v>1729.579</v>
      </c>
      <c r="H75" s="2">
        <f t="shared" si="4"/>
        <v>1555.9299999999998</v>
      </c>
      <c r="I75" s="2">
        <f t="shared" si="5"/>
        <v>111.17121446489668</v>
      </c>
      <c r="K75">
        <v>81.25</v>
      </c>
      <c r="L75">
        <v>1518.502</v>
      </c>
      <c r="M75">
        <v>1599.8389999999999</v>
      </c>
      <c r="N75">
        <v>1664.2449999999999</v>
      </c>
      <c r="O75">
        <v>1869.1559999999999</v>
      </c>
      <c r="P75">
        <v>1814.3209999999999</v>
      </c>
      <c r="R75" s="3">
        <f t="shared" si="6"/>
        <v>1693.2125999999996</v>
      </c>
      <c r="S75" s="3">
        <f t="shared" si="7"/>
        <v>65.461771032106981</v>
      </c>
    </row>
    <row r="76" spans="1:19" x14ac:dyDescent="0.25">
      <c r="A76">
        <v>82.5</v>
      </c>
      <c r="B76">
        <v>2190.2919999999999</v>
      </c>
      <c r="C76">
        <v>1783.9680000000001</v>
      </c>
      <c r="D76">
        <v>1500.8109999999999</v>
      </c>
      <c r="E76">
        <v>2115.047</v>
      </c>
      <c r="F76">
        <v>2237.2260000000001</v>
      </c>
      <c r="H76" s="2">
        <f t="shared" si="4"/>
        <v>1965.4688000000001</v>
      </c>
      <c r="I76" s="2">
        <f t="shared" si="5"/>
        <v>140.6450312714243</v>
      </c>
      <c r="K76">
        <v>82.5</v>
      </c>
      <c r="L76">
        <v>1910.396</v>
      </c>
      <c r="M76">
        <v>2049.5100000000002</v>
      </c>
      <c r="N76">
        <v>2067.7130000000002</v>
      </c>
      <c r="O76">
        <v>2360.7220000000002</v>
      </c>
      <c r="P76">
        <v>2391.6950000000002</v>
      </c>
      <c r="R76" s="3">
        <f t="shared" si="6"/>
        <v>2156.0072</v>
      </c>
      <c r="S76" s="3">
        <f t="shared" si="7"/>
        <v>94.052982232037721</v>
      </c>
    </row>
    <row r="77" spans="1:19" x14ac:dyDescent="0.25">
      <c r="A77">
        <v>83.75</v>
      </c>
      <c r="B77">
        <v>2905.4490000000001</v>
      </c>
      <c r="C77">
        <v>2351.9140000000002</v>
      </c>
      <c r="D77">
        <v>2009.6559999999999</v>
      </c>
      <c r="E77">
        <v>2958.9670000000001</v>
      </c>
      <c r="F77">
        <v>3006.6619999999998</v>
      </c>
      <c r="H77" s="2">
        <f t="shared" si="4"/>
        <v>2646.5296000000003</v>
      </c>
      <c r="I77" s="2">
        <f t="shared" si="5"/>
        <v>198.33785118897549</v>
      </c>
      <c r="K77">
        <v>83.75</v>
      </c>
      <c r="L77">
        <v>2599.7559999999999</v>
      </c>
      <c r="M77">
        <v>2851.7550000000001</v>
      </c>
      <c r="N77">
        <v>2993.8049999999998</v>
      </c>
      <c r="O77">
        <v>3146.81</v>
      </c>
      <c r="P77">
        <v>3255.7930000000001</v>
      </c>
      <c r="R77" s="3">
        <f t="shared" si="6"/>
        <v>2969.5837999999999</v>
      </c>
      <c r="S77" s="3">
        <f t="shared" si="7"/>
        <v>115.01472219303061</v>
      </c>
    </row>
    <row r="78" spans="1:19" x14ac:dyDescent="0.25">
      <c r="A78">
        <v>85</v>
      </c>
      <c r="B78">
        <v>3617.1759999999999</v>
      </c>
      <c r="C78">
        <v>2858.5219999999999</v>
      </c>
      <c r="D78">
        <v>2451.61</v>
      </c>
      <c r="E78">
        <v>3732.1109999999999</v>
      </c>
      <c r="F78">
        <v>3692</v>
      </c>
      <c r="H78" s="2">
        <f t="shared" si="4"/>
        <v>3270.2838000000002</v>
      </c>
      <c r="I78" s="2">
        <f t="shared" si="5"/>
        <v>259.92669016174494</v>
      </c>
      <c r="K78">
        <v>85</v>
      </c>
      <c r="L78">
        <v>3274.58</v>
      </c>
      <c r="M78">
        <v>3716.4589999999998</v>
      </c>
      <c r="N78">
        <v>4011.3490000000002</v>
      </c>
      <c r="O78">
        <v>4069.9349999999999</v>
      </c>
      <c r="P78">
        <v>4043.607</v>
      </c>
      <c r="R78" s="3">
        <f t="shared" si="6"/>
        <v>3823.1860000000001</v>
      </c>
      <c r="S78" s="3">
        <f t="shared" si="7"/>
        <v>151.20102456266625</v>
      </c>
    </row>
    <row r="79" spans="1:19" x14ac:dyDescent="0.25">
      <c r="A79">
        <v>86.25</v>
      </c>
      <c r="B79">
        <v>3968.7310000000002</v>
      </c>
      <c r="C79">
        <v>3034.4749999999999</v>
      </c>
      <c r="D79">
        <v>2595.6439999999998</v>
      </c>
      <c r="E79">
        <v>4106.3310000000001</v>
      </c>
      <c r="F79">
        <v>3877.877</v>
      </c>
      <c r="H79" s="2">
        <f t="shared" si="4"/>
        <v>3516.6116000000002</v>
      </c>
      <c r="I79" s="2">
        <f t="shared" si="5"/>
        <v>296.92849586551984</v>
      </c>
      <c r="K79">
        <v>86.25</v>
      </c>
      <c r="L79">
        <v>3671.0340000000001</v>
      </c>
      <c r="M79">
        <v>4107.585</v>
      </c>
      <c r="N79">
        <v>4582.4960000000001</v>
      </c>
      <c r="O79">
        <v>4579.7860000000001</v>
      </c>
      <c r="P79">
        <v>4365.4740000000002</v>
      </c>
      <c r="R79" s="3">
        <f t="shared" si="6"/>
        <v>4261.2749999999996</v>
      </c>
      <c r="S79" s="3">
        <f t="shared" si="7"/>
        <v>171.39058809397906</v>
      </c>
    </row>
    <row r="80" spans="1:19" x14ac:dyDescent="0.25">
      <c r="A80">
        <v>87.5</v>
      </c>
      <c r="B80">
        <v>3837.9780000000001</v>
      </c>
      <c r="C80">
        <v>2822.3829999999998</v>
      </c>
      <c r="D80">
        <v>2387.931</v>
      </c>
      <c r="E80">
        <v>3889.2570000000001</v>
      </c>
      <c r="F80">
        <v>3525.4929999999999</v>
      </c>
      <c r="H80" s="2">
        <f t="shared" si="4"/>
        <v>3292.6083999999996</v>
      </c>
      <c r="I80" s="2">
        <f t="shared" si="5"/>
        <v>295.56775147833889</v>
      </c>
      <c r="K80">
        <v>87.5</v>
      </c>
      <c r="L80">
        <v>3547.855</v>
      </c>
      <c r="M80">
        <v>3885.672</v>
      </c>
      <c r="N80">
        <v>4420.7169999999996</v>
      </c>
      <c r="O80">
        <v>4443.652</v>
      </c>
      <c r="P80">
        <v>4100.72</v>
      </c>
      <c r="R80" s="3">
        <f t="shared" si="6"/>
        <v>4079.7231999999995</v>
      </c>
      <c r="S80" s="3">
        <f t="shared" si="7"/>
        <v>168.77521428082972</v>
      </c>
    </row>
    <row r="81" spans="1:19" x14ac:dyDescent="0.25">
      <c r="A81">
        <v>88.75</v>
      </c>
      <c r="B81">
        <v>3354.067</v>
      </c>
      <c r="C81">
        <v>2433.67</v>
      </c>
      <c r="D81">
        <v>2022.1790000000001</v>
      </c>
      <c r="E81">
        <v>3270.9589999999998</v>
      </c>
      <c r="F81">
        <v>3012.8890000000001</v>
      </c>
      <c r="H81" s="2">
        <f t="shared" si="4"/>
        <v>2818.7527999999998</v>
      </c>
      <c r="I81" s="2">
        <f t="shared" si="5"/>
        <v>256.08193863418069</v>
      </c>
      <c r="K81">
        <v>88.75</v>
      </c>
      <c r="L81">
        <v>3077.3989999999999</v>
      </c>
      <c r="M81">
        <v>3247.1260000000002</v>
      </c>
      <c r="N81">
        <v>3694.3539999999998</v>
      </c>
      <c r="O81">
        <v>3895.5650000000001</v>
      </c>
      <c r="P81">
        <v>3486.1280000000002</v>
      </c>
      <c r="R81" s="3">
        <f t="shared" si="6"/>
        <v>3480.1143999999999</v>
      </c>
      <c r="S81" s="3">
        <f t="shared" si="7"/>
        <v>147.47834732007269</v>
      </c>
    </row>
    <row r="82" spans="1:19" x14ac:dyDescent="0.25">
      <c r="A82">
        <v>90</v>
      </c>
      <c r="B82">
        <v>2966.79</v>
      </c>
      <c r="C82">
        <v>2196.4969999999998</v>
      </c>
      <c r="D82">
        <v>1852.0129999999999</v>
      </c>
      <c r="E82">
        <v>2917.0059999999999</v>
      </c>
      <c r="F82">
        <v>2788.636</v>
      </c>
      <c r="H82" s="2">
        <f t="shared" si="4"/>
        <v>2544.1884</v>
      </c>
      <c r="I82" s="2">
        <f t="shared" si="5"/>
        <v>221.05834052769771</v>
      </c>
      <c r="K82">
        <v>90</v>
      </c>
      <c r="L82">
        <v>2705.6509999999998</v>
      </c>
      <c r="M82">
        <v>2859.0390000000002</v>
      </c>
      <c r="N82">
        <v>3211.1869999999999</v>
      </c>
      <c r="O82">
        <v>3356.1909999999998</v>
      </c>
      <c r="P82">
        <v>3067.1329999999998</v>
      </c>
      <c r="R82" s="3">
        <f t="shared" si="6"/>
        <v>3039.8401999999996</v>
      </c>
      <c r="S82" s="3">
        <f t="shared" si="7"/>
        <v>117.16525653554466</v>
      </c>
    </row>
    <row r="83" spans="1:19" x14ac:dyDescent="0.25">
      <c r="A83">
        <v>91.25</v>
      </c>
      <c r="B83">
        <v>2991.2620000000002</v>
      </c>
      <c r="C83">
        <v>2217.9810000000002</v>
      </c>
      <c r="D83">
        <v>1927.8050000000001</v>
      </c>
      <c r="E83">
        <v>3000.03</v>
      </c>
      <c r="F83">
        <v>2876.0360000000001</v>
      </c>
      <c r="H83" s="2">
        <f t="shared" si="4"/>
        <v>2602.6228000000001</v>
      </c>
      <c r="I83" s="2">
        <f t="shared" si="5"/>
        <v>222.15490832151289</v>
      </c>
      <c r="K83">
        <v>91.25</v>
      </c>
      <c r="L83">
        <v>2717.6529999999998</v>
      </c>
      <c r="M83">
        <v>2985.6840000000002</v>
      </c>
      <c r="N83">
        <v>3313.8539999999998</v>
      </c>
      <c r="O83">
        <v>3349.9079999999999</v>
      </c>
      <c r="P83">
        <v>3197.47</v>
      </c>
      <c r="R83" s="3">
        <f t="shared" si="6"/>
        <v>3112.9137999999994</v>
      </c>
      <c r="S83" s="3">
        <f t="shared" si="7"/>
        <v>117.49712502712565</v>
      </c>
    </row>
    <row r="84" spans="1:19" x14ac:dyDescent="0.25">
      <c r="A84">
        <v>92.5</v>
      </c>
      <c r="B84">
        <v>3254.1190000000001</v>
      </c>
      <c r="C84">
        <v>2401.9720000000002</v>
      </c>
      <c r="D84">
        <v>2074.9319999999998</v>
      </c>
      <c r="E84">
        <v>3316.172</v>
      </c>
      <c r="F84">
        <v>3080.5390000000002</v>
      </c>
      <c r="H84" s="2">
        <f t="shared" si="4"/>
        <v>2825.5468000000001</v>
      </c>
      <c r="I84" s="2">
        <f t="shared" si="5"/>
        <v>248.21829391916287</v>
      </c>
      <c r="K84">
        <v>92.5</v>
      </c>
      <c r="L84">
        <v>2983.174</v>
      </c>
      <c r="M84">
        <v>3328.7440000000001</v>
      </c>
      <c r="N84">
        <v>3657.04</v>
      </c>
      <c r="O84">
        <v>3693.2759999999998</v>
      </c>
      <c r="P84">
        <v>3544.498</v>
      </c>
      <c r="R84" s="3">
        <f t="shared" si="6"/>
        <v>3441.3463999999999</v>
      </c>
      <c r="S84" s="3">
        <f t="shared" si="7"/>
        <v>131.00262471172093</v>
      </c>
    </row>
    <row r="85" spans="1:19" x14ac:dyDescent="0.25">
      <c r="A85">
        <v>93.75</v>
      </c>
      <c r="B85">
        <v>3552.41</v>
      </c>
      <c r="C85">
        <v>2637.509</v>
      </c>
      <c r="D85">
        <v>2214.9380000000001</v>
      </c>
      <c r="E85">
        <v>3580.3119999999999</v>
      </c>
      <c r="F85">
        <v>3289.1709999999998</v>
      </c>
      <c r="H85" s="2">
        <f t="shared" si="4"/>
        <v>3054.8679999999999</v>
      </c>
      <c r="I85" s="2">
        <f t="shared" si="5"/>
        <v>270.01928398634777</v>
      </c>
      <c r="K85">
        <v>93.75</v>
      </c>
      <c r="L85">
        <v>3224.2150000000001</v>
      </c>
      <c r="M85">
        <v>3599.223</v>
      </c>
      <c r="N85">
        <v>4046.335</v>
      </c>
      <c r="O85">
        <v>3987.9960000000001</v>
      </c>
      <c r="P85">
        <v>3843.3820000000001</v>
      </c>
      <c r="R85" s="3">
        <f t="shared" si="6"/>
        <v>3740.2302000000004</v>
      </c>
      <c r="S85" s="3">
        <f t="shared" si="7"/>
        <v>150.31351422257413</v>
      </c>
    </row>
    <row r="86" spans="1:19" x14ac:dyDescent="0.25">
      <c r="A86">
        <v>95</v>
      </c>
      <c r="B86">
        <v>3808.6120000000001</v>
      </c>
      <c r="C86">
        <v>2896.9920000000002</v>
      </c>
      <c r="D86">
        <v>2380.67</v>
      </c>
      <c r="E86">
        <v>3710.2370000000001</v>
      </c>
      <c r="F86">
        <v>3512.5039999999999</v>
      </c>
      <c r="H86" s="2">
        <f t="shared" si="4"/>
        <v>3261.8030000000008</v>
      </c>
      <c r="I86" s="2">
        <f t="shared" si="5"/>
        <v>271.3325041022531</v>
      </c>
      <c r="K86">
        <v>95</v>
      </c>
      <c r="L86">
        <v>3392.1419999999998</v>
      </c>
      <c r="M86">
        <v>3758.9659999999999</v>
      </c>
      <c r="N86">
        <v>4216.0429999999997</v>
      </c>
      <c r="O86">
        <v>4170.442</v>
      </c>
      <c r="P86">
        <v>4015.2049999999999</v>
      </c>
      <c r="R86" s="3">
        <f t="shared" si="6"/>
        <v>3910.5596000000005</v>
      </c>
      <c r="S86" s="3">
        <f t="shared" si="7"/>
        <v>152.24110102025665</v>
      </c>
    </row>
    <row r="87" spans="1:19" x14ac:dyDescent="0.25">
      <c r="A87">
        <v>96.25</v>
      </c>
      <c r="B87">
        <v>4070.1239999999998</v>
      </c>
      <c r="C87">
        <v>3169.1790000000001</v>
      </c>
      <c r="D87">
        <v>2604.3679999999999</v>
      </c>
      <c r="E87">
        <v>3779.84</v>
      </c>
      <c r="F87">
        <v>3756.8589999999999</v>
      </c>
      <c r="H87" s="2">
        <f t="shared" si="4"/>
        <v>3476.0739999999996</v>
      </c>
      <c r="I87" s="2">
        <f t="shared" si="5"/>
        <v>262.49431355193366</v>
      </c>
      <c r="K87">
        <v>96.25</v>
      </c>
      <c r="L87">
        <v>3470.0929999999998</v>
      </c>
      <c r="M87">
        <v>3809.0070000000001</v>
      </c>
      <c r="N87">
        <v>4211.6970000000001</v>
      </c>
      <c r="O87">
        <v>4224.143</v>
      </c>
      <c r="P87">
        <v>4067.9319999999998</v>
      </c>
      <c r="R87" s="3">
        <f t="shared" si="6"/>
        <v>3956.5744</v>
      </c>
      <c r="S87" s="3">
        <f t="shared" si="7"/>
        <v>142.74475505306671</v>
      </c>
    </row>
    <row r="88" spans="1:19" x14ac:dyDescent="0.25">
      <c r="A88">
        <v>97.5</v>
      </c>
      <c r="B88">
        <v>4346.0479999999998</v>
      </c>
      <c r="C88">
        <v>3460.68</v>
      </c>
      <c r="D88">
        <v>2859.2550000000001</v>
      </c>
      <c r="E88">
        <v>3904.8919999999998</v>
      </c>
      <c r="F88">
        <v>4077.2310000000002</v>
      </c>
      <c r="H88" s="2">
        <f t="shared" si="4"/>
        <v>3729.6212</v>
      </c>
      <c r="I88" s="2">
        <f t="shared" si="5"/>
        <v>260.90238761908626</v>
      </c>
      <c r="K88">
        <v>97.5</v>
      </c>
      <c r="L88">
        <v>3595.212</v>
      </c>
      <c r="M88">
        <v>3878.9369999999999</v>
      </c>
      <c r="N88">
        <v>4181.509</v>
      </c>
      <c r="O88">
        <v>4291.0590000000002</v>
      </c>
      <c r="P88">
        <v>4159.5730000000003</v>
      </c>
      <c r="R88" s="3">
        <f t="shared" si="6"/>
        <v>4021.2580000000003</v>
      </c>
      <c r="S88" s="3">
        <f t="shared" si="7"/>
        <v>126.36741332004866</v>
      </c>
    </row>
    <row r="89" spans="1:19" x14ac:dyDescent="0.25">
      <c r="A89">
        <v>98.75</v>
      </c>
      <c r="B89">
        <v>4572.4549999999999</v>
      </c>
      <c r="C89">
        <v>3691.4920000000002</v>
      </c>
      <c r="D89">
        <v>3063.64</v>
      </c>
      <c r="E89">
        <v>4089.2310000000002</v>
      </c>
      <c r="F89">
        <v>4304.6009999999997</v>
      </c>
      <c r="H89" s="2">
        <f t="shared" si="4"/>
        <v>3944.2837999999997</v>
      </c>
      <c r="I89" s="2">
        <f t="shared" si="5"/>
        <v>263.14201760064987</v>
      </c>
      <c r="K89">
        <v>98.75</v>
      </c>
      <c r="L89">
        <v>3745.1260000000002</v>
      </c>
      <c r="M89">
        <v>4052.6790000000001</v>
      </c>
      <c r="N89">
        <v>4240.3040000000001</v>
      </c>
      <c r="O89">
        <v>4477.3630000000003</v>
      </c>
      <c r="P89">
        <v>4364.7939999999999</v>
      </c>
      <c r="R89" s="3">
        <f t="shared" si="6"/>
        <v>4176.0532000000003</v>
      </c>
      <c r="S89" s="3">
        <f t="shared" si="7"/>
        <v>128.73583327628711</v>
      </c>
    </row>
    <row r="90" spans="1:19" x14ac:dyDescent="0.25">
      <c r="A90">
        <v>100</v>
      </c>
      <c r="B90">
        <v>4637.8580000000002</v>
      </c>
      <c r="C90">
        <v>3752.8380000000002</v>
      </c>
      <c r="D90">
        <v>3140.1239999999998</v>
      </c>
      <c r="E90">
        <v>4190.7839999999997</v>
      </c>
      <c r="F90">
        <v>4395.3490000000002</v>
      </c>
      <c r="H90" s="2">
        <f t="shared" si="4"/>
        <v>4023.3906000000002</v>
      </c>
      <c r="I90" s="2">
        <f t="shared" si="5"/>
        <v>264.32010738867257</v>
      </c>
      <c r="K90">
        <v>100</v>
      </c>
      <c r="L90">
        <v>3814.395</v>
      </c>
      <c r="M90">
        <v>4167.6469999999999</v>
      </c>
      <c r="N90">
        <v>4333.99</v>
      </c>
      <c r="O90">
        <v>4662.3239999999996</v>
      </c>
      <c r="P90">
        <v>4509.5649999999996</v>
      </c>
      <c r="R90" s="3">
        <f t="shared" si="6"/>
        <v>4297.5841999999993</v>
      </c>
      <c r="S90" s="3">
        <f t="shared" si="7"/>
        <v>146.56941060241721</v>
      </c>
    </row>
    <row r="91" spans="1:19" x14ac:dyDescent="0.25">
      <c r="A91">
        <v>101.25</v>
      </c>
      <c r="B91">
        <v>4451.982</v>
      </c>
      <c r="C91">
        <v>3583.6239999999998</v>
      </c>
      <c r="D91">
        <v>3057.5140000000001</v>
      </c>
      <c r="E91">
        <v>4071.1120000000001</v>
      </c>
      <c r="F91">
        <v>4227.5969999999998</v>
      </c>
      <c r="H91" s="2">
        <f t="shared" si="4"/>
        <v>3878.3657999999996</v>
      </c>
      <c r="I91" s="2">
        <f t="shared" si="5"/>
        <v>249.8819200943538</v>
      </c>
      <c r="K91">
        <v>101.25</v>
      </c>
      <c r="L91">
        <v>3689.027</v>
      </c>
      <c r="M91">
        <v>4058.2170000000001</v>
      </c>
      <c r="N91">
        <v>4242.9750000000004</v>
      </c>
      <c r="O91">
        <v>4609.2839999999997</v>
      </c>
      <c r="P91">
        <v>4401.17</v>
      </c>
      <c r="R91" s="3">
        <f t="shared" si="6"/>
        <v>4200.1346000000003</v>
      </c>
      <c r="S91" s="3">
        <f t="shared" si="7"/>
        <v>156.68844045002166</v>
      </c>
    </row>
    <row r="92" spans="1:19" x14ac:dyDescent="0.25">
      <c r="A92">
        <v>102.5</v>
      </c>
      <c r="B92">
        <v>4036.7809999999999</v>
      </c>
      <c r="C92">
        <v>3252.261</v>
      </c>
      <c r="D92">
        <v>2829.8180000000002</v>
      </c>
      <c r="E92">
        <v>3735.55</v>
      </c>
      <c r="F92">
        <v>3846.49</v>
      </c>
      <c r="H92" s="2">
        <f t="shared" si="4"/>
        <v>3540.1800000000003</v>
      </c>
      <c r="I92" s="2">
        <f t="shared" si="5"/>
        <v>219.78618334713181</v>
      </c>
      <c r="K92">
        <v>102.5</v>
      </c>
      <c r="L92">
        <v>3404.9349999999999</v>
      </c>
      <c r="M92">
        <v>3757.7080000000001</v>
      </c>
      <c r="N92">
        <v>3934.8420000000001</v>
      </c>
      <c r="O92">
        <v>4284.076</v>
      </c>
      <c r="P92">
        <v>4071.3919999999998</v>
      </c>
      <c r="R92" s="3">
        <f t="shared" si="6"/>
        <v>3890.5906000000004</v>
      </c>
      <c r="S92" s="3">
        <f t="shared" si="7"/>
        <v>148.82829701558771</v>
      </c>
    </row>
    <row r="93" spans="1:19" x14ac:dyDescent="0.25">
      <c r="A93">
        <v>103.75</v>
      </c>
      <c r="B93">
        <v>3508.7260000000001</v>
      </c>
      <c r="C93">
        <v>2823.1990000000001</v>
      </c>
      <c r="D93">
        <v>2532.2919999999999</v>
      </c>
      <c r="E93">
        <v>3248.0149999999999</v>
      </c>
      <c r="F93">
        <v>3354.6460000000002</v>
      </c>
      <c r="H93" s="2">
        <f t="shared" si="4"/>
        <v>3093.3756000000003</v>
      </c>
      <c r="I93" s="2">
        <f t="shared" si="5"/>
        <v>180.62415703681566</v>
      </c>
      <c r="K93">
        <v>103.75</v>
      </c>
      <c r="L93">
        <v>2997.4450000000002</v>
      </c>
      <c r="M93">
        <v>3308.078</v>
      </c>
      <c r="N93">
        <v>3471.989</v>
      </c>
      <c r="O93">
        <v>3784.9870000000001</v>
      </c>
      <c r="P93">
        <v>3606.8319999999999</v>
      </c>
      <c r="R93" s="3">
        <f t="shared" si="6"/>
        <v>3433.8661999999995</v>
      </c>
      <c r="S93" s="3">
        <f t="shared" si="7"/>
        <v>134.33958223673318</v>
      </c>
    </row>
    <row r="94" spans="1:19" x14ac:dyDescent="0.25">
      <c r="A94">
        <v>105</v>
      </c>
      <c r="B94">
        <v>3001.6610000000001</v>
      </c>
      <c r="C94">
        <v>2404.2750000000001</v>
      </c>
      <c r="D94">
        <v>2237.7170000000001</v>
      </c>
      <c r="E94">
        <v>2762.3870000000002</v>
      </c>
      <c r="F94">
        <v>2897.64</v>
      </c>
      <c r="H94" s="2">
        <f t="shared" si="4"/>
        <v>2660.7359999999999</v>
      </c>
      <c r="I94" s="2">
        <f t="shared" si="5"/>
        <v>146.18543113525428</v>
      </c>
      <c r="K94">
        <v>105</v>
      </c>
      <c r="L94">
        <v>2564.6019999999999</v>
      </c>
      <c r="M94">
        <v>2830.4810000000002</v>
      </c>
      <c r="N94">
        <v>2964.4859999999999</v>
      </c>
      <c r="O94">
        <v>3244.277</v>
      </c>
      <c r="P94">
        <v>3107.364</v>
      </c>
      <c r="R94" s="3">
        <f t="shared" si="6"/>
        <v>2942.2419999999997</v>
      </c>
      <c r="S94" s="3">
        <f t="shared" si="7"/>
        <v>117.06572990546807</v>
      </c>
    </row>
    <row r="95" spans="1:19" x14ac:dyDescent="0.25">
      <c r="A95">
        <v>106.25</v>
      </c>
      <c r="B95">
        <v>2645.2730000000001</v>
      </c>
      <c r="C95">
        <v>2129.9560000000001</v>
      </c>
      <c r="D95">
        <v>2000.4970000000001</v>
      </c>
      <c r="E95">
        <v>2423.1669999999999</v>
      </c>
      <c r="F95">
        <v>2582.4960000000001</v>
      </c>
      <c r="H95" s="2">
        <f t="shared" si="4"/>
        <v>2356.2777999999998</v>
      </c>
      <c r="I95" s="2">
        <f t="shared" si="5"/>
        <v>125.89054760282787</v>
      </c>
      <c r="K95">
        <v>106.25</v>
      </c>
      <c r="L95">
        <v>2237.5520000000001</v>
      </c>
      <c r="M95">
        <v>2482.9969999999998</v>
      </c>
      <c r="N95">
        <v>2584.6759999999999</v>
      </c>
      <c r="O95">
        <v>2826.22</v>
      </c>
      <c r="P95">
        <v>2739.1709999999998</v>
      </c>
      <c r="R95" s="3">
        <f t="shared" si="6"/>
        <v>2574.1232</v>
      </c>
      <c r="S95" s="3">
        <f t="shared" si="7"/>
        <v>103.07499489177765</v>
      </c>
    </row>
    <row r="96" spans="1:19" x14ac:dyDescent="0.25">
      <c r="A96">
        <v>107.5</v>
      </c>
      <c r="B96">
        <v>2417.5590000000002</v>
      </c>
      <c r="C96">
        <v>1965.923</v>
      </c>
      <c r="D96">
        <v>1823.028</v>
      </c>
      <c r="E96">
        <v>2224.4499999999998</v>
      </c>
      <c r="F96">
        <v>2371.9859999999999</v>
      </c>
      <c r="H96" s="2">
        <f t="shared" si="4"/>
        <v>2160.5891999999999</v>
      </c>
      <c r="I96" s="2">
        <f t="shared" si="5"/>
        <v>115.46488213019609</v>
      </c>
      <c r="K96">
        <v>107.5</v>
      </c>
      <c r="L96">
        <v>2040.904</v>
      </c>
      <c r="M96">
        <v>2270.21</v>
      </c>
      <c r="N96">
        <v>2366.2069999999999</v>
      </c>
      <c r="O96">
        <v>2554.13</v>
      </c>
      <c r="P96">
        <v>2502.442</v>
      </c>
      <c r="R96" s="3">
        <f t="shared" si="6"/>
        <v>2346.7786000000001</v>
      </c>
      <c r="S96" s="3">
        <f t="shared" si="7"/>
        <v>91.385223460688664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BRIGHT!OCT_RAW___\CO10__revise__line__to__243\_dark_profiles_CO10_DARK</vt:lpstr>
      <vt:lpstr>BRIGHT!OCT_RAW___\CO10__revise__line__to__243\_light_profiles_CO10_LIGHT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2019-11-17T03:50:52Z</dcterms:modified>
</cp:coreProperties>
</file>