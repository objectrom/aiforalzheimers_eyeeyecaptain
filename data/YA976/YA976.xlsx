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976\"/>
    </mc:Choice>
  </mc:AlternateContent>
  <xr:revisionPtr revIDLastSave="0" documentId="13_ncr:1_{D3A5E4C2-12EF-4A3A-AC2C-0AEB663AEC0A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3\_dark_profiles_YA03_DARK" localSheetId="1">BRIGHT!$A$2:$N$96</definedName>
    <definedName name="OCT_RAW___\YA03\_dark_profiles_YA03_DARK_dim_1" localSheetId="0">DIM!$A$2:$F$96</definedName>
    <definedName name="OCT_RAW___\YA03\_fovea_dark_profiles_YA03_DARK" localSheetId="1">BRIGHT!#REF!</definedName>
    <definedName name="OCT_RAW___\YA03\_fovea_dark_profiles_YA03_DARK_dim" localSheetId="0">DIM!#REF!</definedName>
    <definedName name="OCT_RAW___\YA03\_fovea_light_profiles_YA03_LIGHT" localSheetId="1">BRIGHT!#REF!</definedName>
    <definedName name="OCT_RAW___\YA03\_fovea_light_profiles_YA03_LIGHT_dim" localSheetId="0">DIM!#REF!</definedName>
    <definedName name="OCT_RAW___\YA03\_light_profiles_YA03_LIGHT" localSheetId="1">BRIGHT!$U$2:$AI$96</definedName>
    <definedName name="OCT_RAW___\YA03\_light_profiles_YA03_LIGHT_dim" localSheetId="0">DIM!$K$2:$P$96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AF08B-C67F-4D3A-9625-807E2FF5D8AE}" name="[[[OCT RAW]]]\YA03\_dark_profiles_YA03_DARK" type="6" refreshedVersion="6" background="1" saveData="1">
    <textPr codePage="437" sourceFile="E:\[Documents]\[[[OCT RAW]]]\YA03\_dark_profiles_YA03_DARK.txt" space="1" consecutive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90FD53AC-B5CA-4833-9A11-83D85D20DDD2}" name="[[[OCT RAW]]]\YA03\_dark_profiles_YA03_DARK-dim" type="6" refreshedVersion="6" background="1" saveData="1">
    <textPr codePage="437" sourceFile="E:\[Documents]\[[[OCT RAW]]]\YA03\_dark_profiles_YA03_DARK-dim.txt" space="1" consecutive="1">
      <textFields count="6">
        <textField/>
        <textField/>
        <textField/>
        <textField/>
        <textField/>
        <textField/>
      </textFields>
    </textPr>
  </connection>
  <connection id="3" xr16:uid="{2808E7A4-A34A-427F-A611-D03C08C8DA82}" name="[[[OCT RAW]]]\YA03\_light_profiles_YA03_LIGHT" type="6" refreshedVersion="6" background="1" saveData="1">
    <textPr codePage="437" sourceFile="E:\[Documents]\[[[OCT RAW]]]\YA03\_light_profiles_YA03_LIGHT.txt" space="1" consecutive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BA91D127-7F26-4CAD-8638-33B6D017235C}" name="[[[OCT RAW]]]\YA03\_light_profiles_YA03_LIGHT-dim" type="6" refreshedVersion="6" background="1" saveData="1">
    <textPr codePage="437" sourceFile="E:\[Documents]\[[[OCT RAW]]]\YA03\_light_profiles_YA03_LIGHT-dim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<sst xmlns="http://schemas.openxmlformats.org/spreadsheetml/2006/main" count="24" uniqueCount="10">
  <si>
    <t>angle</t>
  </si>
  <si>
    <t>whole</t>
  </si>
  <si>
    <t>RPEtoOLM</t>
  </si>
  <si>
    <t>RNFL</t>
  </si>
  <si>
    <t>DARK 500 microns to 2750 microns</t>
  </si>
  <si>
    <t>LIGHT 500 microns to 2750 microns</t>
  </si>
  <si>
    <t>YA976_DARK</t>
  </si>
  <si>
    <t>YA976_LIGHT</t>
  </si>
  <si>
    <t>YA976_DARK-dim</t>
  </si>
  <si>
    <t>YA976_LIGHT-dim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</si>
</sst>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761.68319999999994</c:v>
                </c:pt>
                <c:pt idx="1">
                  <c:v>928.72360000000003</c:v>
                </c:pt>
                <c:pt idx="2">
                  <c:v>1466.3247999999999</c:v>
                </c:pt>
                <c:pt idx="3">
                  <c:v>2263.3744000000002</c:v>
                </c:pt>
                <c:pt idx="4">
                  <c:v>3029.4309999999996</c:v>
                </c:pt>
                <c:pt idx="5">
                  <c:v>3360.5147999999999</c:v>
                </c:pt>
                <c:pt idx="6">
                  <c:v>3377.6167999999998</c:v>
                </c:pt>
                <c:pt idx="7">
                  <c:v>3380.8786</c:v>
                </c:pt>
                <c:pt idx="8">
                  <c:v>3394.1282000000001</c:v>
                </c:pt>
                <c:pt idx="9">
                  <c:v>3319.4556000000002</c:v>
                </c:pt>
                <c:pt idx="10">
                  <c:v>3126.2760000000003</c:v>
                </c:pt>
                <c:pt idx="11">
                  <c:v>2720.7040000000002</c:v>
                </c:pt>
                <c:pt idx="12">
                  <c:v>2371.8072000000002</c:v>
                </c:pt>
                <c:pt idx="13">
                  <c:v>2201.2987999999996</c:v>
                </c:pt>
                <c:pt idx="14">
                  <c:v>2149.0785999999998</c:v>
                </c:pt>
                <c:pt idx="15">
                  <c:v>2141.7166000000002</c:v>
                </c:pt>
                <c:pt idx="16">
                  <c:v>2152.0910000000003</c:v>
                </c:pt>
                <c:pt idx="17">
                  <c:v>2164.0214000000001</c:v>
                </c:pt>
                <c:pt idx="18">
                  <c:v>2171.0428000000002</c:v>
                </c:pt>
                <c:pt idx="19">
                  <c:v>2175.0153999999998</c:v>
                </c:pt>
                <c:pt idx="20">
                  <c:v>2164.3907999999997</c:v>
                </c:pt>
                <c:pt idx="21">
                  <c:v>2159.0448000000001</c:v>
                </c:pt>
                <c:pt idx="22">
                  <c:v>2179.7345999999998</c:v>
                </c:pt>
                <c:pt idx="23">
                  <c:v>2213.6743999999999</c:v>
                </c:pt>
                <c:pt idx="24">
                  <c:v>2223.8498</c:v>
                </c:pt>
                <c:pt idx="25">
                  <c:v>2225.6491999999998</c:v>
                </c:pt>
                <c:pt idx="26">
                  <c:v>2234.1531999999997</c:v>
                </c:pt>
                <c:pt idx="27">
                  <c:v>2248.2619999999997</c:v>
                </c:pt>
                <c:pt idx="28">
                  <c:v>2259.3494000000001</c:v>
                </c:pt>
                <c:pt idx="29">
                  <c:v>2267.1579999999999</c:v>
                </c:pt>
                <c:pt idx="30">
                  <c:v>2274.6902</c:v>
                </c:pt>
                <c:pt idx="31">
                  <c:v>2243.6186000000002</c:v>
                </c:pt>
                <c:pt idx="32">
                  <c:v>2127.8489999999997</c:v>
                </c:pt>
                <c:pt idx="33">
                  <c:v>1961.3430000000001</c:v>
                </c:pt>
                <c:pt idx="34">
                  <c:v>1832.4944</c:v>
                </c:pt>
                <c:pt idx="35">
                  <c:v>1747.0775999999998</c:v>
                </c:pt>
                <c:pt idx="36">
                  <c:v>1700.1622</c:v>
                </c:pt>
                <c:pt idx="37">
                  <c:v>1680.6934000000001</c:v>
                </c:pt>
                <c:pt idx="38">
                  <c:v>1676.8833999999999</c:v>
                </c:pt>
                <c:pt idx="39">
                  <c:v>1686.0971999999997</c:v>
                </c:pt>
                <c:pt idx="40">
                  <c:v>1716.2818</c:v>
                </c:pt>
                <c:pt idx="41">
                  <c:v>1774.9540000000002</c:v>
                </c:pt>
                <c:pt idx="42">
                  <c:v>1848.9648000000002</c:v>
                </c:pt>
                <c:pt idx="43">
                  <c:v>1916.7513999999999</c:v>
                </c:pt>
                <c:pt idx="44">
                  <c:v>1980.2794000000001</c:v>
                </c:pt>
                <c:pt idx="45">
                  <c:v>2012.4959999999999</c:v>
                </c:pt>
                <c:pt idx="46">
                  <c:v>2003.9402000000002</c:v>
                </c:pt>
                <c:pt idx="47">
                  <c:v>1951.4880000000001</c:v>
                </c:pt>
                <c:pt idx="48">
                  <c:v>1831.1403999999998</c:v>
                </c:pt>
                <c:pt idx="49">
                  <c:v>1684.2024000000001</c:v>
                </c:pt>
                <c:pt idx="50">
                  <c:v>1539.6420000000001</c:v>
                </c:pt>
                <c:pt idx="51">
                  <c:v>1460.9521999999999</c:v>
                </c:pt>
                <c:pt idx="52">
                  <c:v>1419.0264</c:v>
                </c:pt>
                <c:pt idx="53">
                  <c:v>1393.2819999999999</c:v>
                </c:pt>
                <c:pt idx="54">
                  <c:v>1363.3471999999999</c:v>
                </c:pt>
                <c:pt idx="55">
                  <c:v>1345.6137999999999</c:v>
                </c:pt>
                <c:pt idx="56">
                  <c:v>1321.1386</c:v>
                </c:pt>
                <c:pt idx="57">
                  <c:v>1305.9680000000001</c:v>
                </c:pt>
                <c:pt idx="58">
                  <c:v>1301.9136000000003</c:v>
                </c:pt>
                <c:pt idx="59">
                  <c:v>1290.3240000000001</c:v>
                </c:pt>
                <c:pt idx="60">
                  <c:v>1276.4404</c:v>
                </c:pt>
                <c:pt idx="61">
                  <c:v>1260.6135999999999</c:v>
                </c:pt>
                <c:pt idx="62">
                  <c:v>1255.4738</c:v>
                </c:pt>
                <c:pt idx="63">
                  <c:v>1298.5376000000001</c:v>
                </c:pt>
                <c:pt idx="64">
                  <c:v>1470.2314000000001</c:v>
                </c:pt>
                <c:pt idx="65">
                  <c:v>1568.4770000000001</c:v>
                </c:pt>
                <c:pt idx="66">
                  <c:v>1498.2783999999999</c:v>
                </c:pt>
                <c:pt idx="67">
                  <c:v>1400.0817999999999</c:v>
                </c:pt>
                <c:pt idx="68">
                  <c:v>1442.2091999999998</c:v>
                </c:pt>
                <c:pt idx="69">
                  <c:v>1930.5040000000001</c:v>
                </c:pt>
                <c:pt idx="70">
                  <c:v>2933.4313999999999</c:v>
                </c:pt>
                <c:pt idx="71">
                  <c:v>3941.7241999999997</c:v>
                </c:pt>
                <c:pt idx="72">
                  <c:v>4351.9769999999999</c:v>
                </c:pt>
                <c:pt idx="73">
                  <c:v>3996.2411999999995</c:v>
                </c:pt>
                <c:pt idx="74">
                  <c:v>3320.4470000000001</c:v>
                </c:pt>
                <c:pt idx="75">
                  <c:v>3055.6436000000003</c:v>
                </c:pt>
                <c:pt idx="76">
                  <c:v>3337.6696000000002</c:v>
                </c:pt>
                <c:pt idx="77">
                  <c:v>3778.6122000000005</c:v>
                </c:pt>
                <c:pt idx="78">
                  <c:v>3956.4519999999998</c:v>
                </c:pt>
                <c:pt idx="79">
                  <c:v>3707.7758000000003</c:v>
                </c:pt>
                <c:pt idx="80">
                  <c:v>3352.5219999999999</c:v>
                </c:pt>
                <c:pt idx="81">
                  <c:v>3307.5183999999999</c:v>
                </c:pt>
                <c:pt idx="82">
                  <c:v>3478.5838000000003</c:v>
                </c:pt>
                <c:pt idx="83">
                  <c:v>3555.8733999999995</c:v>
                </c:pt>
                <c:pt idx="84">
                  <c:v>3480.9154000000003</c:v>
                </c:pt>
                <c:pt idx="85">
                  <c:v>3307.567</c:v>
                </c:pt>
                <c:pt idx="86">
                  <c:v>3004.6066000000001</c:v>
                </c:pt>
                <c:pt idx="87">
                  <c:v>2678.5141999999996</c:v>
                </c:pt>
                <c:pt idx="88">
                  <c:v>2479.2089999999998</c:v>
                </c:pt>
                <c:pt idx="89">
                  <c:v>2345.7305999999999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830.33439999999996</c:v>
                </c:pt>
                <c:pt idx="1">
                  <c:v>982.6662</c:v>
                </c:pt>
                <c:pt idx="2">
                  <c:v>1507.9420000000002</c:v>
                </c:pt>
                <c:pt idx="3">
                  <c:v>2254.4036000000001</c:v>
                </c:pt>
                <c:pt idx="4">
                  <c:v>2971.5243999999998</c:v>
                </c:pt>
                <c:pt idx="5">
                  <c:v>3290.7431999999999</c:v>
                </c:pt>
                <c:pt idx="6">
                  <c:v>3353.5569999999998</c:v>
                </c:pt>
                <c:pt idx="7">
                  <c:v>3383.3334000000004</c:v>
                </c:pt>
                <c:pt idx="8">
                  <c:v>3384.0167999999999</c:v>
                </c:pt>
                <c:pt idx="9">
                  <c:v>3316.8659999999995</c:v>
                </c:pt>
                <c:pt idx="10">
                  <c:v>3116.3405999999995</c:v>
                </c:pt>
                <c:pt idx="11">
                  <c:v>2688.66</c:v>
                </c:pt>
                <c:pt idx="12">
                  <c:v>2341.4998000000001</c:v>
                </c:pt>
                <c:pt idx="13">
                  <c:v>2179.8537999999999</c:v>
                </c:pt>
                <c:pt idx="14">
                  <c:v>2130.6570000000002</c:v>
                </c:pt>
                <c:pt idx="15">
                  <c:v>2127.953</c:v>
                </c:pt>
                <c:pt idx="16">
                  <c:v>2142.4118000000003</c:v>
                </c:pt>
                <c:pt idx="17">
                  <c:v>2156.4567999999999</c:v>
                </c:pt>
                <c:pt idx="18">
                  <c:v>2159.5014000000001</c:v>
                </c:pt>
                <c:pt idx="19">
                  <c:v>2152.194</c:v>
                </c:pt>
                <c:pt idx="20">
                  <c:v>2134.5989999999997</c:v>
                </c:pt>
                <c:pt idx="21">
                  <c:v>2133.6422000000002</c:v>
                </c:pt>
                <c:pt idx="22">
                  <c:v>2164.8995999999997</c:v>
                </c:pt>
                <c:pt idx="23">
                  <c:v>2202.4967999999999</c:v>
                </c:pt>
                <c:pt idx="24">
                  <c:v>2216.8962000000001</c:v>
                </c:pt>
                <c:pt idx="25">
                  <c:v>2224.2269999999999</c:v>
                </c:pt>
                <c:pt idx="26">
                  <c:v>2242.2955999999999</c:v>
                </c:pt>
                <c:pt idx="27">
                  <c:v>2258.5965999999999</c:v>
                </c:pt>
                <c:pt idx="28">
                  <c:v>2259.2556</c:v>
                </c:pt>
                <c:pt idx="29">
                  <c:v>2264.7860000000001</c:v>
                </c:pt>
                <c:pt idx="30">
                  <c:v>2274.1082000000001</c:v>
                </c:pt>
                <c:pt idx="31">
                  <c:v>2240.8078</c:v>
                </c:pt>
                <c:pt idx="32">
                  <c:v>2122.08</c:v>
                </c:pt>
                <c:pt idx="33">
                  <c:v>1960.0516</c:v>
                </c:pt>
                <c:pt idx="34">
                  <c:v>1824.9815999999998</c:v>
                </c:pt>
                <c:pt idx="35">
                  <c:v>1742.1802</c:v>
                </c:pt>
                <c:pt idx="36">
                  <c:v>1696.1658</c:v>
                </c:pt>
                <c:pt idx="37">
                  <c:v>1673.5318000000002</c:v>
                </c:pt>
                <c:pt idx="38">
                  <c:v>1661.691</c:v>
                </c:pt>
                <c:pt idx="39">
                  <c:v>1664.3478</c:v>
                </c:pt>
                <c:pt idx="40">
                  <c:v>1693.8966</c:v>
                </c:pt>
                <c:pt idx="41">
                  <c:v>1753.5195999999996</c:v>
                </c:pt>
                <c:pt idx="42">
                  <c:v>1828.1652000000001</c:v>
                </c:pt>
                <c:pt idx="43">
                  <c:v>1892.0174</c:v>
                </c:pt>
                <c:pt idx="44">
                  <c:v>1946.8714</c:v>
                </c:pt>
                <c:pt idx="45">
                  <c:v>1980.4461999999999</c:v>
                </c:pt>
                <c:pt idx="46">
                  <c:v>1971.7652000000003</c:v>
                </c:pt>
                <c:pt idx="47">
                  <c:v>1911.1064000000001</c:v>
                </c:pt>
                <c:pt idx="48">
                  <c:v>1796.7202000000002</c:v>
                </c:pt>
                <c:pt idx="49">
                  <c:v>1650.4158</c:v>
                </c:pt>
                <c:pt idx="50">
                  <c:v>1504.8957999999998</c:v>
                </c:pt>
                <c:pt idx="51">
                  <c:v>1429.1833999999999</c:v>
                </c:pt>
                <c:pt idx="52">
                  <c:v>1380.3914</c:v>
                </c:pt>
                <c:pt idx="53">
                  <c:v>1352.9108000000001</c:v>
                </c:pt>
                <c:pt idx="54">
                  <c:v>1336.2177999999999</c:v>
                </c:pt>
                <c:pt idx="55">
                  <c:v>1321.2422000000001</c:v>
                </c:pt>
                <c:pt idx="56">
                  <c:v>1304.6038000000001</c:v>
                </c:pt>
                <c:pt idx="57">
                  <c:v>1293.0763999999999</c:v>
                </c:pt>
                <c:pt idx="58">
                  <c:v>1284.2750000000001</c:v>
                </c:pt>
                <c:pt idx="59">
                  <c:v>1275.0673999999999</c:v>
                </c:pt>
                <c:pt idx="60">
                  <c:v>1265.5075999999999</c:v>
                </c:pt>
                <c:pt idx="61">
                  <c:v>1250.1583999999998</c:v>
                </c:pt>
                <c:pt idx="62">
                  <c:v>1243.7526</c:v>
                </c:pt>
                <c:pt idx="63">
                  <c:v>1282.6578</c:v>
                </c:pt>
                <c:pt idx="64">
                  <c:v>1447.7620000000002</c:v>
                </c:pt>
                <c:pt idx="65">
                  <c:v>1529.4839999999999</c:v>
                </c:pt>
                <c:pt idx="66">
                  <c:v>1463.0627999999999</c:v>
                </c:pt>
                <c:pt idx="67">
                  <c:v>1380.9486000000002</c:v>
                </c:pt>
                <c:pt idx="68">
                  <c:v>1449.1922</c:v>
                </c:pt>
                <c:pt idx="69">
                  <c:v>2001.0675999999999</c:v>
                </c:pt>
                <c:pt idx="70">
                  <c:v>3030.9831999999997</c:v>
                </c:pt>
                <c:pt idx="71">
                  <c:v>3994.3393999999998</c:v>
                </c:pt>
                <c:pt idx="72">
                  <c:v>4341.6426000000001</c:v>
                </c:pt>
                <c:pt idx="73">
                  <c:v>3938.3396000000002</c:v>
                </c:pt>
                <c:pt idx="74">
                  <c:v>3275.4363999999996</c:v>
                </c:pt>
                <c:pt idx="75">
                  <c:v>3046.1696000000002</c:v>
                </c:pt>
                <c:pt idx="76">
                  <c:v>3332.3098</c:v>
                </c:pt>
                <c:pt idx="77">
                  <c:v>3737.4479999999994</c:v>
                </c:pt>
                <c:pt idx="78">
                  <c:v>3866.7379999999998</c:v>
                </c:pt>
                <c:pt idx="79">
                  <c:v>3600.9182000000001</c:v>
                </c:pt>
                <c:pt idx="80">
                  <c:v>3286.7406000000001</c:v>
                </c:pt>
                <c:pt idx="81">
                  <c:v>3270.9331999999999</c:v>
                </c:pt>
                <c:pt idx="82">
                  <c:v>3429.6112000000003</c:v>
                </c:pt>
                <c:pt idx="83">
                  <c:v>3500.3515999999995</c:v>
                </c:pt>
                <c:pt idx="84">
                  <c:v>3441.3717999999994</c:v>
                </c:pt>
                <c:pt idx="85">
                  <c:v>3276.8267999999998</c:v>
                </c:pt>
                <c:pt idx="86">
                  <c:v>2974.9938000000002</c:v>
                </c:pt>
                <c:pt idx="87">
                  <c:v>2663.2429999999999</c:v>
                </c:pt>
                <c:pt idx="88">
                  <c:v>2468.2244000000001</c:v>
                </c:pt>
                <c:pt idx="89">
                  <c:v>2331.1812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734.49953846153846</c:v>
                </c:pt>
                <c:pt idx="1">
                  <c:v>853.24576923076904</c:v>
                </c:pt>
                <c:pt idx="2">
                  <c:v>1321.378153846154</c:v>
                </c:pt>
                <c:pt idx="3">
                  <c:v>1992.1539230769231</c:v>
                </c:pt>
                <c:pt idx="4">
                  <c:v>2640.900076923077</c:v>
                </c:pt>
                <c:pt idx="5">
                  <c:v>3025.4783846153855</c:v>
                </c:pt>
                <c:pt idx="6">
                  <c:v>3148.2352307692304</c:v>
                </c:pt>
                <c:pt idx="7">
                  <c:v>3204.9075384615385</c:v>
                </c:pt>
                <c:pt idx="8">
                  <c:v>3204.4584615384615</c:v>
                </c:pt>
                <c:pt idx="9">
                  <c:v>3133.6013846153846</c:v>
                </c:pt>
                <c:pt idx="10">
                  <c:v>2920.034846153846</c:v>
                </c:pt>
                <c:pt idx="11">
                  <c:v>2520.194769230769</c:v>
                </c:pt>
                <c:pt idx="12">
                  <c:v>2205.7419230769233</c:v>
                </c:pt>
                <c:pt idx="13">
                  <c:v>2067.4152307692307</c:v>
                </c:pt>
                <c:pt idx="14">
                  <c:v>2035.0560769230769</c:v>
                </c:pt>
                <c:pt idx="15">
                  <c:v>2041.8618461538465</c:v>
                </c:pt>
                <c:pt idx="16">
                  <c:v>2064.2861538461539</c:v>
                </c:pt>
                <c:pt idx="17">
                  <c:v>2084.5377692307693</c:v>
                </c:pt>
                <c:pt idx="18">
                  <c:v>2094.5013076923078</c:v>
                </c:pt>
                <c:pt idx="19">
                  <c:v>2094.3243076923077</c:v>
                </c:pt>
                <c:pt idx="20">
                  <c:v>2086.4463076923075</c:v>
                </c:pt>
                <c:pt idx="21">
                  <c:v>2080.059153846154</c:v>
                </c:pt>
                <c:pt idx="22">
                  <c:v>2094.6147692307695</c:v>
                </c:pt>
                <c:pt idx="23">
                  <c:v>2121.2637692307694</c:v>
                </c:pt>
                <c:pt idx="24">
                  <c:v>2135.8556153846157</c:v>
                </c:pt>
                <c:pt idx="25">
                  <c:v>2136.4923846153847</c:v>
                </c:pt>
                <c:pt idx="26">
                  <c:v>2151.9443846153845</c:v>
                </c:pt>
                <c:pt idx="27">
                  <c:v>2172.5574615384617</c:v>
                </c:pt>
                <c:pt idx="28">
                  <c:v>2177.6118461538467</c:v>
                </c:pt>
                <c:pt idx="29">
                  <c:v>2173.6546923076926</c:v>
                </c:pt>
                <c:pt idx="30">
                  <c:v>2177.7313846153847</c:v>
                </c:pt>
                <c:pt idx="31">
                  <c:v>2142.7838461538458</c:v>
                </c:pt>
                <c:pt idx="32">
                  <c:v>2032.286846153846</c:v>
                </c:pt>
                <c:pt idx="33">
                  <c:v>1876.0593846153847</c:v>
                </c:pt>
                <c:pt idx="34">
                  <c:v>1753.502153846154</c:v>
                </c:pt>
                <c:pt idx="35">
                  <c:v>1680.6878461538461</c:v>
                </c:pt>
                <c:pt idx="36">
                  <c:v>1640.6263076923074</c:v>
                </c:pt>
                <c:pt idx="37">
                  <c:v>1620.0633846153846</c:v>
                </c:pt>
                <c:pt idx="38">
                  <c:v>1615.8065384615386</c:v>
                </c:pt>
                <c:pt idx="39">
                  <c:v>1630.691846153846</c:v>
                </c:pt>
                <c:pt idx="40">
                  <c:v>1677.7256153846151</c:v>
                </c:pt>
                <c:pt idx="41">
                  <c:v>1745.9633846153845</c:v>
                </c:pt>
                <c:pt idx="42">
                  <c:v>1818.3807692307694</c:v>
                </c:pt>
                <c:pt idx="43">
                  <c:v>1882.0181538461538</c:v>
                </c:pt>
                <c:pt idx="44">
                  <c:v>1931.0779230769231</c:v>
                </c:pt>
                <c:pt idx="45">
                  <c:v>1954.6511538461536</c:v>
                </c:pt>
                <c:pt idx="46">
                  <c:v>1937.2496923076922</c:v>
                </c:pt>
                <c:pt idx="47">
                  <c:v>1881.6706153846155</c:v>
                </c:pt>
                <c:pt idx="48">
                  <c:v>1774.7902307692309</c:v>
                </c:pt>
                <c:pt idx="49">
                  <c:v>1639.8482307692309</c:v>
                </c:pt>
                <c:pt idx="50">
                  <c:v>1509.8078461538462</c:v>
                </c:pt>
                <c:pt idx="51">
                  <c:v>1434.8680769230768</c:v>
                </c:pt>
                <c:pt idx="52">
                  <c:v>1394.4587692307689</c:v>
                </c:pt>
                <c:pt idx="53">
                  <c:v>1363.6195384615385</c:v>
                </c:pt>
                <c:pt idx="54">
                  <c:v>1341.0253846153848</c:v>
                </c:pt>
                <c:pt idx="55">
                  <c:v>1314.7366153846156</c:v>
                </c:pt>
                <c:pt idx="56">
                  <c:v>1286.841076923077</c:v>
                </c:pt>
                <c:pt idx="57">
                  <c:v>1268.5983076923078</c:v>
                </c:pt>
                <c:pt idx="58">
                  <c:v>1259.9276923076925</c:v>
                </c:pt>
                <c:pt idx="59">
                  <c:v>1247.3480769230769</c:v>
                </c:pt>
                <c:pt idx="60">
                  <c:v>1229.0766923076924</c:v>
                </c:pt>
                <c:pt idx="61">
                  <c:v>1208.7103076923077</c:v>
                </c:pt>
                <c:pt idx="62">
                  <c:v>1204.6853076923078</c:v>
                </c:pt>
                <c:pt idx="63">
                  <c:v>1265.3971538461542</c:v>
                </c:pt>
                <c:pt idx="64">
                  <c:v>1437.6160000000002</c:v>
                </c:pt>
                <c:pt idx="65">
                  <c:v>1515.1283076923078</c:v>
                </c:pt>
                <c:pt idx="66">
                  <c:v>1448.1747692307692</c:v>
                </c:pt>
                <c:pt idx="67">
                  <c:v>1365.9640000000002</c:v>
                </c:pt>
                <c:pt idx="68">
                  <c:v>1448.9327692307691</c:v>
                </c:pt>
                <c:pt idx="69">
                  <c:v>1982.8969999999999</c:v>
                </c:pt>
                <c:pt idx="70">
                  <c:v>2890.2323846153845</c:v>
                </c:pt>
                <c:pt idx="71">
                  <c:v>3661.4335384615383</c:v>
                </c:pt>
                <c:pt idx="72">
                  <c:v>3873.0723846153846</c:v>
                </c:pt>
                <c:pt idx="73">
                  <c:v>3479.3244615384615</c:v>
                </c:pt>
                <c:pt idx="74">
                  <c:v>2943.5350769230768</c:v>
                </c:pt>
                <c:pt idx="75">
                  <c:v>2800.0423076923075</c:v>
                </c:pt>
                <c:pt idx="76">
                  <c:v>3011.0275384615379</c:v>
                </c:pt>
                <c:pt idx="77">
                  <c:v>3261.861230769231</c:v>
                </c:pt>
                <c:pt idx="78">
                  <c:v>3296.0995384615385</c:v>
                </c:pt>
                <c:pt idx="79">
                  <c:v>3145.6569999999997</c:v>
                </c:pt>
                <c:pt idx="80">
                  <c:v>3112.7484615384619</c:v>
                </c:pt>
                <c:pt idx="81">
                  <c:v>3286.0449999999992</c:v>
                </c:pt>
                <c:pt idx="82">
                  <c:v>3461.4320769230771</c:v>
                </c:pt>
                <c:pt idx="83">
                  <c:v>3503.7887692307695</c:v>
                </c:pt>
                <c:pt idx="84">
                  <c:v>3419.163384615385</c:v>
                </c:pt>
                <c:pt idx="85">
                  <c:v>3217.8746153846155</c:v>
                </c:pt>
                <c:pt idx="86">
                  <c:v>2906.9682307692306</c:v>
                </c:pt>
                <c:pt idx="87">
                  <c:v>2653.5422307692311</c:v>
                </c:pt>
                <c:pt idx="88">
                  <c:v>2502.107769230769</c:v>
                </c:pt>
                <c:pt idx="89">
                  <c:v>2382.5939230769231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636.73187499999995</c:v>
                </c:pt>
                <c:pt idx="1">
                  <c:v>735.51824999999997</c:v>
                </c:pt>
                <c:pt idx="2">
                  <c:v>1159.4433749999998</c:v>
                </c:pt>
                <c:pt idx="3">
                  <c:v>1781.5349999999999</c:v>
                </c:pt>
                <c:pt idx="4">
                  <c:v>2382.1788750000001</c:v>
                </c:pt>
                <c:pt idx="5">
                  <c:v>2757.455125</c:v>
                </c:pt>
                <c:pt idx="6">
                  <c:v>2904.7786249999999</c:v>
                </c:pt>
                <c:pt idx="7">
                  <c:v>2963.8159999999998</c:v>
                </c:pt>
                <c:pt idx="8">
                  <c:v>2987.6803749999999</c:v>
                </c:pt>
                <c:pt idx="9">
                  <c:v>2944.4657500000003</c:v>
                </c:pt>
                <c:pt idx="10">
                  <c:v>2758.5034999999998</c:v>
                </c:pt>
                <c:pt idx="11">
                  <c:v>2381.37075</c:v>
                </c:pt>
                <c:pt idx="12">
                  <c:v>2093.8833749999999</c:v>
                </c:pt>
                <c:pt idx="13">
                  <c:v>1965.5966249999999</c:v>
                </c:pt>
                <c:pt idx="14">
                  <c:v>1934.6226250000004</c:v>
                </c:pt>
                <c:pt idx="15">
                  <c:v>1937.5631250000001</c:v>
                </c:pt>
                <c:pt idx="16">
                  <c:v>1955.7940000000001</c:v>
                </c:pt>
                <c:pt idx="17">
                  <c:v>1974.8485000000001</c:v>
                </c:pt>
                <c:pt idx="18">
                  <c:v>1981.4147499999999</c:v>
                </c:pt>
                <c:pt idx="19">
                  <c:v>1979.4559999999999</c:v>
                </c:pt>
                <c:pt idx="20">
                  <c:v>1976.6145000000001</c:v>
                </c:pt>
                <c:pt idx="21">
                  <c:v>1984.1532500000001</c:v>
                </c:pt>
                <c:pt idx="22">
                  <c:v>2005.3668749999999</c:v>
                </c:pt>
                <c:pt idx="23">
                  <c:v>2023.125</c:v>
                </c:pt>
                <c:pt idx="24">
                  <c:v>2033.212125</c:v>
                </c:pt>
                <c:pt idx="25">
                  <c:v>2042.41175</c:v>
                </c:pt>
                <c:pt idx="26">
                  <c:v>2062.08275</c:v>
                </c:pt>
                <c:pt idx="27">
                  <c:v>2083.1038749999998</c:v>
                </c:pt>
                <c:pt idx="28">
                  <c:v>2090.3072500000003</c:v>
                </c:pt>
                <c:pt idx="29">
                  <c:v>2096.7440000000001</c:v>
                </c:pt>
                <c:pt idx="30">
                  <c:v>2101.8716250000002</c:v>
                </c:pt>
                <c:pt idx="31">
                  <c:v>2065.8711250000001</c:v>
                </c:pt>
                <c:pt idx="32">
                  <c:v>1956.2648749999998</c:v>
                </c:pt>
                <c:pt idx="33">
                  <c:v>1806.951</c:v>
                </c:pt>
                <c:pt idx="34">
                  <c:v>1683.867125</c:v>
                </c:pt>
                <c:pt idx="35">
                  <c:v>1609.0439999999999</c:v>
                </c:pt>
                <c:pt idx="36">
                  <c:v>1571.9563749999998</c:v>
                </c:pt>
                <c:pt idx="37">
                  <c:v>1552.079</c:v>
                </c:pt>
                <c:pt idx="38">
                  <c:v>1549.3425</c:v>
                </c:pt>
                <c:pt idx="39">
                  <c:v>1562.4252500000002</c:v>
                </c:pt>
                <c:pt idx="40">
                  <c:v>1601.9802500000001</c:v>
                </c:pt>
                <c:pt idx="41">
                  <c:v>1668.7612499999998</c:v>
                </c:pt>
                <c:pt idx="42">
                  <c:v>1739.1918749999998</c:v>
                </c:pt>
                <c:pt idx="43">
                  <c:v>1797.4626249999999</c:v>
                </c:pt>
                <c:pt idx="44">
                  <c:v>1841.5657500000002</c:v>
                </c:pt>
                <c:pt idx="45">
                  <c:v>1866.8751249999998</c:v>
                </c:pt>
                <c:pt idx="46">
                  <c:v>1853.7862500000001</c:v>
                </c:pt>
                <c:pt idx="47">
                  <c:v>1791.9946249999998</c:v>
                </c:pt>
                <c:pt idx="48">
                  <c:v>1679.1871250000002</c:v>
                </c:pt>
                <c:pt idx="49">
                  <c:v>1543.373</c:v>
                </c:pt>
                <c:pt idx="50">
                  <c:v>1419.227625</c:v>
                </c:pt>
                <c:pt idx="51">
                  <c:v>1348.6703749999999</c:v>
                </c:pt>
                <c:pt idx="52">
                  <c:v>1304.4583749999999</c:v>
                </c:pt>
                <c:pt idx="53">
                  <c:v>1277.5174999999999</c:v>
                </c:pt>
                <c:pt idx="54">
                  <c:v>1264.9526250000001</c:v>
                </c:pt>
                <c:pt idx="55">
                  <c:v>1241.2237500000001</c:v>
                </c:pt>
                <c:pt idx="56">
                  <c:v>1229.1767499999999</c:v>
                </c:pt>
                <c:pt idx="57">
                  <c:v>1217.6185</c:v>
                </c:pt>
                <c:pt idx="58">
                  <c:v>1204.099375</c:v>
                </c:pt>
                <c:pt idx="59">
                  <c:v>1201.3787499999999</c:v>
                </c:pt>
                <c:pt idx="60">
                  <c:v>1191.759</c:v>
                </c:pt>
                <c:pt idx="61">
                  <c:v>1182.903875</c:v>
                </c:pt>
                <c:pt idx="62">
                  <c:v>1187.1007500000001</c:v>
                </c:pt>
                <c:pt idx="63">
                  <c:v>1238.3786249999998</c:v>
                </c:pt>
                <c:pt idx="64">
                  <c:v>1385.0025000000003</c:v>
                </c:pt>
                <c:pt idx="65">
                  <c:v>1460.3244999999999</c:v>
                </c:pt>
                <c:pt idx="66">
                  <c:v>1405.90425</c:v>
                </c:pt>
                <c:pt idx="67">
                  <c:v>1346.578125</c:v>
                </c:pt>
                <c:pt idx="68">
                  <c:v>1485.7697499999999</c:v>
                </c:pt>
                <c:pt idx="69">
                  <c:v>2098.09375</c:v>
                </c:pt>
                <c:pt idx="70">
                  <c:v>3033.0992500000002</c:v>
                </c:pt>
                <c:pt idx="71">
                  <c:v>3796.5188750000002</c:v>
                </c:pt>
                <c:pt idx="72">
                  <c:v>3951.0163749999997</c:v>
                </c:pt>
                <c:pt idx="73">
                  <c:v>3510.3415</c:v>
                </c:pt>
                <c:pt idx="74">
                  <c:v>2979.5432499999997</c:v>
                </c:pt>
                <c:pt idx="75">
                  <c:v>2879.1010000000001</c:v>
                </c:pt>
                <c:pt idx="76">
                  <c:v>3154.1860000000001</c:v>
                </c:pt>
                <c:pt idx="77">
                  <c:v>3445.7516250000003</c:v>
                </c:pt>
                <c:pt idx="78">
                  <c:v>3470.9122499999999</c:v>
                </c:pt>
                <c:pt idx="79">
                  <c:v>3253.1606249999995</c:v>
                </c:pt>
                <c:pt idx="80">
                  <c:v>3133.3213750000004</c:v>
                </c:pt>
                <c:pt idx="81">
                  <c:v>3256.9829999999997</c:v>
                </c:pt>
                <c:pt idx="82">
                  <c:v>3408.707375</c:v>
                </c:pt>
                <c:pt idx="83">
                  <c:v>3443.6257500000002</c:v>
                </c:pt>
                <c:pt idx="84">
                  <c:v>3371.495625</c:v>
                </c:pt>
                <c:pt idx="85">
                  <c:v>3189.52225</c:v>
                </c:pt>
                <c:pt idx="86">
                  <c:v>2901.4786250000002</c:v>
                </c:pt>
                <c:pt idx="87">
                  <c:v>2654.4690000000005</c:v>
                </c:pt>
                <c:pt idx="88">
                  <c:v>2499.9715000000006</c:v>
                </c:pt>
                <c:pt idx="89">
                  <c:v>2377.25425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3\_dark_profiles_YA03_DARK-dim_1" connectionId="2" xr16:uid="{5454217B-7022-4770-83FE-D56E65406E0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3\_light_profiles_YA03_LIGHT-dim" connectionId="4" xr16:uid="{140EB9AD-B2AC-4E41-AE69-A0B4849A9C3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3\_dark_profiles_YA03_DARK" connectionId="1" xr16:uid="{E4798BB1-5ECB-4CFE-9252-DCC92A52024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3\_light_profiles_YA03_LIGHT" connectionId="3" xr16:uid="{0E74F5CE-B01B-4AC5-9D33-A5031B72298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8</v>
      </c>
      <c r="B2">
        <v>1</v>
      </c>
      <c r="C2">
        <v>2</v>
      </c>
      <c r="D2">
        <v>3</v>
      </c>
      <c r="E2">
        <v>4</v>
      </c>
      <c r="F2">
        <v>5</v>
      </c>
      <c r="K2" t="s">
        <v>9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1.5629999999999999</v>
      </c>
      <c r="C3">
        <v>1.3680000000000001</v>
      </c>
      <c r="D3">
        <v>2.5960000000000001</v>
      </c>
      <c r="E3">
        <v>2.327</v>
      </c>
      <c r="F3">
        <v>4.5789999999999997</v>
      </c>
      <c r="K3" t="s">
        <v>0</v>
      </c>
      <c r="L3">
        <v>1.365</v>
      </c>
      <c r="M3">
        <v>2.1269999999999998</v>
      </c>
      <c r="N3">
        <v>3.5510000000000002</v>
      </c>
      <c r="O3">
        <v>3.4460000000000002</v>
      </c>
      <c r="P3">
        <v>4.8680000000000003</v>
      </c>
    </row>
    <row r="4" spans="1:19" x14ac:dyDescent="0.25">
      <c r="A4" t="s">
        <v>1</v>
      </c>
      <c r="B4">
        <v>322.51499999999999</v>
      </c>
      <c r="C4">
        <v>324.48500000000001</v>
      </c>
      <c r="D4">
        <v>323.61200000000002</v>
      </c>
      <c r="E4">
        <v>321.88400000000001</v>
      </c>
      <c r="F4">
        <v>321.81599999999997</v>
      </c>
      <c r="H4" s="2">
        <f>AVERAGE(B4:F4)</f>
        <v>322.86240000000004</v>
      </c>
      <c r="I4" s="2">
        <f>STDEV(B4:F4)/SQRT(COUNT(B4:F4))</f>
        <v>0.51805584641040947</v>
      </c>
      <c r="K4" t="s">
        <v>1</v>
      </c>
      <c r="L4">
        <v>322.44900000000001</v>
      </c>
      <c r="M4">
        <v>325.11900000000003</v>
      </c>
      <c r="N4">
        <v>321.73599999999999</v>
      </c>
      <c r="O4">
        <v>323.654</v>
      </c>
      <c r="P4">
        <v>322.44900000000001</v>
      </c>
      <c r="R4" s="3">
        <f>AVERAGE(L4:P4)</f>
        <v>323.08140000000003</v>
      </c>
      <c r="S4" s="3">
        <f>STDEV(L4:P4)/SQRT(COUNT(L4:P4))</f>
        <v>0.59538412810554953</v>
      </c>
    </row>
    <row r="5" spans="1:19" x14ac:dyDescent="0.25">
      <c r="A5" t="s">
        <v>2</v>
      </c>
      <c r="B5">
        <v>73.319999999999993</v>
      </c>
      <c r="C5">
        <v>73.954999999999998</v>
      </c>
      <c r="D5">
        <v>74.11</v>
      </c>
      <c r="E5">
        <v>73.013999999999996</v>
      </c>
      <c r="F5">
        <v>72.86</v>
      </c>
      <c r="H5" s="2">
        <f t="shared" ref="H5:H68" si="0">AVERAGE(B5:F5)</f>
        <v>73.451800000000006</v>
      </c>
      <c r="I5" s="2">
        <f t="shared" ref="I5:I68" si="1">STDEV(B5:F5)/SQRT(COUNT(B5:F5))</f>
        <v>0.24957011038984653</v>
      </c>
      <c r="K5" t="s">
        <v>2</v>
      </c>
      <c r="L5">
        <v>73.254000000000005</v>
      </c>
      <c r="M5">
        <v>73.686000000000007</v>
      </c>
      <c r="N5">
        <v>73.450999999999993</v>
      </c>
      <c r="O5">
        <v>73.006</v>
      </c>
      <c r="P5">
        <v>72.626000000000005</v>
      </c>
      <c r="R5" s="3">
        <f t="shared" ref="R5:R68" si="2">AVERAGE(L5:P5)</f>
        <v>73.204599999999999</v>
      </c>
      <c r="S5" s="3">
        <f t="shared" ref="S5:S68" si="3">STDEV(L5:P5)/SQRT(COUNT(L5:P5))</f>
        <v>0.18290970449924168</v>
      </c>
    </row>
    <row r="6" spans="1:19" x14ac:dyDescent="0.25">
      <c r="A6" t="s">
        <v>3</v>
      </c>
      <c r="B6">
        <v>32.222999999999999</v>
      </c>
      <c r="C6">
        <v>33.895000000000003</v>
      </c>
      <c r="D6">
        <v>33.293999999999997</v>
      </c>
      <c r="E6">
        <v>32.905999999999999</v>
      </c>
      <c r="F6">
        <v>31.51</v>
      </c>
      <c r="H6" s="2">
        <f t="shared" si="0"/>
        <v>32.765599999999992</v>
      </c>
      <c r="I6" s="2">
        <f t="shared" si="1"/>
        <v>0.41505476747051101</v>
      </c>
      <c r="K6" t="s">
        <v>3</v>
      </c>
      <c r="L6">
        <v>32.125</v>
      </c>
      <c r="M6">
        <v>35.091999999999999</v>
      </c>
      <c r="N6">
        <v>31.896999999999998</v>
      </c>
      <c r="O6">
        <v>33.801000000000002</v>
      </c>
      <c r="P6">
        <v>33.186999999999998</v>
      </c>
      <c r="R6" s="3">
        <f t="shared" si="2"/>
        <v>33.220400000000005</v>
      </c>
      <c r="S6" s="3">
        <f t="shared" si="3"/>
        <v>0.58276870197360464</v>
      </c>
    </row>
    <row r="7" spans="1:19" x14ac:dyDescent="0.25">
      <c r="A7">
        <v>-3.75</v>
      </c>
      <c r="B7">
        <v>908.28399999999999</v>
      </c>
      <c r="C7">
        <v>574.91899999999998</v>
      </c>
      <c r="D7">
        <v>725.91</v>
      </c>
      <c r="E7">
        <v>667.81700000000001</v>
      </c>
      <c r="F7">
        <v>931.48599999999999</v>
      </c>
      <c r="H7" s="2">
        <f t="shared" si="0"/>
        <v>761.68319999999994</v>
      </c>
      <c r="I7" s="2">
        <f t="shared" si="1"/>
        <v>69.027616643920226</v>
      </c>
      <c r="K7">
        <v>-3.75</v>
      </c>
      <c r="L7">
        <v>912.221</v>
      </c>
      <c r="M7">
        <v>696.55499999999995</v>
      </c>
      <c r="N7">
        <v>886.32899999999995</v>
      </c>
      <c r="O7">
        <v>837.37099999999998</v>
      </c>
      <c r="P7">
        <v>819.19600000000003</v>
      </c>
      <c r="R7" s="3">
        <f t="shared" si="2"/>
        <v>830.33439999999996</v>
      </c>
      <c r="S7" s="3">
        <f t="shared" si="3"/>
        <v>37.357272415956707</v>
      </c>
    </row>
    <row r="8" spans="1:19" x14ac:dyDescent="0.25">
      <c r="A8">
        <v>-2.5</v>
      </c>
      <c r="B8">
        <v>1103.5329999999999</v>
      </c>
      <c r="C8">
        <v>758.88699999999994</v>
      </c>
      <c r="D8">
        <v>914.84699999999998</v>
      </c>
      <c r="E8">
        <v>761.21100000000001</v>
      </c>
      <c r="F8">
        <v>1105.1400000000001</v>
      </c>
      <c r="H8" s="2">
        <f t="shared" si="0"/>
        <v>928.72360000000003</v>
      </c>
      <c r="I8" s="2">
        <f t="shared" si="1"/>
        <v>77.064445240071137</v>
      </c>
      <c r="K8">
        <v>-2.5</v>
      </c>
      <c r="L8">
        <v>1064.692</v>
      </c>
      <c r="M8">
        <v>854.14599999999996</v>
      </c>
      <c r="N8">
        <v>1024.3710000000001</v>
      </c>
      <c r="O8">
        <v>1035.941</v>
      </c>
      <c r="P8">
        <v>934.18100000000004</v>
      </c>
      <c r="R8" s="3">
        <f t="shared" si="2"/>
        <v>982.6662</v>
      </c>
      <c r="S8" s="3">
        <f t="shared" si="3"/>
        <v>38.84197661731443</v>
      </c>
    </row>
    <row r="9" spans="1:19" x14ac:dyDescent="0.25">
      <c r="A9">
        <v>-1.25</v>
      </c>
      <c r="B9">
        <v>1730.0139999999999</v>
      </c>
      <c r="C9">
        <v>1405.1610000000001</v>
      </c>
      <c r="D9">
        <v>1432.645</v>
      </c>
      <c r="E9">
        <v>1225.597</v>
      </c>
      <c r="F9">
        <v>1538.2070000000001</v>
      </c>
      <c r="H9" s="2">
        <f t="shared" si="0"/>
        <v>1466.3247999999999</v>
      </c>
      <c r="I9" s="2">
        <f t="shared" si="1"/>
        <v>82.922933475848183</v>
      </c>
      <c r="K9">
        <v>-1.25</v>
      </c>
      <c r="L9">
        <v>1608.0519999999999</v>
      </c>
      <c r="M9">
        <v>1519.078</v>
      </c>
      <c r="N9">
        <v>1448.8979999999999</v>
      </c>
      <c r="O9">
        <v>1590.3150000000001</v>
      </c>
      <c r="P9">
        <v>1373.367</v>
      </c>
      <c r="R9" s="3">
        <f t="shared" si="2"/>
        <v>1507.9420000000002</v>
      </c>
      <c r="S9" s="3">
        <f t="shared" si="3"/>
        <v>43.890749757779261</v>
      </c>
    </row>
    <row r="10" spans="1:19" x14ac:dyDescent="0.25">
      <c r="A10">
        <v>0</v>
      </c>
      <c r="B10">
        <v>2689.8180000000002</v>
      </c>
      <c r="C10">
        <v>2400.415</v>
      </c>
      <c r="D10">
        <v>2208.8150000000001</v>
      </c>
      <c r="E10">
        <v>1828.549</v>
      </c>
      <c r="F10">
        <v>2189.2750000000001</v>
      </c>
      <c r="H10" s="2">
        <f t="shared" si="0"/>
        <v>2263.3744000000002</v>
      </c>
      <c r="I10" s="2">
        <f t="shared" si="1"/>
        <v>141.09834296036237</v>
      </c>
      <c r="K10">
        <v>0</v>
      </c>
      <c r="L10">
        <v>2492.835</v>
      </c>
      <c r="M10">
        <v>2409.9369999999999</v>
      </c>
      <c r="N10">
        <v>2060.5050000000001</v>
      </c>
      <c r="O10">
        <v>2343.1190000000001</v>
      </c>
      <c r="P10">
        <v>1965.6220000000001</v>
      </c>
      <c r="R10" s="3">
        <f t="shared" si="2"/>
        <v>2254.4036000000001</v>
      </c>
      <c r="S10" s="3">
        <f t="shared" si="3"/>
        <v>102.44561308304029</v>
      </c>
    </row>
    <row r="11" spans="1:19" x14ac:dyDescent="0.25">
      <c r="A11">
        <v>1.25</v>
      </c>
      <c r="B11">
        <v>3618.5859999999998</v>
      </c>
      <c r="C11">
        <v>3377.2660000000001</v>
      </c>
      <c r="D11">
        <v>2968.2339999999999</v>
      </c>
      <c r="E11">
        <v>2381.011</v>
      </c>
      <c r="F11">
        <v>2802.058</v>
      </c>
      <c r="H11" s="2">
        <f t="shared" si="0"/>
        <v>3029.4309999999996</v>
      </c>
      <c r="I11" s="2">
        <f t="shared" si="1"/>
        <v>217.25386666156379</v>
      </c>
      <c r="K11">
        <v>1.25</v>
      </c>
      <c r="L11">
        <v>3283.8620000000001</v>
      </c>
      <c r="M11">
        <v>3370.3180000000002</v>
      </c>
      <c r="N11">
        <v>2619.953</v>
      </c>
      <c r="O11">
        <v>3008.5059999999999</v>
      </c>
      <c r="P11">
        <v>2574.9830000000002</v>
      </c>
      <c r="R11" s="3">
        <f t="shared" si="2"/>
        <v>2971.5243999999998</v>
      </c>
      <c r="S11" s="3">
        <f t="shared" si="3"/>
        <v>164.13504831772113</v>
      </c>
    </row>
    <row r="12" spans="1:19" x14ac:dyDescent="0.25">
      <c r="A12">
        <v>2.5</v>
      </c>
      <c r="B12">
        <v>3780.741</v>
      </c>
      <c r="C12">
        <v>3740.7750000000001</v>
      </c>
      <c r="D12">
        <v>3302.8809999999999</v>
      </c>
      <c r="E12">
        <v>2783.8470000000002</v>
      </c>
      <c r="F12">
        <v>3194.33</v>
      </c>
      <c r="H12" s="2">
        <f t="shared" si="0"/>
        <v>3360.5147999999999</v>
      </c>
      <c r="I12" s="2">
        <f t="shared" si="1"/>
        <v>185.02333272871215</v>
      </c>
      <c r="K12">
        <v>2.5</v>
      </c>
      <c r="L12">
        <v>3415.0390000000002</v>
      </c>
      <c r="M12">
        <v>3672.203</v>
      </c>
      <c r="N12">
        <v>2965.9870000000001</v>
      </c>
      <c r="O12">
        <v>3443.1889999999999</v>
      </c>
      <c r="P12">
        <v>2957.2979999999998</v>
      </c>
      <c r="R12" s="3">
        <f t="shared" si="2"/>
        <v>3290.7431999999999</v>
      </c>
      <c r="S12" s="3">
        <f t="shared" si="3"/>
        <v>141.57207310991814</v>
      </c>
    </row>
    <row r="13" spans="1:19" x14ac:dyDescent="0.25">
      <c r="A13">
        <v>3.75</v>
      </c>
      <c r="B13">
        <v>3559.3150000000001</v>
      </c>
      <c r="C13">
        <v>3532.1060000000002</v>
      </c>
      <c r="D13">
        <v>3471.819</v>
      </c>
      <c r="E13">
        <v>2976.6309999999999</v>
      </c>
      <c r="F13">
        <v>3348.2130000000002</v>
      </c>
      <c r="H13" s="2">
        <f t="shared" si="0"/>
        <v>3377.6167999999998</v>
      </c>
      <c r="I13" s="2">
        <f t="shared" si="1"/>
        <v>106.6324056140534</v>
      </c>
      <c r="K13">
        <v>3.75</v>
      </c>
      <c r="L13">
        <v>3258.0250000000001</v>
      </c>
      <c r="M13">
        <v>3630.0749999999998</v>
      </c>
      <c r="N13">
        <v>3137.2440000000001</v>
      </c>
      <c r="O13">
        <v>3658.8209999999999</v>
      </c>
      <c r="P13">
        <v>3083.62</v>
      </c>
      <c r="R13" s="3">
        <f t="shared" si="2"/>
        <v>3353.5569999999998</v>
      </c>
      <c r="S13" s="3">
        <f t="shared" si="3"/>
        <v>122.15399604229079</v>
      </c>
    </row>
    <row r="14" spans="1:19" x14ac:dyDescent="0.25">
      <c r="A14">
        <v>5</v>
      </c>
      <c r="B14">
        <v>3470.5349999999999</v>
      </c>
      <c r="C14">
        <v>3419.5639999999999</v>
      </c>
      <c r="D14">
        <v>3546.4520000000002</v>
      </c>
      <c r="E14">
        <v>3058.7950000000001</v>
      </c>
      <c r="F14">
        <v>3409.047</v>
      </c>
      <c r="H14" s="2">
        <f t="shared" si="0"/>
        <v>3380.8786</v>
      </c>
      <c r="I14" s="2">
        <f t="shared" si="1"/>
        <v>84.107278272810603</v>
      </c>
      <c r="K14">
        <v>5</v>
      </c>
      <c r="L14">
        <v>3234.2910000000002</v>
      </c>
      <c r="M14">
        <v>3673.57</v>
      </c>
      <c r="N14">
        <v>3153.6840000000002</v>
      </c>
      <c r="O14">
        <v>3709.0010000000002</v>
      </c>
      <c r="P14">
        <v>3146.1210000000001</v>
      </c>
      <c r="R14" s="3">
        <f t="shared" si="2"/>
        <v>3383.3334000000004</v>
      </c>
      <c r="S14" s="3">
        <f t="shared" si="3"/>
        <v>126.79094531968758</v>
      </c>
    </row>
    <row r="15" spans="1:19" x14ac:dyDescent="0.25">
      <c r="A15">
        <v>6.25</v>
      </c>
      <c r="B15">
        <v>3501.9090000000001</v>
      </c>
      <c r="C15">
        <v>3434.3809999999999</v>
      </c>
      <c r="D15">
        <v>3524.4450000000002</v>
      </c>
      <c r="E15">
        <v>3056.8449999999998</v>
      </c>
      <c r="F15">
        <v>3453.0610000000001</v>
      </c>
      <c r="H15" s="2">
        <f t="shared" si="0"/>
        <v>3394.1282000000001</v>
      </c>
      <c r="I15" s="2">
        <f t="shared" si="1"/>
        <v>85.863988096523954</v>
      </c>
      <c r="K15">
        <v>6.25</v>
      </c>
      <c r="L15">
        <v>3226.7759999999998</v>
      </c>
      <c r="M15">
        <v>3657.1849999999999</v>
      </c>
      <c r="N15">
        <v>3149.547</v>
      </c>
      <c r="O15">
        <v>3713.2440000000001</v>
      </c>
      <c r="P15">
        <v>3173.3319999999999</v>
      </c>
      <c r="R15" s="3">
        <f t="shared" si="2"/>
        <v>3384.0167999999999</v>
      </c>
      <c r="S15" s="3">
        <f t="shared" si="3"/>
        <v>123.91534528838633</v>
      </c>
    </row>
    <row r="16" spans="1:19" x14ac:dyDescent="0.25">
      <c r="A16">
        <v>7.5</v>
      </c>
      <c r="B16">
        <v>3434.91</v>
      </c>
      <c r="C16">
        <v>3373.7460000000001</v>
      </c>
      <c r="D16">
        <v>3438.5039999999999</v>
      </c>
      <c r="E16">
        <v>2973.8069999999998</v>
      </c>
      <c r="F16">
        <v>3376.3110000000001</v>
      </c>
      <c r="H16" s="2">
        <f t="shared" si="0"/>
        <v>3319.4556000000002</v>
      </c>
      <c r="I16" s="2">
        <f t="shared" si="1"/>
        <v>87.508622073827709</v>
      </c>
      <c r="K16">
        <v>7.5</v>
      </c>
      <c r="L16">
        <v>3201.9589999999998</v>
      </c>
      <c r="M16">
        <v>3589.7020000000002</v>
      </c>
      <c r="N16">
        <v>3087.6030000000001</v>
      </c>
      <c r="O16">
        <v>3610.3389999999999</v>
      </c>
      <c r="P16">
        <v>3094.7269999999999</v>
      </c>
      <c r="R16" s="3">
        <f t="shared" si="2"/>
        <v>3316.8659999999995</v>
      </c>
      <c r="S16" s="3">
        <f t="shared" si="3"/>
        <v>117.40459142725214</v>
      </c>
    </row>
    <row r="17" spans="1:19" x14ac:dyDescent="0.25">
      <c r="A17">
        <v>8.75</v>
      </c>
      <c r="B17">
        <v>3253.692</v>
      </c>
      <c r="C17">
        <v>3199.7350000000001</v>
      </c>
      <c r="D17">
        <v>3243.8510000000001</v>
      </c>
      <c r="E17">
        <v>2765.0709999999999</v>
      </c>
      <c r="F17">
        <v>3169.0309999999999</v>
      </c>
      <c r="H17" s="2">
        <f t="shared" si="0"/>
        <v>3126.2760000000003</v>
      </c>
      <c r="I17" s="2">
        <f t="shared" si="1"/>
        <v>91.583837114416681</v>
      </c>
      <c r="K17">
        <v>8.75</v>
      </c>
      <c r="L17">
        <v>3051.4459999999999</v>
      </c>
      <c r="M17">
        <v>3391.8910000000001</v>
      </c>
      <c r="N17">
        <v>2866.0070000000001</v>
      </c>
      <c r="O17">
        <v>3360.0509999999999</v>
      </c>
      <c r="P17">
        <v>2912.308</v>
      </c>
      <c r="R17" s="3">
        <f t="shared" si="2"/>
        <v>3116.3405999999995</v>
      </c>
      <c r="S17" s="3">
        <f t="shared" si="3"/>
        <v>110.41519466749129</v>
      </c>
    </row>
    <row r="18" spans="1:19" x14ac:dyDescent="0.25">
      <c r="A18">
        <v>10</v>
      </c>
      <c r="B18">
        <v>2868.1309999999999</v>
      </c>
      <c r="C18">
        <v>2836.1480000000001</v>
      </c>
      <c r="D18">
        <v>2737.2739999999999</v>
      </c>
      <c r="E18">
        <v>2415.1</v>
      </c>
      <c r="F18">
        <v>2746.8670000000002</v>
      </c>
      <c r="H18" s="2">
        <f t="shared" si="0"/>
        <v>2720.7040000000002</v>
      </c>
      <c r="I18" s="2">
        <f t="shared" si="1"/>
        <v>80.440944098761065</v>
      </c>
      <c r="K18">
        <v>10</v>
      </c>
      <c r="L18">
        <v>2662.7220000000002</v>
      </c>
      <c r="M18">
        <v>2928.3539999999998</v>
      </c>
      <c r="N18">
        <v>2453.7860000000001</v>
      </c>
      <c r="O18">
        <v>2882.2440000000001</v>
      </c>
      <c r="P18">
        <v>2516.194</v>
      </c>
      <c r="R18" s="3">
        <f t="shared" si="2"/>
        <v>2688.66</v>
      </c>
      <c r="S18" s="3">
        <f t="shared" si="3"/>
        <v>95.002914578448582</v>
      </c>
    </row>
    <row r="19" spans="1:19" x14ac:dyDescent="0.25">
      <c r="A19">
        <v>11.25</v>
      </c>
      <c r="B19">
        <v>2477.1729999999998</v>
      </c>
      <c r="C19">
        <v>2470.123</v>
      </c>
      <c r="D19">
        <v>2383.0189999999998</v>
      </c>
      <c r="E19">
        <v>2123.3139999999999</v>
      </c>
      <c r="F19">
        <v>2405.4070000000002</v>
      </c>
      <c r="H19" s="2">
        <f t="shared" si="0"/>
        <v>2371.8072000000002</v>
      </c>
      <c r="I19" s="2">
        <f t="shared" si="1"/>
        <v>64.719189505431856</v>
      </c>
      <c r="K19">
        <v>11.25</v>
      </c>
      <c r="L19">
        <v>2312.8090000000002</v>
      </c>
      <c r="M19">
        <v>2514.3809999999999</v>
      </c>
      <c r="N19">
        <v>2132.5059999999999</v>
      </c>
      <c r="O19">
        <v>2537.848</v>
      </c>
      <c r="P19">
        <v>2209.9549999999999</v>
      </c>
      <c r="R19" s="3">
        <f t="shared" si="2"/>
        <v>2341.4998000000001</v>
      </c>
      <c r="S19" s="3">
        <f t="shared" si="3"/>
        <v>80.698863005249336</v>
      </c>
    </row>
    <row r="20" spans="1:19" x14ac:dyDescent="0.25">
      <c r="A20">
        <v>12.5</v>
      </c>
      <c r="B20">
        <v>2263.0650000000001</v>
      </c>
      <c r="C20">
        <v>2225.7179999999998</v>
      </c>
      <c r="D20">
        <v>2242.8589999999999</v>
      </c>
      <c r="E20">
        <v>1989.489</v>
      </c>
      <c r="F20">
        <v>2285.3629999999998</v>
      </c>
      <c r="H20" s="2">
        <f t="shared" si="0"/>
        <v>2201.2987999999996</v>
      </c>
      <c r="I20" s="2">
        <f t="shared" si="1"/>
        <v>53.883574544011061</v>
      </c>
      <c r="K20">
        <v>12.5</v>
      </c>
      <c r="L20">
        <v>2143.087</v>
      </c>
      <c r="M20">
        <v>2311.277</v>
      </c>
      <c r="N20">
        <v>1988.55</v>
      </c>
      <c r="O20">
        <v>2373.54</v>
      </c>
      <c r="P20">
        <v>2082.8150000000001</v>
      </c>
      <c r="R20" s="3">
        <f t="shared" si="2"/>
        <v>2179.8537999999999</v>
      </c>
      <c r="S20" s="3">
        <f t="shared" si="3"/>
        <v>71.467430257005887</v>
      </c>
    </row>
    <row r="21" spans="1:19" x14ac:dyDescent="0.25">
      <c r="A21">
        <v>13.75</v>
      </c>
      <c r="B21">
        <v>2200.3470000000002</v>
      </c>
      <c r="C21">
        <v>2132.2600000000002</v>
      </c>
      <c r="D21">
        <v>2198.1790000000001</v>
      </c>
      <c r="E21">
        <v>1956.0319999999999</v>
      </c>
      <c r="F21">
        <v>2258.5749999999998</v>
      </c>
      <c r="H21" s="2">
        <f t="shared" si="0"/>
        <v>2149.0785999999998</v>
      </c>
      <c r="I21" s="2">
        <f t="shared" si="1"/>
        <v>52.239168642504261</v>
      </c>
      <c r="K21">
        <v>13.75</v>
      </c>
      <c r="L21">
        <v>2080.855</v>
      </c>
      <c r="M21">
        <v>2258.2629999999999</v>
      </c>
      <c r="N21">
        <v>1952.9290000000001</v>
      </c>
      <c r="O21">
        <v>2311.5920000000001</v>
      </c>
      <c r="P21">
        <v>2049.6460000000002</v>
      </c>
      <c r="R21" s="3">
        <f t="shared" si="2"/>
        <v>2130.6570000000002</v>
      </c>
      <c r="S21" s="3">
        <f t="shared" si="3"/>
        <v>66.951859111603454</v>
      </c>
    </row>
    <row r="22" spans="1:19" x14ac:dyDescent="0.25">
      <c r="A22">
        <v>15</v>
      </c>
      <c r="B22">
        <v>2198.4090000000001</v>
      </c>
      <c r="C22">
        <v>2116.0549999999998</v>
      </c>
      <c r="D22">
        <v>2181.9940000000001</v>
      </c>
      <c r="E22">
        <v>1965.5920000000001</v>
      </c>
      <c r="F22">
        <v>2246.5329999999999</v>
      </c>
      <c r="H22" s="2">
        <f t="shared" si="0"/>
        <v>2141.7166000000002</v>
      </c>
      <c r="I22" s="2">
        <f t="shared" si="1"/>
        <v>48.734570541454438</v>
      </c>
      <c r="K22">
        <v>15</v>
      </c>
      <c r="L22">
        <v>2060.665</v>
      </c>
      <c r="M22">
        <v>2263.7429999999999</v>
      </c>
      <c r="N22">
        <v>1960.645</v>
      </c>
      <c r="O22">
        <v>2295.7890000000002</v>
      </c>
      <c r="P22">
        <v>2058.9229999999998</v>
      </c>
      <c r="R22" s="3">
        <f t="shared" si="2"/>
        <v>2127.953</v>
      </c>
      <c r="S22" s="3">
        <f t="shared" si="3"/>
        <v>64.765974749091853</v>
      </c>
    </row>
    <row r="23" spans="1:19" x14ac:dyDescent="0.25">
      <c r="A23">
        <v>16.25</v>
      </c>
      <c r="B23">
        <v>2207.3290000000002</v>
      </c>
      <c r="C23">
        <v>2111.2460000000001</v>
      </c>
      <c r="D23">
        <v>2202.4760000000001</v>
      </c>
      <c r="E23">
        <v>1992.096</v>
      </c>
      <c r="F23">
        <v>2247.308</v>
      </c>
      <c r="H23" s="2">
        <f t="shared" si="0"/>
        <v>2152.0910000000003</v>
      </c>
      <c r="I23" s="2">
        <f t="shared" si="1"/>
        <v>45.783663029513065</v>
      </c>
      <c r="K23">
        <v>16.25</v>
      </c>
      <c r="L23">
        <v>2072.7829999999999</v>
      </c>
      <c r="M23">
        <v>2277.5079999999998</v>
      </c>
      <c r="N23">
        <v>1972.9649999999999</v>
      </c>
      <c r="O23">
        <v>2312.7620000000002</v>
      </c>
      <c r="P23">
        <v>2076.0410000000002</v>
      </c>
      <c r="R23" s="3">
        <f t="shared" si="2"/>
        <v>2142.4118000000003</v>
      </c>
      <c r="S23" s="3">
        <f t="shared" si="3"/>
        <v>65.282327167005931</v>
      </c>
    </row>
    <row r="24" spans="1:19" x14ac:dyDescent="0.25">
      <c r="A24">
        <v>17.5</v>
      </c>
      <c r="B24">
        <v>2211.9789999999998</v>
      </c>
      <c r="C24">
        <v>2130.79</v>
      </c>
      <c r="D24">
        <v>2222.33</v>
      </c>
      <c r="E24">
        <v>2006.2090000000001</v>
      </c>
      <c r="F24">
        <v>2248.799</v>
      </c>
      <c r="H24" s="2">
        <f t="shared" si="0"/>
        <v>2164.0214000000001</v>
      </c>
      <c r="I24" s="2">
        <f t="shared" si="1"/>
        <v>44.099968953050265</v>
      </c>
      <c r="K24">
        <v>17.5</v>
      </c>
      <c r="L24">
        <v>2094.9499999999998</v>
      </c>
      <c r="M24">
        <v>2292.3270000000002</v>
      </c>
      <c r="N24">
        <v>1980.2159999999999</v>
      </c>
      <c r="O24">
        <v>2332.7049999999999</v>
      </c>
      <c r="P24">
        <v>2082.0859999999998</v>
      </c>
      <c r="R24" s="3">
        <f t="shared" si="2"/>
        <v>2156.4567999999999</v>
      </c>
      <c r="S24" s="3">
        <f t="shared" si="3"/>
        <v>67.044411092499018</v>
      </c>
    </row>
    <row r="25" spans="1:19" x14ac:dyDescent="0.25">
      <c r="A25">
        <v>18.75</v>
      </c>
      <c r="B25">
        <v>2216.1570000000002</v>
      </c>
      <c r="C25">
        <v>2153.556</v>
      </c>
      <c r="D25">
        <v>2223.8040000000001</v>
      </c>
      <c r="E25">
        <v>2005.6469999999999</v>
      </c>
      <c r="F25">
        <v>2256.0500000000002</v>
      </c>
      <c r="H25" s="2">
        <f t="shared" si="0"/>
        <v>2171.0428000000002</v>
      </c>
      <c r="I25" s="2">
        <f t="shared" si="1"/>
        <v>44.557164491695424</v>
      </c>
      <c r="K25">
        <v>18.75</v>
      </c>
      <c r="L25">
        <v>2102.9690000000001</v>
      </c>
      <c r="M25">
        <v>2287.1370000000002</v>
      </c>
      <c r="N25">
        <v>1980.269</v>
      </c>
      <c r="O25">
        <v>2339.35</v>
      </c>
      <c r="P25">
        <v>2087.7820000000002</v>
      </c>
      <c r="R25" s="3">
        <f t="shared" si="2"/>
        <v>2159.5014000000001</v>
      </c>
      <c r="S25" s="3">
        <f t="shared" si="3"/>
        <v>66.745862457983108</v>
      </c>
    </row>
    <row r="26" spans="1:19" x14ac:dyDescent="0.25">
      <c r="A26">
        <v>20</v>
      </c>
      <c r="B26">
        <v>2224.2570000000001</v>
      </c>
      <c r="C26">
        <v>2168.0549999999998</v>
      </c>
      <c r="D26">
        <v>2216.4650000000001</v>
      </c>
      <c r="E26">
        <v>2002.6949999999999</v>
      </c>
      <c r="F26">
        <v>2263.605</v>
      </c>
      <c r="H26" s="2">
        <f t="shared" si="0"/>
        <v>2175.0153999999998</v>
      </c>
      <c r="I26" s="2">
        <f t="shared" si="1"/>
        <v>45.680241441568612</v>
      </c>
      <c r="K26">
        <v>20</v>
      </c>
      <c r="L26">
        <v>2101.067</v>
      </c>
      <c r="M26">
        <v>2276.7849999999999</v>
      </c>
      <c r="N26">
        <v>1979.681</v>
      </c>
      <c r="O26">
        <v>2339.2649999999999</v>
      </c>
      <c r="P26">
        <v>2064.172</v>
      </c>
      <c r="R26" s="3">
        <f t="shared" si="2"/>
        <v>2152.194</v>
      </c>
      <c r="S26" s="3">
        <f t="shared" si="3"/>
        <v>67.320522169692026</v>
      </c>
    </row>
    <row r="27" spans="1:19" x14ac:dyDescent="0.25">
      <c r="A27">
        <v>21.25</v>
      </c>
      <c r="B27">
        <v>2223.848</v>
      </c>
      <c r="C27">
        <v>2163.3629999999998</v>
      </c>
      <c r="D27">
        <v>2200.1869999999999</v>
      </c>
      <c r="E27">
        <v>1995.4870000000001</v>
      </c>
      <c r="F27">
        <v>2239.069</v>
      </c>
      <c r="H27" s="2">
        <f t="shared" si="0"/>
        <v>2164.3907999999997</v>
      </c>
      <c r="I27" s="2">
        <f t="shared" si="1"/>
        <v>44.115139209119555</v>
      </c>
      <c r="K27">
        <v>21.25</v>
      </c>
      <c r="L27">
        <v>2098.7759999999998</v>
      </c>
      <c r="M27">
        <v>2257.4369999999999</v>
      </c>
      <c r="N27">
        <v>1961.0239999999999</v>
      </c>
      <c r="O27">
        <v>2317.3679999999999</v>
      </c>
      <c r="P27">
        <v>2038.39</v>
      </c>
      <c r="R27" s="3">
        <f t="shared" si="2"/>
        <v>2134.5989999999997</v>
      </c>
      <c r="S27" s="3">
        <f t="shared" si="3"/>
        <v>66.768788082456595</v>
      </c>
    </row>
    <row r="28" spans="1:19" x14ac:dyDescent="0.25">
      <c r="A28">
        <v>22.5</v>
      </c>
      <c r="B28">
        <v>2217.5259999999998</v>
      </c>
      <c r="C28">
        <v>2155.7080000000001</v>
      </c>
      <c r="D28">
        <v>2196.826</v>
      </c>
      <c r="E28">
        <v>1987.664</v>
      </c>
      <c r="F28">
        <v>2237.5</v>
      </c>
      <c r="H28" s="2">
        <f t="shared" si="0"/>
        <v>2159.0448000000001</v>
      </c>
      <c r="I28" s="2">
        <f t="shared" si="1"/>
        <v>44.936177561514945</v>
      </c>
      <c r="K28">
        <v>22.5</v>
      </c>
      <c r="L28">
        <v>2102.0920000000001</v>
      </c>
      <c r="M28">
        <v>2271.7420000000002</v>
      </c>
      <c r="N28">
        <v>1962.66</v>
      </c>
      <c r="O28">
        <v>2284.0830000000001</v>
      </c>
      <c r="P28">
        <v>2047.634</v>
      </c>
      <c r="R28" s="3">
        <f t="shared" si="2"/>
        <v>2133.6422000000002</v>
      </c>
      <c r="S28" s="3">
        <f t="shared" si="3"/>
        <v>62.980841280821274</v>
      </c>
    </row>
    <row r="29" spans="1:19" x14ac:dyDescent="0.25">
      <c r="A29">
        <v>23.75</v>
      </c>
      <c r="B29">
        <v>2231.9490000000001</v>
      </c>
      <c r="C29">
        <v>2163.1999999999998</v>
      </c>
      <c r="D29">
        <v>2213.9780000000001</v>
      </c>
      <c r="E29">
        <v>2008.3689999999999</v>
      </c>
      <c r="F29">
        <v>2281.1770000000001</v>
      </c>
      <c r="H29" s="2">
        <f t="shared" si="0"/>
        <v>2179.7345999999998</v>
      </c>
      <c r="I29" s="2">
        <f t="shared" si="1"/>
        <v>46.812966360400658</v>
      </c>
      <c r="K29">
        <v>23.75</v>
      </c>
      <c r="L29">
        <v>2120.0279999999998</v>
      </c>
      <c r="M29">
        <v>2303.0360000000001</v>
      </c>
      <c r="N29">
        <v>2005.91</v>
      </c>
      <c r="O29">
        <v>2306.223</v>
      </c>
      <c r="P29">
        <v>2089.3009999999999</v>
      </c>
      <c r="R29" s="3">
        <f t="shared" si="2"/>
        <v>2164.8995999999997</v>
      </c>
      <c r="S29" s="3">
        <f t="shared" si="3"/>
        <v>60.02510729236559</v>
      </c>
    </row>
    <row r="30" spans="1:19" x14ac:dyDescent="0.25">
      <c r="A30">
        <v>25</v>
      </c>
      <c r="B30">
        <v>2272.2649999999999</v>
      </c>
      <c r="C30">
        <v>2197.8429999999998</v>
      </c>
      <c r="D30">
        <v>2245.5439999999999</v>
      </c>
      <c r="E30">
        <v>2036.31</v>
      </c>
      <c r="F30">
        <v>2316.41</v>
      </c>
      <c r="H30" s="2">
        <f t="shared" si="0"/>
        <v>2213.6743999999999</v>
      </c>
      <c r="I30" s="2">
        <f t="shared" si="1"/>
        <v>48.32799237150244</v>
      </c>
      <c r="K30">
        <v>25</v>
      </c>
      <c r="L30">
        <v>2140.5210000000002</v>
      </c>
      <c r="M30">
        <v>2326.1559999999999</v>
      </c>
      <c r="N30">
        <v>2040.441</v>
      </c>
      <c r="O30">
        <v>2374.6080000000002</v>
      </c>
      <c r="P30">
        <v>2130.7579999999998</v>
      </c>
      <c r="R30" s="3">
        <f t="shared" si="2"/>
        <v>2202.4967999999999</v>
      </c>
      <c r="S30" s="3">
        <f t="shared" si="3"/>
        <v>63.310109948885753</v>
      </c>
    </row>
    <row r="31" spans="1:19" x14ac:dyDescent="0.25">
      <c r="A31">
        <v>26.25</v>
      </c>
      <c r="B31">
        <v>2279.3119999999999</v>
      </c>
      <c r="C31">
        <v>2219.0909999999999</v>
      </c>
      <c r="D31">
        <v>2265.2570000000001</v>
      </c>
      <c r="E31">
        <v>2038.6659999999999</v>
      </c>
      <c r="F31">
        <v>2316.9229999999998</v>
      </c>
      <c r="H31" s="2">
        <f t="shared" si="0"/>
        <v>2223.8498</v>
      </c>
      <c r="I31" s="2">
        <f t="shared" si="1"/>
        <v>48.871729230097827</v>
      </c>
      <c r="K31">
        <v>26.25</v>
      </c>
      <c r="L31">
        <v>2152.7350000000001</v>
      </c>
      <c r="M31">
        <v>2333.4340000000002</v>
      </c>
      <c r="N31">
        <v>2040.5229999999999</v>
      </c>
      <c r="O31">
        <v>2413.0230000000001</v>
      </c>
      <c r="P31">
        <v>2144.7660000000001</v>
      </c>
      <c r="R31" s="3">
        <f t="shared" si="2"/>
        <v>2216.8962000000001</v>
      </c>
      <c r="S31" s="3">
        <f t="shared" si="3"/>
        <v>67.997688020549674</v>
      </c>
    </row>
    <row r="32" spans="1:19" x14ac:dyDescent="0.25">
      <c r="A32">
        <v>27.5</v>
      </c>
      <c r="B32">
        <v>2274.643</v>
      </c>
      <c r="C32">
        <v>2221.5920000000001</v>
      </c>
      <c r="D32">
        <v>2280.6309999999999</v>
      </c>
      <c r="E32">
        <v>2022.15</v>
      </c>
      <c r="F32">
        <v>2329.23</v>
      </c>
      <c r="H32" s="2">
        <f t="shared" si="0"/>
        <v>2225.6491999999998</v>
      </c>
      <c r="I32" s="2">
        <f t="shared" si="1"/>
        <v>53.65666695332461</v>
      </c>
      <c r="K32">
        <v>27.5</v>
      </c>
      <c r="L32">
        <v>2153.973</v>
      </c>
      <c r="M32">
        <v>2343.0700000000002</v>
      </c>
      <c r="N32">
        <v>2051.9389999999999</v>
      </c>
      <c r="O32">
        <v>2416.6970000000001</v>
      </c>
      <c r="P32">
        <v>2155.4560000000001</v>
      </c>
      <c r="R32" s="3">
        <f t="shared" si="2"/>
        <v>2224.2269999999999</v>
      </c>
      <c r="S32" s="3">
        <f t="shared" si="3"/>
        <v>67.274285373387698</v>
      </c>
    </row>
    <row r="33" spans="1:19" x14ac:dyDescent="0.25">
      <c r="A33">
        <v>28.75</v>
      </c>
      <c r="B33">
        <v>2270.3270000000002</v>
      </c>
      <c r="C33">
        <v>2223.473</v>
      </c>
      <c r="D33">
        <v>2301.9459999999999</v>
      </c>
      <c r="E33">
        <v>2016.0219999999999</v>
      </c>
      <c r="F33">
        <v>2358.998</v>
      </c>
      <c r="H33" s="2">
        <f t="shared" si="0"/>
        <v>2234.1531999999997</v>
      </c>
      <c r="I33" s="2">
        <f t="shared" si="1"/>
        <v>58.815779647472176</v>
      </c>
      <c r="K33">
        <v>28.75</v>
      </c>
      <c r="L33">
        <v>2156.674</v>
      </c>
      <c r="M33">
        <v>2374.2710000000002</v>
      </c>
      <c r="N33">
        <v>2077.886</v>
      </c>
      <c r="O33">
        <v>2430.652</v>
      </c>
      <c r="P33">
        <v>2171.9949999999999</v>
      </c>
      <c r="R33" s="3">
        <f t="shared" si="2"/>
        <v>2242.2955999999999</v>
      </c>
      <c r="S33" s="3">
        <f t="shared" si="3"/>
        <v>67.896755793336723</v>
      </c>
    </row>
    <row r="34" spans="1:19" x14ac:dyDescent="0.25">
      <c r="A34">
        <v>30</v>
      </c>
      <c r="B34">
        <v>2282.386</v>
      </c>
      <c r="C34">
        <v>2238.145</v>
      </c>
      <c r="D34">
        <v>2299.9079999999999</v>
      </c>
      <c r="E34">
        <v>2035.963</v>
      </c>
      <c r="F34">
        <v>2384.9079999999999</v>
      </c>
      <c r="H34" s="2">
        <f t="shared" si="0"/>
        <v>2248.2619999999997</v>
      </c>
      <c r="I34" s="2">
        <f t="shared" si="1"/>
        <v>58.170914165930022</v>
      </c>
      <c r="K34">
        <v>30</v>
      </c>
      <c r="L34">
        <v>2184.2469999999998</v>
      </c>
      <c r="M34">
        <v>2398.3739999999998</v>
      </c>
      <c r="N34">
        <v>2078.0300000000002</v>
      </c>
      <c r="O34">
        <v>2441.0540000000001</v>
      </c>
      <c r="P34">
        <v>2191.2779999999998</v>
      </c>
      <c r="R34" s="3">
        <f t="shared" si="2"/>
        <v>2258.5965999999999</v>
      </c>
      <c r="S34" s="3">
        <f t="shared" si="3"/>
        <v>69.098617325963886</v>
      </c>
    </row>
    <row r="35" spans="1:19" x14ac:dyDescent="0.25">
      <c r="A35">
        <v>31.25</v>
      </c>
      <c r="B35">
        <v>2285.1770000000001</v>
      </c>
      <c r="C35">
        <v>2253.424</v>
      </c>
      <c r="D35">
        <v>2289.694</v>
      </c>
      <c r="E35">
        <v>2067.39</v>
      </c>
      <c r="F35">
        <v>2401.0619999999999</v>
      </c>
      <c r="H35" s="2">
        <f t="shared" si="0"/>
        <v>2259.3494000000001</v>
      </c>
      <c r="I35" s="2">
        <f t="shared" si="1"/>
        <v>54.108152012058227</v>
      </c>
      <c r="K35">
        <v>31.25</v>
      </c>
      <c r="L35">
        <v>2196.4969999999998</v>
      </c>
      <c r="M35">
        <v>2395.1799999999998</v>
      </c>
      <c r="N35">
        <v>2064.3760000000002</v>
      </c>
      <c r="O35">
        <v>2440.3330000000001</v>
      </c>
      <c r="P35">
        <v>2199.8919999999998</v>
      </c>
      <c r="R35" s="3">
        <f t="shared" si="2"/>
        <v>2259.2556</v>
      </c>
      <c r="S35" s="3">
        <f t="shared" si="3"/>
        <v>69.536035507210187</v>
      </c>
    </row>
    <row r="36" spans="1:19" x14ac:dyDescent="0.25">
      <c r="A36">
        <v>32.5</v>
      </c>
      <c r="B36">
        <v>2281.797</v>
      </c>
      <c r="C36">
        <v>2261.538</v>
      </c>
      <c r="D36">
        <v>2303.6619999999998</v>
      </c>
      <c r="E36">
        <v>2091.1570000000002</v>
      </c>
      <c r="F36">
        <v>2397.636</v>
      </c>
      <c r="H36" s="2">
        <f t="shared" si="0"/>
        <v>2267.1579999999999</v>
      </c>
      <c r="I36" s="2">
        <f t="shared" si="1"/>
        <v>49.789199241401704</v>
      </c>
      <c r="K36">
        <v>32.5</v>
      </c>
      <c r="L36">
        <v>2199.2350000000001</v>
      </c>
      <c r="M36">
        <v>2402.944</v>
      </c>
      <c r="N36">
        <v>2068.335</v>
      </c>
      <c r="O36">
        <v>2446.125</v>
      </c>
      <c r="P36">
        <v>2207.2910000000002</v>
      </c>
      <c r="R36" s="3">
        <f t="shared" si="2"/>
        <v>2264.7860000000001</v>
      </c>
      <c r="S36" s="3">
        <f t="shared" si="3"/>
        <v>70.059642417014928</v>
      </c>
    </row>
    <row r="37" spans="1:19" x14ac:dyDescent="0.25">
      <c r="A37">
        <v>33.75</v>
      </c>
      <c r="B37">
        <v>2294.7269999999999</v>
      </c>
      <c r="C37">
        <v>2268.6039999999998</v>
      </c>
      <c r="D37">
        <v>2329.0410000000002</v>
      </c>
      <c r="E37">
        <v>2093.556</v>
      </c>
      <c r="F37">
        <v>2387.5230000000001</v>
      </c>
      <c r="H37" s="2">
        <f t="shared" si="0"/>
        <v>2274.6902</v>
      </c>
      <c r="I37" s="2">
        <f t="shared" si="1"/>
        <v>49.463806874724078</v>
      </c>
      <c r="K37">
        <v>33.75</v>
      </c>
      <c r="L37">
        <v>2204.94</v>
      </c>
      <c r="M37">
        <v>2413.9940000000001</v>
      </c>
      <c r="N37">
        <v>2083.9090000000001</v>
      </c>
      <c r="O37">
        <v>2443.8029999999999</v>
      </c>
      <c r="P37">
        <v>2223.895</v>
      </c>
      <c r="R37" s="3">
        <f t="shared" si="2"/>
        <v>2274.1082000000001</v>
      </c>
      <c r="S37" s="3">
        <f t="shared" si="3"/>
        <v>67.766401415007991</v>
      </c>
    </row>
    <row r="38" spans="1:19" x14ac:dyDescent="0.25">
      <c r="A38">
        <v>35</v>
      </c>
      <c r="B38">
        <v>2282.462</v>
      </c>
      <c r="C38">
        <v>2234.4119999999998</v>
      </c>
      <c r="D38">
        <v>2291.0940000000001</v>
      </c>
      <c r="E38">
        <v>2058.0859999999998</v>
      </c>
      <c r="F38">
        <v>2352.0390000000002</v>
      </c>
      <c r="H38" s="2">
        <f t="shared" si="0"/>
        <v>2243.6186000000002</v>
      </c>
      <c r="I38" s="2">
        <f t="shared" si="1"/>
        <v>50.012405266693648</v>
      </c>
      <c r="K38">
        <v>35</v>
      </c>
      <c r="L38">
        <v>2162.433</v>
      </c>
      <c r="M38">
        <v>2362.8879999999999</v>
      </c>
      <c r="N38">
        <v>2064.9499999999998</v>
      </c>
      <c r="O38">
        <v>2425.4499999999998</v>
      </c>
      <c r="P38">
        <v>2188.3180000000002</v>
      </c>
      <c r="R38" s="3">
        <f t="shared" si="2"/>
        <v>2240.8078</v>
      </c>
      <c r="S38" s="3">
        <f t="shared" si="3"/>
        <v>66.640855131368156</v>
      </c>
    </row>
    <row r="39" spans="1:19" x14ac:dyDescent="0.25">
      <c r="A39">
        <v>36.25</v>
      </c>
      <c r="B39">
        <v>2173.0419999999999</v>
      </c>
      <c r="C39">
        <v>2107.1689999999999</v>
      </c>
      <c r="D39">
        <v>2159.335</v>
      </c>
      <c r="E39">
        <v>1960.5360000000001</v>
      </c>
      <c r="F39">
        <v>2239.163</v>
      </c>
      <c r="H39" s="2">
        <f t="shared" si="0"/>
        <v>2127.8489999999997</v>
      </c>
      <c r="I39" s="2">
        <f t="shared" si="1"/>
        <v>46.821941656663476</v>
      </c>
      <c r="K39">
        <v>36.25</v>
      </c>
      <c r="L39">
        <v>2057.1909999999998</v>
      </c>
      <c r="M39">
        <v>2237.5259999999998</v>
      </c>
      <c r="N39">
        <v>1951.5229999999999</v>
      </c>
      <c r="O39">
        <v>2298.1439999999998</v>
      </c>
      <c r="P39">
        <v>2066.0160000000001</v>
      </c>
      <c r="R39" s="3">
        <f t="shared" si="2"/>
        <v>2122.08</v>
      </c>
      <c r="S39" s="3">
        <f t="shared" si="3"/>
        <v>63.549097427894253</v>
      </c>
    </row>
    <row r="40" spans="1:19" x14ac:dyDescent="0.25">
      <c r="A40">
        <v>37.5</v>
      </c>
      <c r="B40">
        <v>1991.866</v>
      </c>
      <c r="C40">
        <v>1940.81</v>
      </c>
      <c r="D40">
        <v>2000.039</v>
      </c>
      <c r="E40">
        <v>1804.0129999999999</v>
      </c>
      <c r="F40">
        <v>2069.9870000000001</v>
      </c>
      <c r="H40" s="2">
        <f t="shared" si="0"/>
        <v>1961.3430000000001</v>
      </c>
      <c r="I40" s="2">
        <f t="shared" si="1"/>
        <v>44.388560277395825</v>
      </c>
      <c r="K40">
        <v>37.5</v>
      </c>
      <c r="L40">
        <v>1905.5</v>
      </c>
      <c r="M40">
        <v>2074.5070000000001</v>
      </c>
      <c r="N40">
        <v>1795.4269999999999</v>
      </c>
      <c r="O40">
        <v>2107.4969999999998</v>
      </c>
      <c r="P40">
        <v>1917.327</v>
      </c>
      <c r="R40" s="3">
        <f t="shared" si="2"/>
        <v>1960.0516</v>
      </c>
      <c r="S40" s="3">
        <f t="shared" si="3"/>
        <v>57.767946130704701</v>
      </c>
    </row>
    <row r="41" spans="1:19" x14ac:dyDescent="0.25">
      <c r="A41">
        <v>38.75</v>
      </c>
      <c r="B41">
        <v>1851.1379999999999</v>
      </c>
      <c r="C41">
        <v>1815.567</v>
      </c>
      <c r="D41">
        <v>1874.8630000000001</v>
      </c>
      <c r="E41">
        <v>1681.327</v>
      </c>
      <c r="F41">
        <v>1939.577</v>
      </c>
      <c r="H41" s="2">
        <f t="shared" si="0"/>
        <v>1832.4944</v>
      </c>
      <c r="I41" s="2">
        <f t="shared" si="1"/>
        <v>42.86460369768978</v>
      </c>
      <c r="K41">
        <v>38.75</v>
      </c>
      <c r="L41">
        <v>1770.6279999999999</v>
      </c>
      <c r="M41">
        <v>1925.402</v>
      </c>
      <c r="N41">
        <v>1673.511</v>
      </c>
      <c r="O41">
        <v>1964.316</v>
      </c>
      <c r="P41">
        <v>1791.0509999999999</v>
      </c>
      <c r="R41" s="3">
        <f t="shared" si="2"/>
        <v>1824.9815999999998</v>
      </c>
      <c r="S41" s="3">
        <f t="shared" si="3"/>
        <v>53.172960173945576</v>
      </c>
    </row>
    <row r="42" spans="1:19" x14ac:dyDescent="0.25">
      <c r="A42">
        <v>40</v>
      </c>
      <c r="B42">
        <v>1766.6769999999999</v>
      </c>
      <c r="C42">
        <v>1740.702</v>
      </c>
      <c r="D42">
        <v>1773.9849999999999</v>
      </c>
      <c r="E42">
        <v>1603.8209999999999</v>
      </c>
      <c r="F42">
        <v>1850.203</v>
      </c>
      <c r="H42" s="2">
        <f t="shared" si="0"/>
        <v>1747.0775999999998</v>
      </c>
      <c r="I42" s="2">
        <f t="shared" si="1"/>
        <v>40.190853747587902</v>
      </c>
      <c r="K42">
        <v>40</v>
      </c>
      <c r="L42">
        <v>1685.559</v>
      </c>
      <c r="M42">
        <v>1840.078</v>
      </c>
      <c r="N42">
        <v>1597.8779999999999</v>
      </c>
      <c r="O42">
        <v>1878.211</v>
      </c>
      <c r="P42">
        <v>1709.175</v>
      </c>
      <c r="R42" s="3">
        <f t="shared" si="2"/>
        <v>1742.1802</v>
      </c>
      <c r="S42" s="3">
        <f t="shared" si="3"/>
        <v>51.578477214241225</v>
      </c>
    </row>
    <row r="43" spans="1:19" x14ac:dyDescent="0.25">
      <c r="A43">
        <v>41.25</v>
      </c>
      <c r="B43">
        <v>1714.614</v>
      </c>
      <c r="C43">
        <v>1692.9970000000001</v>
      </c>
      <c r="D43">
        <v>1728.9690000000001</v>
      </c>
      <c r="E43">
        <v>1564.537</v>
      </c>
      <c r="F43">
        <v>1799.694</v>
      </c>
      <c r="H43" s="2">
        <f t="shared" si="0"/>
        <v>1700.1622</v>
      </c>
      <c r="I43" s="2">
        <f t="shared" si="1"/>
        <v>38.334579968221888</v>
      </c>
      <c r="K43">
        <v>41.25</v>
      </c>
      <c r="L43">
        <v>1638.453</v>
      </c>
      <c r="M43">
        <v>1786.393</v>
      </c>
      <c r="N43">
        <v>1558.8150000000001</v>
      </c>
      <c r="O43">
        <v>1827.884</v>
      </c>
      <c r="P43">
        <v>1669.2840000000001</v>
      </c>
      <c r="R43" s="3">
        <f t="shared" si="2"/>
        <v>1696.1658</v>
      </c>
      <c r="S43" s="3">
        <f t="shared" si="3"/>
        <v>49.198207562267946</v>
      </c>
    </row>
    <row r="44" spans="1:19" x14ac:dyDescent="0.25">
      <c r="A44">
        <v>42.5</v>
      </c>
      <c r="B44">
        <v>1693.722</v>
      </c>
      <c r="C44">
        <v>1669.2940000000001</v>
      </c>
      <c r="D44">
        <v>1716.1110000000001</v>
      </c>
      <c r="E44">
        <v>1552.0219999999999</v>
      </c>
      <c r="F44">
        <v>1772.318</v>
      </c>
      <c r="H44" s="2">
        <f t="shared" si="0"/>
        <v>1680.6934000000001</v>
      </c>
      <c r="I44" s="2">
        <f t="shared" si="1"/>
        <v>36.404322292277335</v>
      </c>
      <c r="K44">
        <v>42.5</v>
      </c>
      <c r="L44">
        <v>1618.423</v>
      </c>
      <c r="M44">
        <v>1756.922</v>
      </c>
      <c r="N44">
        <v>1539.711</v>
      </c>
      <c r="O44">
        <v>1807.1310000000001</v>
      </c>
      <c r="P44">
        <v>1645.472</v>
      </c>
      <c r="R44" s="3">
        <f t="shared" si="2"/>
        <v>1673.5318000000002</v>
      </c>
      <c r="S44" s="3">
        <f t="shared" si="3"/>
        <v>48.236402448151132</v>
      </c>
    </row>
    <row r="45" spans="1:19" x14ac:dyDescent="0.25">
      <c r="A45">
        <v>43.75</v>
      </c>
      <c r="B45">
        <v>1694.5340000000001</v>
      </c>
      <c r="C45">
        <v>1669.5709999999999</v>
      </c>
      <c r="D45">
        <v>1708.904</v>
      </c>
      <c r="E45">
        <v>1550.9870000000001</v>
      </c>
      <c r="F45">
        <v>1760.421</v>
      </c>
      <c r="H45" s="2">
        <f t="shared" si="0"/>
        <v>1676.8833999999999</v>
      </c>
      <c r="I45" s="2">
        <f t="shared" si="1"/>
        <v>34.798540088055411</v>
      </c>
      <c r="K45">
        <v>43.75</v>
      </c>
      <c r="L45">
        <v>1617.8889999999999</v>
      </c>
      <c r="M45">
        <v>1744.3810000000001</v>
      </c>
      <c r="N45">
        <v>1530.104</v>
      </c>
      <c r="O45">
        <v>1786.895</v>
      </c>
      <c r="P45">
        <v>1629.1859999999999</v>
      </c>
      <c r="R45" s="3">
        <f t="shared" si="2"/>
        <v>1661.691</v>
      </c>
      <c r="S45" s="3">
        <f t="shared" si="3"/>
        <v>46.262299183028077</v>
      </c>
    </row>
    <row r="46" spans="1:19" x14ac:dyDescent="0.25">
      <c r="A46">
        <v>45</v>
      </c>
      <c r="B46">
        <v>1706.3409999999999</v>
      </c>
      <c r="C46">
        <v>1687.875</v>
      </c>
      <c r="D46">
        <v>1711.1659999999999</v>
      </c>
      <c r="E46">
        <v>1554.4690000000001</v>
      </c>
      <c r="F46">
        <v>1770.635</v>
      </c>
      <c r="H46" s="2">
        <f t="shared" si="0"/>
        <v>1686.0971999999997</v>
      </c>
      <c r="I46" s="2">
        <f t="shared" si="1"/>
        <v>35.716970342401645</v>
      </c>
      <c r="K46">
        <v>45</v>
      </c>
      <c r="L46">
        <v>1624.5530000000001</v>
      </c>
      <c r="M46">
        <v>1756.837</v>
      </c>
      <c r="N46">
        <v>1525.97</v>
      </c>
      <c r="O46">
        <v>1785.4079999999999</v>
      </c>
      <c r="P46">
        <v>1628.971</v>
      </c>
      <c r="R46" s="3">
        <f t="shared" si="2"/>
        <v>1664.3478</v>
      </c>
      <c r="S46" s="3">
        <f t="shared" si="3"/>
        <v>47.53597782669457</v>
      </c>
    </row>
    <row r="47" spans="1:19" x14ac:dyDescent="0.25">
      <c r="A47">
        <v>46.25</v>
      </c>
      <c r="B47">
        <v>1738.421</v>
      </c>
      <c r="C47">
        <v>1720.3420000000001</v>
      </c>
      <c r="D47">
        <v>1739.653</v>
      </c>
      <c r="E47">
        <v>1574.4749999999999</v>
      </c>
      <c r="F47">
        <v>1808.518</v>
      </c>
      <c r="H47" s="2">
        <f t="shared" si="0"/>
        <v>1716.2818</v>
      </c>
      <c r="I47" s="2">
        <f t="shared" si="1"/>
        <v>38.515923659442493</v>
      </c>
      <c r="K47">
        <v>46.25</v>
      </c>
      <c r="L47">
        <v>1643.4549999999999</v>
      </c>
      <c r="M47">
        <v>1803.7809999999999</v>
      </c>
      <c r="N47">
        <v>1540.894</v>
      </c>
      <c r="O47">
        <v>1823.9849999999999</v>
      </c>
      <c r="P47">
        <v>1657.3679999999999</v>
      </c>
      <c r="R47" s="3">
        <f t="shared" si="2"/>
        <v>1693.8966</v>
      </c>
      <c r="S47" s="3">
        <f t="shared" si="3"/>
        <v>53.050005849764034</v>
      </c>
    </row>
    <row r="48" spans="1:19" x14ac:dyDescent="0.25">
      <c r="A48">
        <v>47.5</v>
      </c>
      <c r="B48">
        <v>1798.5309999999999</v>
      </c>
      <c r="C48">
        <v>1786.1980000000001</v>
      </c>
      <c r="D48">
        <v>1795.8530000000001</v>
      </c>
      <c r="E48">
        <v>1621.085</v>
      </c>
      <c r="F48">
        <v>1873.1030000000001</v>
      </c>
      <c r="H48" s="2">
        <f t="shared" si="0"/>
        <v>1774.9540000000002</v>
      </c>
      <c r="I48" s="2">
        <f t="shared" si="1"/>
        <v>41.489737302132916</v>
      </c>
      <c r="K48">
        <v>47.5</v>
      </c>
      <c r="L48">
        <v>1693.5509999999999</v>
      </c>
      <c r="M48">
        <v>1862.8230000000001</v>
      </c>
      <c r="N48">
        <v>1596.9269999999999</v>
      </c>
      <c r="O48">
        <v>1893.9259999999999</v>
      </c>
      <c r="P48">
        <v>1720.3710000000001</v>
      </c>
      <c r="R48" s="3">
        <f t="shared" si="2"/>
        <v>1753.5195999999996</v>
      </c>
      <c r="S48" s="3">
        <f t="shared" si="3"/>
        <v>55.1713220138869</v>
      </c>
    </row>
    <row r="49" spans="1:19" x14ac:dyDescent="0.25">
      <c r="A49">
        <v>48.75</v>
      </c>
      <c r="B49">
        <v>1868.35</v>
      </c>
      <c r="C49">
        <v>1862.443</v>
      </c>
      <c r="D49">
        <v>1860.3440000000001</v>
      </c>
      <c r="E49">
        <v>1691.951</v>
      </c>
      <c r="F49">
        <v>1961.7360000000001</v>
      </c>
      <c r="H49" s="2">
        <f t="shared" si="0"/>
        <v>1848.9648000000002</v>
      </c>
      <c r="I49" s="2">
        <f t="shared" si="1"/>
        <v>43.622019088299901</v>
      </c>
      <c r="K49">
        <v>48.75</v>
      </c>
      <c r="L49">
        <v>1765.2850000000001</v>
      </c>
      <c r="M49">
        <v>1941.2149999999999</v>
      </c>
      <c r="N49">
        <v>1664.598</v>
      </c>
      <c r="O49">
        <v>1966.636</v>
      </c>
      <c r="P49">
        <v>1803.0920000000001</v>
      </c>
      <c r="R49" s="3">
        <f t="shared" si="2"/>
        <v>1828.1652000000001</v>
      </c>
      <c r="S49" s="3">
        <f t="shared" si="3"/>
        <v>56.254436962252129</v>
      </c>
    </row>
    <row r="50" spans="1:19" x14ac:dyDescent="0.25">
      <c r="A50">
        <v>50</v>
      </c>
      <c r="B50">
        <v>1932.0619999999999</v>
      </c>
      <c r="C50">
        <v>1928.8679999999999</v>
      </c>
      <c r="D50">
        <v>1922.0409999999999</v>
      </c>
      <c r="E50">
        <v>1771.6969999999999</v>
      </c>
      <c r="F50">
        <v>2029.0889999999999</v>
      </c>
      <c r="H50" s="2">
        <f t="shared" si="0"/>
        <v>1916.7513999999999</v>
      </c>
      <c r="I50" s="2">
        <f t="shared" si="1"/>
        <v>41.273309577255866</v>
      </c>
      <c r="K50">
        <v>50</v>
      </c>
      <c r="L50">
        <v>1830.0329999999999</v>
      </c>
      <c r="M50">
        <v>2003.202</v>
      </c>
      <c r="N50">
        <v>1725.374</v>
      </c>
      <c r="O50">
        <v>2035.1959999999999</v>
      </c>
      <c r="P50">
        <v>1866.2819999999999</v>
      </c>
      <c r="R50" s="3">
        <f t="shared" si="2"/>
        <v>1892.0174</v>
      </c>
      <c r="S50" s="3">
        <f t="shared" si="3"/>
        <v>57.06861054695478</v>
      </c>
    </row>
    <row r="51" spans="1:19" x14ac:dyDescent="0.25">
      <c r="A51">
        <v>51.25</v>
      </c>
      <c r="B51">
        <v>1997.211</v>
      </c>
      <c r="C51">
        <v>1984.952</v>
      </c>
      <c r="D51">
        <v>1995.193</v>
      </c>
      <c r="E51">
        <v>1840.0050000000001</v>
      </c>
      <c r="F51">
        <v>2084.0360000000001</v>
      </c>
      <c r="H51" s="2">
        <f t="shared" si="0"/>
        <v>1980.2794000000001</v>
      </c>
      <c r="I51" s="2">
        <f t="shared" si="1"/>
        <v>39.353060283286723</v>
      </c>
      <c r="K51">
        <v>51.25</v>
      </c>
      <c r="L51">
        <v>1884.6679999999999</v>
      </c>
      <c r="M51">
        <v>2054.5659999999998</v>
      </c>
      <c r="N51">
        <v>1778.385</v>
      </c>
      <c r="O51">
        <v>2100.4879999999998</v>
      </c>
      <c r="P51">
        <v>1916.25</v>
      </c>
      <c r="R51" s="3">
        <f t="shared" si="2"/>
        <v>1946.8714</v>
      </c>
      <c r="S51" s="3">
        <f t="shared" si="3"/>
        <v>58.47682735887777</v>
      </c>
    </row>
    <row r="52" spans="1:19" x14ac:dyDescent="0.25">
      <c r="A52">
        <v>52.5</v>
      </c>
      <c r="B52">
        <v>2024.23</v>
      </c>
      <c r="C52">
        <v>2003.876</v>
      </c>
      <c r="D52">
        <v>2043.9829999999999</v>
      </c>
      <c r="E52">
        <v>1872.61</v>
      </c>
      <c r="F52">
        <v>2117.7809999999999</v>
      </c>
      <c r="H52" s="2">
        <f t="shared" si="0"/>
        <v>2012.4959999999999</v>
      </c>
      <c r="I52" s="2">
        <f t="shared" si="1"/>
        <v>39.91017824189715</v>
      </c>
      <c r="K52">
        <v>52.5</v>
      </c>
      <c r="L52">
        <v>1909.9939999999999</v>
      </c>
      <c r="M52">
        <v>2088.4369999999999</v>
      </c>
      <c r="N52">
        <v>1813.2929999999999</v>
      </c>
      <c r="O52">
        <v>2140.4969999999998</v>
      </c>
      <c r="P52">
        <v>1950.01</v>
      </c>
      <c r="R52" s="3">
        <f t="shared" si="2"/>
        <v>1980.4461999999999</v>
      </c>
      <c r="S52" s="3">
        <f t="shared" si="3"/>
        <v>59.627316932258474</v>
      </c>
    </row>
    <row r="53" spans="1:19" x14ac:dyDescent="0.25">
      <c r="A53">
        <v>53.75</v>
      </c>
      <c r="B53">
        <v>2018.211</v>
      </c>
      <c r="C53">
        <v>1993.915</v>
      </c>
      <c r="D53">
        <v>2036.34</v>
      </c>
      <c r="E53">
        <v>1859.444</v>
      </c>
      <c r="F53">
        <v>2111.7910000000002</v>
      </c>
      <c r="H53" s="2">
        <f t="shared" si="0"/>
        <v>2003.9402000000002</v>
      </c>
      <c r="I53" s="2">
        <f t="shared" si="1"/>
        <v>41.149030537061286</v>
      </c>
      <c r="K53">
        <v>53.75</v>
      </c>
      <c r="L53">
        <v>1900</v>
      </c>
      <c r="M53">
        <v>2076.444</v>
      </c>
      <c r="N53">
        <v>1819.143</v>
      </c>
      <c r="O53">
        <v>2121.029</v>
      </c>
      <c r="P53">
        <v>1942.21</v>
      </c>
      <c r="R53" s="3">
        <f t="shared" si="2"/>
        <v>1971.7652000000003</v>
      </c>
      <c r="S53" s="3">
        <f t="shared" si="3"/>
        <v>55.926122192943062</v>
      </c>
    </row>
    <row r="54" spans="1:19" x14ac:dyDescent="0.25">
      <c r="A54">
        <v>55</v>
      </c>
      <c r="B54">
        <v>1968.9159999999999</v>
      </c>
      <c r="C54">
        <v>1958.796</v>
      </c>
      <c r="D54">
        <v>1970.1949999999999</v>
      </c>
      <c r="E54">
        <v>1810.367</v>
      </c>
      <c r="F54">
        <v>2049.1660000000002</v>
      </c>
      <c r="H54" s="2">
        <f t="shared" si="0"/>
        <v>1951.4880000000001</v>
      </c>
      <c r="I54" s="2">
        <f t="shared" si="1"/>
        <v>38.835050033442748</v>
      </c>
      <c r="K54">
        <v>55</v>
      </c>
      <c r="L54">
        <v>1849.5889999999999</v>
      </c>
      <c r="M54">
        <v>2018.2239999999999</v>
      </c>
      <c r="N54">
        <v>1772.252</v>
      </c>
      <c r="O54">
        <v>2038.3230000000001</v>
      </c>
      <c r="P54">
        <v>1877.144</v>
      </c>
      <c r="R54" s="3">
        <f t="shared" si="2"/>
        <v>1911.1064000000001</v>
      </c>
      <c r="S54" s="3">
        <f t="shared" si="3"/>
        <v>50.929668691834244</v>
      </c>
    </row>
    <row r="55" spans="1:19" x14ac:dyDescent="0.25">
      <c r="A55">
        <v>56.25</v>
      </c>
      <c r="B55">
        <v>1846.43</v>
      </c>
      <c r="C55">
        <v>1848.6980000000001</v>
      </c>
      <c r="D55">
        <v>1845.8440000000001</v>
      </c>
      <c r="E55">
        <v>1694.9290000000001</v>
      </c>
      <c r="F55">
        <v>1919.8009999999999</v>
      </c>
      <c r="H55" s="2">
        <f t="shared" si="0"/>
        <v>1831.1403999999998</v>
      </c>
      <c r="I55" s="2">
        <f t="shared" si="1"/>
        <v>36.859520155042695</v>
      </c>
      <c r="K55">
        <v>56.25</v>
      </c>
      <c r="L55">
        <v>1744.26</v>
      </c>
      <c r="M55">
        <v>1903.63</v>
      </c>
      <c r="N55">
        <v>1655.787</v>
      </c>
      <c r="O55">
        <v>1926.152</v>
      </c>
      <c r="P55">
        <v>1753.7719999999999</v>
      </c>
      <c r="R55" s="3">
        <f t="shared" si="2"/>
        <v>1796.7202000000002</v>
      </c>
      <c r="S55" s="3">
        <f t="shared" si="3"/>
        <v>51.303549349338411</v>
      </c>
    </row>
    <row r="56" spans="1:19" x14ac:dyDescent="0.25">
      <c r="A56">
        <v>57.5</v>
      </c>
      <c r="B56">
        <v>1711.41</v>
      </c>
      <c r="C56">
        <v>1715.7840000000001</v>
      </c>
      <c r="D56">
        <v>1697.759</v>
      </c>
      <c r="E56">
        <v>1559.17</v>
      </c>
      <c r="F56">
        <v>1736.8889999999999</v>
      </c>
      <c r="H56" s="2">
        <f t="shared" si="0"/>
        <v>1684.2024000000001</v>
      </c>
      <c r="I56" s="2">
        <f t="shared" si="1"/>
        <v>31.882919588080373</v>
      </c>
      <c r="K56">
        <v>57.5</v>
      </c>
      <c r="L56">
        <v>1618.7270000000001</v>
      </c>
      <c r="M56">
        <v>1744.8979999999999</v>
      </c>
      <c r="N56">
        <v>1517.683</v>
      </c>
      <c r="O56">
        <v>1774.107</v>
      </c>
      <c r="P56">
        <v>1596.664</v>
      </c>
      <c r="R56" s="3">
        <f t="shared" si="2"/>
        <v>1650.4158</v>
      </c>
      <c r="S56" s="3">
        <f t="shared" si="3"/>
        <v>47.821455079702439</v>
      </c>
    </row>
    <row r="57" spans="1:19" x14ac:dyDescent="0.25">
      <c r="A57">
        <v>58.75</v>
      </c>
      <c r="B57">
        <v>1582.6010000000001</v>
      </c>
      <c r="C57">
        <v>1599.2370000000001</v>
      </c>
      <c r="D57">
        <v>1546.4649999999999</v>
      </c>
      <c r="E57">
        <v>1412.4570000000001</v>
      </c>
      <c r="F57">
        <v>1557.45</v>
      </c>
      <c r="H57" s="2">
        <f t="shared" si="0"/>
        <v>1539.6420000000001</v>
      </c>
      <c r="I57" s="2">
        <f t="shared" si="1"/>
        <v>33.118531160062027</v>
      </c>
      <c r="K57">
        <v>58.75</v>
      </c>
      <c r="L57">
        <v>1492.4459999999999</v>
      </c>
      <c r="M57">
        <v>1599.66</v>
      </c>
      <c r="N57">
        <v>1375.5329999999999</v>
      </c>
      <c r="O57">
        <v>1614.7159999999999</v>
      </c>
      <c r="P57">
        <v>1442.124</v>
      </c>
      <c r="R57" s="3">
        <f t="shared" si="2"/>
        <v>1504.8957999999998</v>
      </c>
      <c r="S57" s="3">
        <f t="shared" si="3"/>
        <v>45.755196616777866</v>
      </c>
    </row>
    <row r="58" spans="1:19" x14ac:dyDescent="0.25">
      <c r="A58">
        <v>60</v>
      </c>
      <c r="B58">
        <v>1510.019</v>
      </c>
      <c r="C58">
        <v>1519.31</v>
      </c>
      <c r="D58">
        <v>1465.3430000000001</v>
      </c>
      <c r="E58">
        <v>1341.7809999999999</v>
      </c>
      <c r="F58">
        <v>1468.308</v>
      </c>
      <c r="H58" s="2">
        <f t="shared" si="0"/>
        <v>1460.9521999999999</v>
      </c>
      <c r="I58" s="2">
        <f t="shared" si="1"/>
        <v>31.692542901130548</v>
      </c>
      <c r="K58">
        <v>60</v>
      </c>
      <c r="L58">
        <v>1420.1669999999999</v>
      </c>
      <c r="M58">
        <v>1530.1279999999999</v>
      </c>
      <c r="N58">
        <v>1300.6320000000001</v>
      </c>
      <c r="O58">
        <v>1528.239</v>
      </c>
      <c r="P58">
        <v>1366.751</v>
      </c>
      <c r="R58" s="3">
        <f t="shared" si="2"/>
        <v>1429.1833999999999</v>
      </c>
      <c r="S58" s="3">
        <f t="shared" si="3"/>
        <v>45.0035479941304</v>
      </c>
    </row>
    <row r="59" spans="1:19" x14ac:dyDescent="0.25">
      <c r="A59">
        <v>61.25</v>
      </c>
      <c r="B59">
        <v>1461.0609999999999</v>
      </c>
      <c r="C59">
        <v>1473.2919999999999</v>
      </c>
      <c r="D59">
        <v>1417.9010000000001</v>
      </c>
      <c r="E59">
        <v>1311.511</v>
      </c>
      <c r="F59">
        <v>1431.367</v>
      </c>
      <c r="H59" s="2">
        <f t="shared" si="0"/>
        <v>1419.0264</v>
      </c>
      <c r="I59" s="2">
        <f t="shared" si="1"/>
        <v>28.657268808454155</v>
      </c>
      <c r="K59">
        <v>61.25</v>
      </c>
      <c r="L59">
        <v>1367.479</v>
      </c>
      <c r="M59">
        <v>1478.604</v>
      </c>
      <c r="N59">
        <v>1257.652</v>
      </c>
      <c r="O59">
        <v>1481.7819999999999</v>
      </c>
      <c r="P59">
        <v>1316.44</v>
      </c>
      <c r="R59" s="3">
        <f t="shared" si="2"/>
        <v>1380.3914</v>
      </c>
      <c r="S59" s="3">
        <f t="shared" si="3"/>
        <v>44.298555571937086</v>
      </c>
    </row>
    <row r="60" spans="1:19" x14ac:dyDescent="0.25">
      <c r="A60">
        <v>62.5</v>
      </c>
      <c r="B60">
        <v>1428.008</v>
      </c>
      <c r="C60">
        <v>1451.905</v>
      </c>
      <c r="D60">
        <v>1378.655</v>
      </c>
      <c r="E60">
        <v>1293.097</v>
      </c>
      <c r="F60">
        <v>1414.7449999999999</v>
      </c>
      <c r="H60" s="2">
        <f t="shared" si="0"/>
        <v>1393.2819999999999</v>
      </c>
      <c r="I60" s="2">
        <f t="shared" si="1"/>
        <v>27.707575613900254</v>
      </c>
      <c r="K60">
        <v>62.5</v>
      </c>
      <c r="L60">
        <v>1340.31</v>
      </c>
      <c r="M60">
        <v>1442.2929999999999</v>
      </c>
      <c r="N60">
        <v>1233.884</v>
      </c>
      <c r="O60">
        <v>1452.193</v>
      </c>
      <c r="P60">
        <v>1295.874</v>
      </c>
      <c r="R60" s="3">
        <f t="shared" si="2"/>
        <v>1352.9108000000001</v>
      </c>
      <c r="S60" s="3">
        <f t="shared" si="3"/>
        <v>42.086511346748601</v>
      </c>
    </row>
    <row r="61" spans="1:19" x14ac:dyDescent="0.25">
      <c r="A61">
        <v>63.75</v>
      </c>
      <c r="B61">
        <v>1394.24</v>
      </c>
      <c r="C61">
        <v>1418.9169999999999</v>
      </c>
      <c r="D61">
        <v>1346.8520000000001</v>
      </c>
      <c r="E61">
        <v>1268.816</v>
      </c>
      <c r="F61">
        <v>1387.9110000000001</v>
      </c>
      <c r="H61" s="2">
        <f t="shared" si="0"/>
        <v>1363.3471999999999</v>
      </c>
      <c r="I61" s="2">
        <f t="shared" si="1"/>
        <v>26.319182577352194</v>
      </c>
      <c r="K61">
        <v>63.75</v>
      </c>
      <c r="L61">
        <v>1331.1010000000001</v>
      </c>
      <c r="M61">
        <v>1413.7950000000001</v>
      </c>
      <c r="N61">
        <v>1220.9860000000001</v>
      </c>
      <c r="O61">
        <v>1427.9359999999999</v>
      </c>
      <c r="P61">
        <v>1287.271</v>
      </c>
      <c r="R61" s="3">
        <f t="shared" si="2"/>
        <v>1336.2177999999999</v>
      </c>
      <c r="S61" s="3">
        <f t="shared" si="3"/>
        <v>38.814165439179526</v>
      </c>
    </row>
    <row r="62" spans="1:19" x14ac:dyDescent="0.25">
      <c r="A62">
        <v>65</v>
      </c>
      <c r="B62">
        <v>1375.1969999999999</v>
      </c>
      <c r="C62">
        <v>1392.038</v>
      </c>
      <c r="D62">
        <v>1334.538</v>
      </c>
      <c r="E62">
        <v>1245.595</v>
      </c>
      <c r="F62">
        <v>1380.701</v>
      </c>
      <c r="H62" s="2">
        <f t="shared" si="0"/>
        <v>1345.6137999999999</v>
      </c>
      <c r="I62" s="2">
        <f t="shared" si="1"/>
        <v>26.821556042481941</v>
      </c>
      <c r="K62">
        <v>65</v>
      </c>
      <c r="L62">
        <v>1308.635</v>
      </c>
      <c r="M62">
        <v>1404.4929999999999</v>
      </c>
      <c r="N62">
        <v>1205.7380000000001</v>
      </c>
      <c r="O62">
        <v>1409.3589999999999</v>
      </c>
      <c r="P62">
        <v>1277.9860000000001</v>
      </c>
      <c r="R62" s="3">
        <f t="shared" si="2"/>
        <v>1321.2422000000001</v>
      </c>
      <c r="S62" s="3">
        <f t="shared" si="3"/>
        <v>38.77275247567546</v>
      </c>
    </row>
    <row r="63" spans="1:19" x14ac:dyDescent="0.25">
      <c r="A63">
        <v>66.25</v>
      </c>
      <c r="B63">
        <v>1357.43</v>
      </c>
      <c r="C63">
        <v>1355.846</v>
      </c>
      <c r="D63">
        <v>1307.8720000000001</v>
      </c>
      <c r="E63">
        <v>1204.308</v>
      </c>
      <c r="F63">
        <v>1380.2370000000001</v>
      </c>
      <c r="H63" s="2">
        <f t="shared" si="0"/>
        <v>1321.1386</v>
      </c>
      <c r="I63" s="2">
        <f t="shared" si="1"/>
        <v>31.495779068948281</v>
      </c>
      <c r="K63">
        <v>66.25</v>
      </c>
      <c r="L63">
        <v>1291.99</v>
      </c>
      <c r="M63">
        <v>1388.8579999999999</v>
      </c>
      <c r="N63">
        <v>1193.2460000000001</v>
      </c>
      <c r="O63">
        <v>1392.7370000000001</v>
      </c>
      <c r="P63">
        <v>1256.1880000000001</v>
      </c>
      <c r="R63" s="3">
        <f t="shared" si="2"/>
        <v>1304.6038000000001</v>
      </c>
      <c r="S63" s="3">
        <f t="shared" si="3"/>
        <v>38.581075944561199</v>
      </c>
    </row>
    <row r="64" spans="1:19" x14ac:dyDescent="0.25">
      <c r="A64">
        <v>67.5</v>
      </c>
      <c r="B64">
        <v>1337.8330000000001</v>
      </c>
      <c r="C64">
        <v>1339.173</v>
      </c>
      <c r="D64">
        <v>1295.8119999999999</v>
      </c>
      <c r="E64">
        <v>1193.7639999999999</v>
      </c>
      <c r="F64">
        <v>1363.258</v>
      </c>
      <c r="H64" s="2">
        <f t="shared" si="0"/>
        <v>1305.9680000000001</v>
      </c>
      <c r="I64" s="2">
        <f t="shared" si="1"/>
        <v>30.077380456083635</v>
      </c>
      <c r="K64">
        <v>67.5</v>
      </c>
      <c r="L64">
        <v>1273.492</v>
      </c>
      <c r="M64">
        <v>1367.0809999999999</v>
      </c>
      <c r="N64">
        <v>1189.3579999999999</v>
      </c>
      <c r="O64">
        <v>1377.5129999999999</v>
      </c>
      <c r="P64">
        <v>1257.9380000000001</v>
      </c>
      <c r="R64" s="3">
        <f t="shared" si="2"/>
        <v>1293.0763999999999</v>
      </c>
      <c r="S64" s="3">
        <f t="shared" si="3"/>
        <v>35.342596549489663</v>
      </c>
    </row>
    <row r="65" spans="1:19" x14ac:dyDescent="0.25">
      <c r="A65">
        <v>68.75</v>
      </c>
      <c r="B65">
        <v>1326.761</v>
      </c>
      <c r="C65">
        <v>1313.155</v>
      </c>
      <c r="D65">
        <v>1287.8800000000001</v>
      </c>
      <c r="E65">
        <v>1208.9490000000001</v>
      </c>
      <c r="F65">
        <v>1372.8230000000001</v>
      </c>
      <c r="H65" s="2">
        <f t="shared" si="0"/>
        <v>1301.9136000000003</v>
      </c>
      <c r="I65" s="2">
        <f t="shared" si="1"/>
        <v>27.028932786183027</v>
      </c>
      <c r="K65">
        <v>68.75</v>
      </c>
      <c r="L65">
        <v>1259.0219999999999</v>
      </c>
      <c r="M65">
        <v>1356.5340000000001</v>
      </c>
      <c r="N65">
        <v>1178.4079999999999</v>
      </c>
      <c r="O65">
        <v>1364.8140000000001</v>
      </c>
      <c r="P65">
        <v>1262.597</v>
      </c>
      <c r="R65" s="3">
        <f t="shared" si="2"/>
        <v>1284.2750000000001</v>
      </c>
      <c r="S65" s="3">
        <f t="shared" si="3"/>
        <v>34.657874274109801</v>
      </c>
    </row>
    <row r="66" spans="1:19" x14ac:dyDescent="0.25">
      <c r="A66">
        <v>70</v>
      </c>
      <c r="B66">
        <v>1314.3240000000001</v>
      </c>
      <c r="C66">
        <v>1273.075</v>
      </c>
      <c r="D66">
        <v>1295.107</v>
      </c>
      <c r="E66">
        <v>1205.3009999999999</v>
      </c>
      <c r="F66">
        <v>1363.8130000000001</v>
      </c>
      <c r="H66" s="2">
        <f t="shared" si="0"/>
        <v>1290.3240000000001</v>
      </c>
      <c r="I66" s="2">
        <f t="shared" si="1"/>
        <v>26.005719313258794</v>
      </c>
      <c r="K66">
        <v>70</v>
      </c>
      <c r="L66">
        <v>1248.3340000000001</v>
      </c>
      <c r="M66">
        <v>1349.1559999999999</v>
      </c>
      <c r="N66">
        <v>1173.9570000000001</v>
      </c>
      <c r="O66">
        <v>1359.5219999999999</v>
      </c>
      <c r="P66">
        <v>1244.3679999999999</v>
      </c>
      <c r="R66" s="3">
        <f t="shared" si="2"/>
        <v>1275.0673999999999</v>
      </c>
      <c r="S66" s="3">
        <f t="shared" si="3"/>
        <v>35.001529206021807</v>
      </c>
    </row>
    <row r="67" spans="1:19" x14ac:dyDescent="0.25">
      <c r="A67">
        <v>71.25</v>
      </c>
      <c r="B67">
        <v>1286.4870000000001</v>
      </c>
      <c r="C67">
        <v>1246.694</v>
      </c>
      <c r="D67">
        <v>1290.585</v>
      </c>
      <c r="E67">
        <v>1196.415</v>
      </c>
      <c r="F67">
        <v>1362.021</v>
      </c>
      <c r="H67" s="2">
        <f t="shared" si="0"/>
        <v>1276.4404</v>
      </c>
      <c r="I67" s="2">
        <f t="shared" si="1"/>
        <v>27.307467783740037</v>
      </c>
      <c r="K67">
        <v>71.25</v>
      </c>
      <c r="L67">
        <v>1233.9929999999999</v>
      </c>
      <c r="M67">
        <v>1334.299</v>
      </c>
      <c r="N67">
        <v>1166.6369999999999</v>
      </c>
      <c r="O67">
        <v>1354.6369999999999</v>
      </c>
      <c r="P67">
        <v>1237.972</v>
      </c>
      <c r="R67" s="3">
        <f t="shared" si="2"/>
        <v>1265.5075999999999</v>
      </c>
      <c r="S67" s="3">
        <f t="shared" si="3"/>
        <v>34.787268851693426</v>
      </c>
    </row>
    <row r="68" spans="1:19" x14ac:dyDescent="0.25">
      <c r="A68">
        <v>72.5</v>
      </c>
      <c r="B68">
        <v>1265.1790000000001</v>
      </c>
      <c r="C68">
        <v>1229.575</v>
      </c>
      <c r="D68">
        <v>1273.518</v>
      </c>
      <c r="E68">
        <v>1172.8879999999999</v>
      </c>
      <c r="F68">
        <v>1361.9079999999999</v>
      </c>
      <c r="H68" s="2">
        <f t="shared" si="0"/>
        <v>1260.6135999999999</v>
      </c>
      <c r="I68" s="2">
        <f t="shared" si="1"/>
        <v>30.908815468406416</v>
      </c>
      <c r="K68">
        <v>72.5</v>
      </c>
      <c r="L68">
        <v>1208.92</v>
      </c>
      <c r="M68">
        <v>1304.3599999999999</v>
      </c>
      <c r="N68">
        <v>1150.52</v>
      </c>
      <c r="O68">
        <v>1337.0909999999999</v>
      </c>
      <c r="P68">
        <v>1249.9010000000001</v>
      </c>
      <c r="R68" s="3">
        <f t="shared" si="2"/>
        <v>1250.1583999999998</v>
      </c>
      <c r="S68" s="3">
        <f t="shared" si="3"/>
        <v>33.259264144896505</v>
      </c>
    </row>
    <row r="69" spans="1:19" x14ac:dyDescent="0.25">
      <c r="A69">
        <v>73.75</v>
      </c>
      <c r="B69">
        <v>1262.693</v>
      </c>
      <c r="C69">
        <v>1221.712</v>
      </c>
      <c r="D69">
        <v>1262.002</v>
      </c>
      <c r="E69">
        <v>1158.2909999999999</v>
      </c>
      <c r="F69">
        <v>1372.671</v>
      </c>
      <c r="H69" s="2">
        <f t="shared" ref="H69:H96" si="4">AVERAGE(B69:F69)</f>
        <v>1255.4738</v>
      </c>
      <c r="I69" s="2">
        <f t="shared" ref="I69:I96" si="5">STDEV(B69:F69)/SQRT(COUNT(B69:F69))</f>
        <v>34.93871326108048</v>
      </c>
      <c r="K69">
        <v>73.75</v>
      </c>
      <c r="L69">
        <v>1201.4549999999999</v>
      </c>
      <c r="M69">
        <v>1304.308</v>
      </c>
      <c r="N69">
        <v>1146.5419999999999</v>
      </c>
      <c r="O69">
        <v>1326.8109999999999</v>
      </c>
      <c r="P69">
        <v>1239.6469999999999</v>
      </c>
      <c r="R69" s="3">
        <f t="shared" ref="R69:R96" si="6">AVERAGE(L69:P69)</f>
        <v>1243.7526</v>
      </c>
      <c r="S69" s="3">
        <f t="shared" ref="S69:S96" si="7">STDEV(L69:P69)/SQRT(COUNT(L69:P69))</f>
        <v>33.031422879736809</v>
      </c>
    </row>
    <row r="70" spans="1:19" x14ac:dyDescent="0.25">
      <c r="A70">
        <v>75</v>
      </c>
      <c r="B70">
        <v>1300.308</v>
      </c>
      <c r="C70">
        <v>1295.2650000000001</v>
      </c>
      <c r="D70">
        <v>1301.4100000000001</v>
      </c>
      <c r="E70">
        <v>1194.5440000000001</v>
      </c>
      <c r="F70">
        <v>1401.1610000000001</v>
      </c>
      <c r="H70" s="2">
        <f t="shared" si="4"/>
        <v>1298.5376000000001</v>
      </c>
      <c r="I70" s="2">
        <f t="shared" si="5"/>
        <v>32.686637925305185</v>
      </c>
      <c r="K70">
        <v>75</v>
      </c>
      <c r="L70">
        <v>1242.692</v>
      </c>
      <c r="M70">
        <v>1358.4</v>
      </c>
      <c r="N70">
        <v>1180.425</v>
      </c>
      <c r="O70">
        <v>1365.3789999999999</v>
      </c>
      <c r="P70">
        <v>1266.393</v>
      </c>
      <c r="R70" s="3">
        <f t="shared" si="6"/>
        <v>1282.6578</v>
      </c>
      <c r="S70" s="3">
        <f t="shared" si="7"/>
        <v>35.279620232366447</v>
      </c>
    </row>
    <row r="71" spans="1:19" x14ac:dyDescent="0.25">
      <c r="A71">
        <v>76.25</v>
      </c>
      <c r="B71">
        <v>1495.9860000000001</v>
      </c>
      <c r="C71">
        <v>1508.597</v>
      </c>
      <c r="D71">
        <v>1475.3589999999999</v>
      </c>
      <c r="E71">
        <v>1332.143</v>
      </c>
      <c r="F71">
        <v>1539.0719999999999</v>
      </c>
      <c r="H71" s="2">
        <f t="shared" si="4"/>
        <v>1470.2314000000001</v>
      </c>
      <c r="I71" s="2">
        <f t="shared" si="5"/>
        <v>36.033973822768964</v>
      </c>
      <c r="K71">
        <v>76.25</v>
      </c>
      <c r="L71">
        <v>1423.825</v>
      </c>
      <c r="M71">
        <v>1551.194</v>
      </c>
      <c r="N71">
        <v>1320.086</v>
      </c>
      <c r="O71">
        <v>1519.5640000000001</v>
      </c>
      <c r="P71">
        <v>1424.1410000000001</v>
      </c>
      <c r="R71" s="3">
        <f t="shared" si="6"/>
        <v>1447.7620000000002</v>
      </c>
      <c r="S71" s="3">
        <f t="shared" si="7"/>
        <v>40.795709586916118</v>
      </c>
    </row>
    <row r="72" spans="1:19" x14ac:dyDescent="0.25">
      <c r="A72">
        <v>77.5</v>
      </c>
      <c r="B72">
        <v>1601.7860000000001</v>
      </c>
      <c r="C72">
        <v>1616.759</v>
      </c>
      <c r="D72">
        <v>1571.8610000000001</v>
      </c>
      <c r="E72">
        <v>1422.7139999999999</v>
      </c>
      <c r="F72">
        <v>1629.2650000000001</v>
      </c>
      <c r="H72" s="2">
        <f t="shared" si="4"/>
        <v>1568.4770000000001</v>
      </c>
      <c r="I72" s="2">
        <f t="shared" si="5"/>
        <v>37.678989884284341</v>
      </c>
      <c r="K72">
        <v>77.5</v>
      </c>
      <c r="L72">
        <v>1501.15</v>
      </c>
      <c r="M72">
        <v>1651.6279999999999</v>
      </c>
      <c r="N72">
        <v>1395.865</v>
      </c>
      <c r="O72">
        <v>1608.1189999999999</v>
      </c>
      <c r="P72">
        <v>1490.6579999999999</v>
      </c>
      <c r="R72" s="3">
        <f t="shared" si="6"/>
        <v>1529.4839999999999</v>
      </c>
      <c r="S72" s="3">
        <f t="shared" si="7"/>
        <v>45.424074538728895</v>
      </c>
    </row>
    <row r="73" spans="1:19" x14ac:dyDescent="0.25">
      <c r="A73">
        <v>78.75</v>
      </c>
      <c r="B73">
        <v>1514.941</v>
      </c>
      <c r="C73">
        <v>1539.1590000000001</v>
      </c>
      <c r="D73">
        <v>1495.84</v>
      </c>
      <c r="E73">
        <v>1364.1369999999999</v>
      </c>
      <c r="F73">
        <v>1577.3150000000001</v>
      </c>
      <c r="H73" s="2">
        <f t="shared" si="4"/>
        <v>1498.2783999999999</v>
      </c>
      <c r="I73" s="2">
        <f t="shared" si="5"/>
        <v>36.190821228040704</v>
      </c>
      <c r="K73">
        <v>78.75</v>
      </c>
      <c r="L73">
        <v>1427.2629999999999</v>
      </c>
      <c r="M73">
        <v>1575.289</v>
      </c>
      <c r="N73">
        <v>1333.1289999999999</v>
      </c>
      <c r="O73">
        <v>1543.5530000000001</v>
      </c>
      <c r="P73">
        <v>1436.08</v>
      </c>
      <c r="R73" s="3">
        <f t="shared" si="6"/>
        <v>1463.0627999999999</v>
      </c>
      <c r="S73" s="3">
        <f t="shared" si="7"/>
        <v>43.569416923342025</v>
      </c>
    </row>
    <row r="74" spans="1:19" x14ac:dyDescent="0.25">
      <c r="A74">
        <v>80</v>
      </c>
      <c r="B74">
        <v>1402.9290000000001</v>
      </c>
      <c r="C74">
        <v>1423.7619999999999</v>
      </c>
      <c r="D74">
        <v>1386.508</v>
      </c>
      <c r="E74">
        <v>1297.921</v>
      </c>
      <c r="F74">
        <v>1489.289</v>
      </c>
      <c r="H74" s="2">
        <f t="shared" si="4"/>
        <v>1400.0817999999999</v>
      </c>
      <c r="I74" s="2">
        <f t="shared" si="5"/>
        <v>30.941767931713262</v>
      </c>
      <c r="K74">
        <v>80</v>
      </c>
      <c r="L74">
        <v>1333.873</v>
      </c>
      <c r="M74">
        <v>1468.181</v>
      </c>
      <c r="N74">
        <v>1261.3969999999999</v>
      </c>
      <c r="O74">
        <v>1454.0160000000001</v>
      </c>
      <c r="P74">
        <v>1387.2760000000001</v>
      </c>
      <c r="R74" s="3">
        <f t="shared" si="6"/>
        <v>1380.9486000000002</v>
      </c>
      <c r="S74" s="3">
        <f t="shared" si="7"/>
        <v>38.403821242944055</v>
      </c>
    </row>
    <row r="75" spans="1:19" x14ac:dyDescent="0.25">
      <c r="A75">
        <v>81.25</v>
      </c>
      <c r="B75">
        <v>1428.829</v>
      </c>
      <c r="C75">
        <v>1429.53</v>
      </c>
      <c r="D75">
        <v>1428.1079999999999</v>
      </c>
      <c r="E75">
        <v>1360.181</v>
      </c>
      <c r="F75">
        <v>1564.3979999999999</v>
      </c>
      <c r="H75" s="2">
        <f t="shared" si="4"/>
        <v>1442.2091999999998</v>
      </c>
      <c r="I75" s="2">
        <f t="shared" si="5"/>
        <v>33.314684560115509</v>
      </c>
      <c r="K75">
        <v>81.25</v>
      </c>
      <c r="L75">
        <v>1374.654</v>
      </c>
      <c r="M75">
        <v>1531.921</v>
      </c>
      <c r="N75">
        <v>1335.711</v>
      </c>
      <c r="O75">
        <v>1531.82</v>
      </c>
      <c r="P75">
        <v>1471.855</v>
      </c>
      <c r="R75" s="3">
        <f t="shared" si="6"/>
        <v>1449.1922</v>
      </c>
      <c r="S75" s="3">
        <f t="shared" si="7"/>
        <v>40.384982480372571</v>
      </c>
    </row>
    <row r="76" spans="1:19" x14ac:dyDescent="0.25">
      <c r="A76">
        <v>82.5</v>
      </c>
      <c r="B76">
        <v>1873.32</v>
      </c>
      <c r="C76">
        <v>1888.8989999999999</v>
      </c>
      <c r="D76">
        <v>1965.222</v>
      </c>
      <c r="E76">
        <v>1817.893</v>
      </c>
      <c r="F76">
        <v>2107.1860000000001</v>
      </c>
      <c r="H76" s="2">
        <f t="shared" si="4"/>
        <v>1930.5040000000001</v>
      </c>
      <c r="I76" s="2">
        <f t="shared" si="5"/>
        <v>50.052018865376475</v>
      </c>
      <c r="K76">
        <v>82.5</v>
      </c>
      <c r="L76">
        <v>1853.1479999999999</v>
      </c>
      <c r="M76">
        <v>2100.5500000000002</v>
      </c>
      <c r="N76">
        <v>1873.164</v>
      </c>
      <c r="O76">
        <v>2149.4430000000002</v>
      </c>
      <c r="P76">
        <v>2029.0329999999999</v>
      </c>
      <c r="R76" s="3">
        <f t="shared" si="6"/>
        <v>2001.0675999999999</v>
      </c>
      <c r="S76" s="3">
        <f t="shared" si="7"/>
        <v>59.554013210362285</v>
      </c>
    </row>
    <row r="77" spans="1:19" x14ac:dyDescent="0.25">
      <c r="A77">
        <v>83.75</v>
      </c>
      <c r="B77">
        <v>2879.069</v>
      </c>
      <c r="C77">
        <v>2901.25</v>
      </c>
      <c r="D77">
        <v>3032.1179999999999</v>
      </c>
      <c r="E77">
        <v>2734.25</v>
      </c>
      <c r="F77">
        <v>3120.47</v>
      </c>
      <c r="H77" s="2">
        <f t="shared" si="4"/>
        <v>2933.4313999999999</v>
      </c>
      <c r="I77" s="2">
        <f t="shared" si="5"/>
        <v>66.478051285819106</v>
      </c>
      <c r="K77">
        <v>83.75</v>
      </c>
      <c r="L77">
        <v>2839.7829999999999</v>
      </c>
      <c r="M77">
        <v>3167.7759999999998</v>
      </c>
      <c r="N77">
        <v>2857.683</v>
      </c>
      <c r="O77">
        <v>3303.0970000000002</v>
      </c>
      <c r="P77">
        <v>2986.5770000000002</v>
      </c>
      <c r="R77" s="3">
        <f t="shared" si="6"/>
        <v>3030.9831999999997</v>
      </c>
      <c r="S77" s="3">
        <f t="shared" si="7"/>
        <v>89.811073003499985</v>
      </c>
    </row>
    <row r="78" spans="1:19" x14ac:dyDescent="0.25">
      <c r="A78">
        <v>85</v>
      </c>
      <c r="B78">
        <v>3957.828</v>
      </c>
      <c r="C78">
        <v>3954.2179999999998</v>
      </c>
      <c r="D78">
        <v>4040.4969999999998</v>
      </c>
      <c r="E78">
        <v>3668.16</v>
      </c>
      <c r="F78">
        <v>4087.9180000000001</v>
      </c>
      <c r="H78" s="2">
        <f t="shared" si="4"/>
        <v>3941.7241999999997</v>
      </c>
      <c r="I78" s="2">
        <f t="shared" si="5"/>
        <v>72.931986162725622</v>
      </c>
      <c r="K78">
        <v>85</v>
      </c>
      <c r="L78">
        <v>3844.2939999999999</v>
      </c>
      <c r="M78">
        <v>4240.2929999999997</v>
      </c>
      <c r="N78">
        <v>3717.462</v>
      </c>
      <c r="O78">
        <v>4354.1310000000003</v>
      </c>
      <c r="P78">
        <v>3815.5169999999998</v>
      </c>
      <c r="R78" s="3">
        <f t="shared" si="6"/>
        <v>3994.3393999999998</v>
      </c>
      <c r="S78" s="3">
        <f t="shared" si="7"/>
        <v>126.70740629836918</v>
      </c>
    </row>
    <row r="79" spans="1:19" x14ac:dyDescent="0.25">
      <c r="A79">
        <v>86.25</v>
      </c>
      <c r="B79">
        <v>4415.2250000000004</v>
      </c>
      <c r="C79">
        <v>4398.6989999999996</v>
      </c>
      <c r="D79">
        <v>4440.5879999999997</v>
      </c>
      <c r="E79">
        <v>4041.8339999999998</v>
      </c>
      <c r="F79">
        <v>4463.5389999999998</v>
      </c>
      <c r="H79" s="2">
        <f t="shared" si="4"/>
        <v>4351.9769999999999</v>
      </c>
      <c r="I79" s="2">
        <f t="shared" si="5"/>
        <v>78.31664076107964</v>
      </c>
      <c r="K79">
        <v>86.25</v>
      </c>
      <c r="L79">
        <v>4223.7150000000001</v>
      </c>
      <c r="M79">
        <v>4688.0550000000003</v>
      </c>
      <c r="N79">
        <v>3994.8879999999999</v>
      </c>
      <c r="O79">
        <v>4728.6549999999997</v>
      </c>
      <c r="P79">
        <v>4072.9</v>
      </c>
      <c r="R79" s="3">
        <f t="shared" si="6"/>
        <v>4341.6426000000001</v>
      </c>
      <c r="S79" s="3">
        <f t="shared" si="7"/>
        <v>154.29653352314821</v>
      </c>
    </row>
    <row r="80" spans="1:19" x14ac:dyDescent="0.25">
      <c r="A80">
        <v>87.5</v>
      </c>
      <c r="B80">
        <v>4082.951</v>
      </c>
      <c r="C80">
        <v>4070.913</v>
      </c>
      <c r="D80">
        <v>4019.9169999999999</v>
      </c>
      <c r="E80">
        <v>3698.5479999999998</v>
      </c>
      <c r="F80">
        <v>4108.8770000000004</v>
      </c>
      <c r="H80" s="2">
        <f t="shared" si="4"/>
        <v>3996.2411999999995</v>
      </c>
      <c r="I80" s="2">
        <f t="shared" si="5"/>
        <v>75.816579784635564</v>
      </c>
      <c r="K80">
        <v>87.5</v>
      </c>
      <c r="L80">
        <v>3851.942</v>
      </c>
      <c r="M80">
        <v>4275.826</v>
      </c>
      <c r="N80">
        <v>3582.8380000000002</v>
      </c>
      <c r="O80">
        <v>4279.6390000000001</v>
      </c>
      <c r="P80">
        <v>3701.453</v>
      </c>
      <c r="R80" s="3">
        <f t="shared" si="6"/>
        <v>3938.3396000000002</v>
      </c>
      <c r="S80" s="3">
        <f t="shared" si="7"/>
        <v>144.97302245128228</v>
      </c>
    </row>
    <row r="81" spans="1:19" x14ac:dyDescent="0.25">
      <c r="A81">
        <v>88.75</v>
      </c>
      <c r="B81">
        <v>3383.6729999999998</v>
      </c>
      <c r="C81">
        <v>3401.2060000000001</v>
      </c>
      <c r="D81">
        <v>3300.893</v>
      </c>
      <c r="E81">
        <v>3059.1350000000002</v>
      </c>
      <c r="F81">
        <v>3457.328</v>
      </c>
      <c r="H81" s="2">
        <f t="shared" si="4"/>
        <v>3320.4470000000001</v>
      </c>
      <c r="I81" s="2">
        <f t="shared" si="5"/>
        <v>69.972234342630458</v>
      </c>
      <c r="K81">
        <v>88.75</v>
      </c>
      <c r="L81">
        <v>3186.721</v>
      </c>
      <c r="M81">
        <v>3531.3739999999998</v>
      </c>
      <c r="N81">
        <v>2993.8789999999999</v>
      </c>
      <c r="O81">
        <v>3536.9969999999998</v>
      </c>
      <c r="P81">
        <v>3128.2109999999998</v>
      </c>
      <c r="R81" s="3">
        <f t="shared" si="6"/>
        <v>3275.4363999999996</v>
      </c>
      <c r="S81" s="3">
        <f t="shared" si="7"/>
        <v>110.16767054431166</v>
      </c>
    </row>
    <row r="82" spans="1:19" x14ac:dyDescent="0.25">
      <c r="A82">
        <v>90</v>
      </c>
      <c r="B82">
        <v>3086.3319999999999</v>
      </c>
      <c r="C82">
        <v>3098.6970000000001</v>
      </c>
      <c r="D82">
        <v>3107.1689999999999</v>
      </c>
      <c r="E82">
        <v>2823.3829999999998</v>
      </c>
      <c r="F82">
        <v>3162.6370000000002</v>
      </c>
      <c r="H82" s="2">
        <f t="shared" si="4"/>
        <v>3055.6436000000003</v>
      </c>
      <c r="I82" s="2">
        <f t="shared" si="5"/>
        <v>59.51588609237038</v>
      </c>
      <c r="K82">
        <v>90</v>
      </c>
      <c r="L82">
        <v>2934.3560000000002</v>
      </c>
      <c r="M82">
        <v>3257.6509999999998</v>
      </c>
      <c r="N82">
        <v>2841.4839999999999</v>
      </c>
      <c r="O82">
        <v>3291.9609999999998</v>
      </c>
      <c r="P82">
        <v>2905.3960000000002</v>
      </c>
      <c r="R82" s="3">
        <f t="shared" si="6"/>
        <v>3046.1696000000002</v>
      </c>
      <c r="S82" s="3">
        <f t="shared" si="7"/>
        <v>94.697802854448454</v>
      </c>
    </row>
    <row r="83" spans="1:19" x14ac:dyDescent="0.25">
      <c r="A83">
        <v>91.25</v>
      </c>
      <c r="B83">
        <v>3349.663</v>
      </c>
      <c r="C83">
        <v>3396.11</v>
      </c>
      <c r="D83">
        <v>3495.5430000000001</v>
      </c>
      <c r="E83">
        <v>3081.4450000000002</v>
      </c>
      <c r="F83">
        <v>3365.587</v>
      </c>
      <c r="H83" s="2">
        <f t="shared" si="4"/>
        <v>3337.6696000000002</v>
      </c>
      <c r="I83" s="2">
        <f t="shared" si="5"/>
        <v>68.88888128399239</v>
      </c>
      <c r="K83">
        <v>91.25</v>
      </c>
      <c r="L83">
        <v>3218.4490000000001</v>
      </c>
      <c r="M83">
        <v>3565.0839999999998</v>
      </c>
      <c r="N83">
        <v>3136.5</v>
      </c>
      <c r="O83">
        <v>3641.0129999999999</v>
      </c>
      <c r="P83">
        <v>3100.5030000000002</v>
      </c>
      <c r="R83" s="3">
        <f t="shared" si="6"/>
        <v>3332.3098</v>
      </c>
      <c r="S83" s="3">
        <f t="shared" si="7"/>
        <v>112.80993882517616</v>
      </c>
    </row>
    <row r="84" spans="1:19" x14ac:dyDescent="0.25">
      <c r="A84">
        <v>92.5</v>
      </c>
      <c r="B84">
        <v>3797.9119999999998</v>
      </c>
      <c r="C84">
        <v>3889.59</v>
      </c>
      <c r="D84">
        <v>4020.9180000000001</v>
      </c>
      <c r="E84">
        <v>3487.241</v>
      </c>
      <c r="F84">
        <v>3697.4</v>
      </c>
      <c r="H84" s="2">
        <f t="shared" si="4"/>
        <v>3778.6122000000005</v>
      </c>
      <c r="I84" s="2">
        <f t="shared" si="5"/>
        <v>90.247784655580347</v>
      </c>
      <c r="K84">
        <v>92.5</v>
      </c>
      <c r="L84">
        <v>3661.9609999999998</v>
      </c>
      <c r="M84">
        <v>4042.616</v>
      </c>
      <c r="N84">
        <v>3519.3829999999998</v>
      </c>
      <c r="O84">
        <v>4103.0619999999999</v>
      </c>
      <c r="P84">
        <v>3360.2179999999998</v>
      </c>
      <c r="R84" s="3">
        <f t="shared" si="6"/>
        <v>3737.4479999999994</v>
      </c>
      <c r="S84" s="3">
        <f t="shared" si="7"/>
        <v>145.31933964789411</v>
      </c>
    </row>
    <row r="85" spans="1:19" x14ac:dyDescent="0.25">
      <c r="A85">
        <v>93.75</v>
      </c>
      <c r="B85">
        <v>4029.7040000000002</v>
      </c>
      <c r="C85">
        <v>4086.7469999999998</v>
      </c>
      <c r="D85">
        <v>4220.6319999999996</v>
      </c>
      <c r="E85">
        <v>3679.6579999999999</v>
      </c>
      <c r="F85">
        <v>3765.5189999999998</v>
      </c>
      <c r="H85" s="2">
        <f t="shared" si="4"/>
        <v>3956.4519999999998</v>
      </c>
      <c r="I85" s="2">
        <f t="shared" si="5"/>
        <v>101.29265616371207</v>
      </c>
      <c r="K85">
        <v>93.75</v>
      </c>
      <c r="L85">
        <v>3824.3310000000001</v>
      </c>
      <c r="M85">
        <v>4248.2650000000003</v>
      </c>
      <c r="N85">
        <v>3592.1060000000002</v>
      </c>
      <c r="O85">
        <v>4270.2629999999999</v>
      </c>
      <c r="P85">
        <v>3398.7249999999999</v>
      </c>
      <c r="R85" s="3">
        <f t="shared" si="6"/>
        <v>3866.7379999999998</v>
      </c>
      <c r="S85" s="3">
        <f t="shared" si="7"/>
        <v>173.87531949589626</v>
      </c>
    </row>
    <row r="86" spans="1:19" x14ac:dyDescent="0.25">
      <c r="A86">
        <v>95</v>
      </c>
      <c r="B86">
        <v>3787.8919999999998</v>
      </c>
      <c r="C86">
        <v>3813.3270000000002</v>
      </c>
      <c r="D86">
        <v>3879.3420000000001</v>
      </c>
      <c r="E86">
        <v>3486.299</v>
      </c>
      <c r="F86">
        <v>3572.0189999999998</v>
      </c>
      <c r="H86" s="2">
        <f t="shared" si="4"/>
        <v>3707.7758000000003</v>
      </c>
      <c r="I86" s="2">
        <f t="shared" si="5"/>
        <v>75.655966053841425</v>
      </c>
      <c r="K86">
        <v>95</v>
      </c>
      <c r="L86">
        <v>3559.8229999999999</v>
      </c>
      <c r="M86">
        <v>3946.4920000000002</v>
      </c>
      <c r="N86">
        <v>3313.4989999999998</v>
      </c>
      <c r="O86">
        <v>3951.91</v>
      </c>
      <c r="P86">
        <v>3232.8670000000002</v>
      </c>
      <c r="R86" s="3">
        <f t="shared" si="6"/>
        <v>3600.9182000000001</v>
      </c>
      <c r="S86" s="3">
        <f t="shared" si="7"/>
        <v>152.04880675736985</v>
      </c>
    </row>
    <row r="87" spans="1:19" x14ac:dyDescent="0.25">
      <c r="A87">
        <v>96.25</v>
      </c>
      <c r="B87">
        <v>3407.3809999999999</v>
      </c>
      <c r="C87">
        <v>3393.6480000000001</v>
      </c>
      <c r="D87">
        <v>3402.7660000000001</v>
      </c>
      <c r="E87">
        <v>3170.6129999999998</v>
      </c>
      <c r="F87">
        <v>3388.2020000000002</v>
      </c>
      <c r="H87" s="2">
        <f t="shared" si="4"/>
        <v>3352.5219999999999</v>
      </c>
      <c r="I87" s="2">
        <f t="shared" si="5"/>
        <v>45.60113155065347</v>
      </c>
      <c r="K87">
        <v>96.25</v>
      </c>
      <c r="L87">
        <v>3227.3739999999998</v>
      </c>
      <c r="M87">
        <v>3532.4580000000001</v>
      </c>
      <c r="N87">
        <v>3040.9009999999998</v>
      </c>
      <c r="O87">
        <v>3506.0509999999999</v>
      </c>
      <c r="P87">
        <v>3126.9189999999999</v>
      </c>
      <c r="R87" s="3">
        <f t="shared" si="6"/>
        <v>3286.7406000000001</v>
      </c>
      <c r="S87" s="3">
        <f t="shared" si="7"/>
        <v>99.493351074632159</v>
      </c>
    </row>
    <row r="88" spans="1:19" x14ac:dyDescent="0.25">
      <c r="A88">
        <v>97.5</v>
      </c>
      <c r="B88">
        <v>3320.56</v>
      </c>
      <c r="C88">
        <v>3326.7979999999998</v>
      </c>
      <c r="D88">
        <v>3320.165</v>
      </c>
      <c r="E88">
        <v>3096.7089999999998</v>
      </c>
      <c r="F88">
        <v>3473.36</v>
      </c>
      <c r="H88" s="2">
        <f t="shared" si="4"/>
        <v>3307.5183999999999</v>
      </c>
      <c r="I88" s="2">
        <f t="shared" si="5"/>
        <v>60.2684669695522</v>
      </c>
      <c r="K88">
        <v>97.5</v>
      </c>
      <c r="L88">
        <v>3182.7350000000001</v>
      </c>
      <c r="M88">
        <v>3427.0189999999998</v>
      </c>
      <c r="N88">
        <v>3071.9810000000002</v>
      </c>
      <c r="O88">
        <v>3440.4430000000002</v>
      </c>
      <c r="P88">
        <v>3232.4879999999998</v>
      </c>
      <c r="R88" s="3">
        <f t="shared" si="6"/>
        <v>3270.9331999999999</v>
      </c>
      <c r="S88" s="3">
        <f t="shared" si="7"/>
        <v>71.391625219208962</v>
      </c>
    </row>
    <row r="89" spans="1:19" x14ac:dyDescent="0.25">
      <c r="A89">
        <v>98.75</v>
      </c>
      <c r="B89">
        <v>3460.5610000000001</v>
      </c>
      <c r="C89">
        <v>3518.9830000000002</v>
      </c>
      <c r="D89">
        <v>3479.6149999999998</v>
      </c>
      <c r="E89">
        <v>3228.0940000000001</v>
      </c>
      <c r="F89">
        <v>3705.6660000000002</v>
      </c>
      <c r="H89" s="2">
        <f t="shared" si="4"/>
        <v>3478.5838000000003</v>
      </c>
      <c r="I89" s="2">
        <f t="shared" si="5"/>
        <v>76.246129578753056</v>
      </c>
      <c r="K89">
        <v>98.75</v>
      </c>
      <c r="L89">
        <v>3338.9580000000001</v>
      </c>
      <c r="M89">
        <v>3582.558</v>
      </c>
      <c r="N89">
        <v>3192.5149999999999</v>
      </c>
      <c r="O89">
        <v>3613.8409999999999</v>
      </c>
      <c r="P89">
        <v>3420.1840000000002</v>
      </c>
      <c r="R89" s="3">
        <f t="shared" si="6"/>
        <v>3429.6112000000003</v>
      </c>
      <c r="S89" s="3">
        <f t="shared" si="7"/>
        <v>78.056013753842166</v>
      </c>
    </row>
    <row r="90" spans="1:19" x14ac:dyDescent="0.25">
      <c r="A90">
        <v>100</v>
      </c>
      <c r="B90">
        <v>3533.0790000000002</v>
      </c>
      <c r="C90">
        <v>3569.123</v>
      </c>
      <c r="D90">
        <v>3552.2779999999998</v>
      </c>
      <c r="E90">
        <v>3271.5430000000001</v>
      </c>
      <c r="F90">
        <v>3853.3440000000001</v>
      </c>
      <c r="H90" s="2">
        <f t="shared" si="4"/>
        <v>3555.8733999999995</v>
      </c>
      <c r="I90" s="2">
        <f t="shared" si="5"/>
        <v>92.206452513151135</v>
      </c>
      <c r="K90">
        <v>100</v>
      </c>
      <c r="L90">
        <v>3386.538</v>
      </c>
      <c r="M90">
        <v>3675.0320000000002</v>
      </c>
      <c r="N90">
        <v>3237.748</v>
      </c>
      <c r="O90">
        <v>3716.4110000000001</v>
      </c>
      <c r="P90">
        <v>3486.029</v>
      </c>
      <c r="R90" s="3">
        <f t="shared" si="6"/>
        <v>3500.3515999999995</v>
      </c>
      <c r="S90" s="3">
        <f t="shared" si="7"/>
        <v>89.250834623884614</v>
      </c>
    </row>
    <row r="91" spans="1:19" x14ac:dyDescent="0.25">
      <c r="A91">
        <v>101.25</v>
      </c>
      <c r="B91">
        <v>3489.5720000000001</v>
      </c>
      <c r="C91">
        <v>3464.9349999999999</v>
      </c>
      <c r="D91">
        <v>3475.4250000000002</v>
      </c>
      <c r="E91">
        <v>3179.913</v>
      </c>
      <c r="F91">
        <v>3794.732</v>
      </c>
      <c r="H91" s="2">
        <f t="shared" si="4"/>
        <v>3480.9154000000003</v>
      </c>
      <c r="I91" s="2">
        <f t="shared" si="5"/>
        <v>97.325165718122449</v>
      </c>
      <c r="K91">
        <v>101.25</v>
      </c>
      <c r="L91">
        <v>3310.942</v>
      </c>
      <c r="M91">
        <v>3602.3319999999999</v>
      </c>
      <c r="N91">
        <v>3199.6469999999999</v>
      </c>
      <c r="O91">
        <v>3663.6410000000001</v>
      </c>
      <c r="P91">
        <v>3430.297</v>
      </c>
      <c r="R91" s="3">
        <f t="shared" si="6"/>
        <v>3441.3717999999994</v>
      </c>
      <c r="S91" s="3">
        <f t="shared" si="7"/>
        <v>86.855410341210174</v>
      </c>
    </row>
    <row r="92" spans="1:19" x14ac:dyDescent="0.25">
      <c r="A92">
        <v>102.5</v>
      </c>
      <c r="B92">
        <v>3362.17</v>
      </c>
      <c r="C92">
        <v>3297.1329999999998</v>
      </c>
      <c r="D92">
        <v>3275.7579999999998</v>
      </c>
      <c r="E92">
        <v>3003.9659999999999</v>
      </c>
      <c r="F92">
        <v>3598.808</v>
      </c>
      <c r="H92" s="2">
        <f t="shared" si="4"/>
        <v>3307.567</v>
      </c>
      <c r="I92" s="2">
        <f t="shared" si="5"/>
        <v>95.156990213015902</v>
      </c>
      <c r="K92">
        <v>102.5</v>
      </c>
      <c r="L92">
        <v>3135.5830000000001</v>
      </c>
      <c r="M92">
        <v>3436.2660000000001</v>
      </c>
      <c r="N92">
        <v>3047.0509999999999</v>
      </c>
      <c r="O92">
        <v>3474.741</v>
      </c>
      <c r="P92">
        <v>3290.4929999999999</v>
      </c>
      <c r="R92" s="3">
        <f t="shared" si="6"/>
        <v>3276.8267999999998</v>
      </c>
      <c r="S92" s="3">
        <f t="shared" si="7"/>
        <v>82.922971300116842</v>
      </c>
    </row>
    <row r="93" spans="1:19" x14ac:dyDescent="0.25">
      <c r="A93">
        <v>103.75</v>
      </c>
      <c r="B93">
        <v>3082.817</v>
      </c>
      <c r="C93">
        <v>3009.89</v>
      </c>
      <c r="D93">
        <v>2935.81</v>
      </c>
      <c r="E93">
        <v>2718.35</v>
      </c>
      <c r="F93">
        <v>3276.1660000000002</v>
      </c>
      <c r="H93" s="2">
        <f t="shared" si="4"/>
        <v>3004.6066000000001</v>
      </c>
      <c r="I93" s="2">
        <f t="shared" si="5"/>
        <v>91.259274029328139</v>
      </c>
      <c r="K93">
        <v>103.75</v>
      </c>
      <c r="L93">
        <v>2835.4050000000002</v>
      </c>
      <c r="M93">
        <v>3158.3380000000002</v>
      </c>
      <c r="N93">
        <v>2746.2</v>
      </c>
      <c r="O93">
        <v>3136.2710000000002</v>
      </c>
      <c r="P93">
        <v>2998.7550000000001</v>
      </c>
      <c r="R93" s="3">
        <f t="shared" si="6"/>
        <v>2974.9938000000002</v>
      </c>
      <c r="S93" s="3">
        <f t="shared" si="7"/>
        <v>81.247049651910487</v>
      </c>
    </row>
    <row r="94" spans="1:19" x14ac:dyDescent="0.25">
      <c r="A94">
        <v>105</v>
      </c>
      <c r="B94">
        <v>2733.6990000000001</v>
      </c>
      <c r="C94">
        <v>2704.3609999999999</v>
      </c>
      <c r="D94">
        <v>2601.0309999999999</v>
      </c>
      <c r="E94">
        <v>2425.2420000000002</v>
      </c>
      <c r="F94">
        <v>2928.2379999999998</v>
      </c>
      <c r="H94" s="2">
        <f t="shared" si="4"/>
        <v>2678.5141999999996</v>
      </c>
      <c r="I94" s="2">
        <f t="shared" si="5"/>
        <v>82.530554670012918</v>
      </c>
      <c r="K94">
        <v>105</v>
      </c>
      <c r="L94">
        <v>2551.9340000000002</v>
      </c>
      <c r="M94">
        <v>2826.598</v>
      </c>
      <c r="N94">
        <v>2451.4520000000002</v>
      </c>
      <c r="O94">
        <v>2777.518</v>
      </c>
      <c r="P94">
        <v>2708.7130000000002</v>
      </c>
      <c r="R94" s="3">
        <f t="shared" si="6"/>
        <v>2663.2429999999999</v>
      </c>
      <c r="S94" s="3">
        <f t="shared" si="7"/>
        <v>70.376229549472114</v>
      </c>
    </row>
    <row r="95" spans="1:19" x14ac:dyDescent="0.25">
      <c r="A95">
        <v>106.25</v>
      </c>
      <c r="B95">
        <v>2509.29</v>
      </c>
      <c r="C95">
        <v>2531.0149999999999</v>
      </c>
      <c r="D95">
        <v>2404.6970000000001</v>
      </c>
      <c r="E95">
        <v>2253.7469999999998</v>
      </c>
      <c r="F95">
        <v>2697.2959999999998</v>
      </c>
      <c r="H95" s="2">
        <f t="shared" si="4"/>
        <v>2479.2089999999998</v>
      </c>
      <c r="I95" s="2">
        <f t="shared" si="5"/>
        <v>73.32660477412</v>
      </c>
      <c r="K95">
        <v>106.25</v>
      </c>
      <c r="L95">
        <v>2388.0520000000001</v>
      </c>
      <c r="M95">
        <v>2609.9050000000002</v>
      </c>
      <c r="N95">
        <v>2278.558</v>
      </c>
      <c r="O95">
        <v>2548.5540000000001</v>
      </c>
      <c r="P95">
        <v>2516.0529999999999</v>
      </c>
      <c r="R95" s="3">
        <f t="shared" si="6"/>
        <v>2468.2244000000001</v>
      </c>
      <c r="S95" s="3">
        <f t="shared" si="7"/>
        <v>59.671923482153659</v>
      </c>
    </row>
    <row r="96" spans="1:19" x14ac:dyDescent="0.25">
      <c r="A96">
        <v>107.5</v>
      </c>
      <c r="B96">
        <v>2380.2280000000001</v>
      </c>
      <c r="C96">
        <v>2403.7260000000001</v>
      </c>
      <c r="D96">
        <v>2268.5320000000002</v>
      </c>
      <c r="E96">
        <v>2139.922</v>
      </c>
      <c r="F96">
        <v>2536.2449999999999</v>
      </c>
      <c r="H96" s="2">
        <f t="shared" si="4"/>
        <v>2345.7305999999999</v>
      </c>
      <c r="I96" s="2">
        <f t="shared" si="5"/>
        <v>66.770531415887334</v>
      </c>
      <c r="K96">
        <v>107.5</v>
      </c>
      <c r="L96">
        <v>2273.85</v>
      </c>
      <c r="M96">
        <v>2463.3560000000002</v>
      </c>
      <c r="N96">
        <v>2160.6750000000002</v>
      </c>
      <c r="O96">
        <v>2390.5709999999999</v>
      </c>
      <c r="P96">
        <v>2367.4540000000002</v>
      </c>
      <c r="R96" s="3">
        <f t="shared" si="6"/>
        <v>2331.1812</v>
      </c>
      <c r="S96" s="3">
        <f t="shared" si="7"/>
        <v>52.28397118180677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U3" sqref="U3"/>
    </sheetView>
  </sheetViews>
  <sheetFormatPr defaultRowHeight="11.25" x14ac:dyDescent="0.2"/>
  <cols>
    <col min="1" max="1" width="8.5703125" style="7" bestFit="1" customWidth="1"/>
    <col min="2" max="16" width="5.7109375" style="7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5" width="7.85546875" style="7" bestFit="1" customWidth="1"/>
    <col min="36" max="36" width="5.7109375" style="7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6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7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1.6259999999999999</v>
      </c>
      <c r="C3" s="7">
        <v>0.90700000000000003</v>
      </c>
      <c r="D3" s="7">
        <v>1.1000000000000001</v>
      </c>
      <c r="E3" s="7">
        <v>3.3879999999999999</v>
      </c>
      <c r="H3" s="7">
        <v>3.9140000000000001</v>
      </c>
      <c r="I3" s="7">
        <v>3.9950000000000001</v>
      </c>
      <c r="J3" s="7">
        <v>1.696</v>
      </c>
      <c r="K3" s="7">
        <v>1.7270000000000001</v>
      </c>
      <c r="L3" s="7">
        <v>4.4950000000000001</v>
      </c>
      <c r="M3" s="7">
        <v>-0.82699999999999996</v>
      </c>
      <c r="N3" s="7">
        <v>2.113</v>
      </c>
      <c r="O3" s="7">
        <v>2.4510000000000001</v>
      </c>
      <c r="P3" s="7">
        <v>1.377</v>
      </c>
      <c r="U3" s="7" t="s">
        <v>0</v>
      </c>
      <c r="V3" s="7">
        <v>2.6</v>
      </c>
      <c r="X3" s="7">
        <v>4.0279999999999996</v>
      </c>
      <c r="Y3" s="7">
        <v>3.4249999999999998</v>
      </c>
      <c r="Z3" s="7">
        <v>2.6579999999999999</v>
      </c>
      <c r="AA3" s="7">
        <v>4.0670000000000002</v>
      </c>
      <c r="AB3" s="7">
        <v>3.177</v>
      </c>
      <c r="AC3" s="7">
        <v>3.26</v>
      </c>
      <c r="AD3" s="7">
        <v>3.5219999999999998</v>
      </c>
      <c r="AE3" s="7">
        <v>2.641</v>
      </c>
      <c r="AF3" s="7">
        <v>4.1189999999999998</v>
      </c>
      <c r="AG3" s="7">
        <v>2.351</v>
      </c>
      <c r="AH3" s="7">
        <v>3.714</v>
      </c>
      <c r="AI3" s="7">
        <v>3.2789999999999999</v>
      </c>
      <c r="AJ3" s="7">
        <v>2.5880000000000001</v>
      </c>
    </row>
    <row r="4" spans="1:39" x14ac:dyDescent="0.2">
      <c r="A4" s="7" t="s">
        <v>1</v>
      </c>
      <c r="B4" s="7">
        <v>324.85199999999998</v>
      </c>
      <c r="C4" s="7">
        <v>324.38</v>
      </c>
      <c r="D4" s="7">
        <v>324.42399999999998</v>
      </c>
      <c r="E4" s="7">
        <v>323.00400000000002</v>
      </c>
      <c r="H4" s="7">
        <v>322.846</v>
      </c>
      <c r="I4" s="7">
        <v>323.37900000000002</v>
      </c>
      <c r="J4" s="7">
        <v>322.59399999999999</v>
      </c>
      <c r="K4" s="7">
        <v>324.59199999999998</v>
      </c>
      <c r="L4" s="7">
        <v>322.27</v>
      </c>
      <c r="M4" s="7">
        <v>322.06299999999999</v>
      </c>
      <c r="N4" s="7">
        <v>323.40199999999999</v>
      </c>
      <c r="O4" s="7">
        <v>322.83100000000002</v>
      </c>
      <c r="P4" s="7">
        <v>323.05200000000002</v>
      </c>
      <c r="R4" s="5">
        <f>AVERAGE(B4:P4)</f>
        <v>323.36069230769232</v>
      </c>
      <c r="S4" s="5">
        <f>STDEV(B4:P4)/SQRT(COUNT(B4:P4))</f>
        <v>0.25496612104294081</v>
      </c>
      <c r="U4" s="7" t="s">
        <v>1</v>
      </c>
      <c r="V4" s="7">
        <v>325.25900000000001</v>
      </c>
      <c r="X4" s="7">
        <v>321.90499999999997</v>
      </c>
      <c r="Y4" s="7">
        <v>322.858</v>
      </c>
      <c r="Z4" s="7">
        <v>321.80799999999999</v>
      </c>
      <c r="AA4" s="7">
        <v>321.85000000000002</v>
      </c>
      <c r="AB4" s="7">
        <v>324.31799999999998</v>
      </c>
      <c r="AC4" s="7">
        <v>323.928</v>
      </c>
      <c r="AD4" s="7">
        <v>322.65800000000002</v>
      </c>
      <c r="AE4" s="7">
        <v>323.74799999999999</v>
      </c>
      <c r="AF4" s="7">
        <v>321.70699999999999</v>
      </c>
      <c r="AG4" s="7">
        <v>324.327</v>
      </c>
      <c r="AH4" s="7">
        <v>324.06200000000001</v>
      </c>
      <c r="AI4" s="7">
        <v>321.85399999999998</v>
      </c>
      <c r="AJ4" s="7">
        <v>325.89600000000002</v>
      </c>
      <c r="AL4" s="6">
        <f>AVERAGE(AC4:AJ4)</f>
        <v>323.52250000000004</v>
      </c>
      <c r="AM4" s="6">
        <f>STDEV(AC4:AJ4)/SQRT(COUNT(AC4:AJ4))</f>
        <v>0.49306541148208938</v>
      </c>
    </row>
    <row r="5" spans="1:39" x14ac:dyDescent="0.2">
      <c r="A5" s="7" t="s">
        <v>2</v>
      </c>
      <c r="B5" s="7">
        <v>73.686999999999998</v>
      </c>
      <c r="C5" s="7">
        <v>73.608000000000004</v>
      </c>
      <c r="D5" s="7">
        <v>73.724999999999994</v>
      </c>
      <c r="E5" s="7">
        <v>72.867000000000004</v>
      </c>
      <c r="H5" s="7">
        <v>73.233000000000004</v>
      </c>
      <c r="I5" s="7">
        <v>73.361000000000004</v>
      </c>
      <c r="J5" s="7">
        <v>72.781999999999996</v>
      </c>
      <c r="K5" s="7">
        <v>73.69</v>
      </c>
      <c r="L5" s="7">
        <v>72.778999999999996</v>
      </c>
      <c r="M5" s="7">
        <v>73.802000000000007</v>
      </c>
      <c r="N5" s="7">
        <v>73.805000000000007</v>
      </c>
      <c r="O5" s="7">
        <v>72.581999999999994</v>
      </c>
      <c r="P5" s="7">
        <v>73.522000000000006</v>
      </c>
      <c r="R5" s="5">
        <f t="shared" ref="R5:R68" si="0">AVERAGE(B5:P5)</f>
        <v>73.341769230769231</v>
      </c>
      <c r="S5" s="5">
        <f t="shared" ref="S5:S68" si="1">STDEV(B5:P5)/SQRT(COUNT(B5:P5))</f>
        <v>0.12304830997527494</v>
      </c>
      <c r="U5" s="7" t="s">
        <v>2</v>
      </c>
      <c r="V5" s="7">
        <v>73.893000000000001</v>
      </c>
      <c r="X5" s="7">
        <v>72.884</v>
      </c>
      <c r="Y5" s="7">
        <v>73.596000000000004</v>
      </c>
      <c r="Z5" s="7">
        <v>73.05</v>
      </c>
      <c r="AA5" s="7">
        <v>73.555000000000007</v>
      </c>
      <c r="AB5" s="7">
        <v>73.742999999999995</v>
      </c>
      <c r="AC5" s="7">
        <v>72.936999999999998</v>
      </c>
      <c r="AD5" s="7">
        <v>73.308000000000007</v>
      </c>
      <c r="AE5" s="7">
        <v>73.135999999999996</v>
      </c>
      <c r="AF5" s="7">
        <v>73.352999999999994</v>
      </c>
      <c r="AG5" s="7">
        <v>73.442999999999998</v>
      </c>
      <c r="AH5" s="7">
        <v>72.984999999999999</v>
      </c>
      <c r="AI5" s="7">
        <v>72.537999999999997</v>
      </c>
      <c r="AJ5" s="7">
        <v>73.227999999999994</v>
      </c>
      <c r="AL5" s="6">
        <f t="shared" ref="AL5:AL68" si="2">AVERAGE(AC5:AJ5)</f>
        <v>73.116</v>
      </c>
      <c r="AM5" s="6">
        <f t="shared" ref="AM5:AM68" si="3">STDEV(AC5:AJ5)/SQRT(COUNT(AC5:AJ5))</f>
        <v>0.103180839860343</v>
      </c>
    </row>
    <row r="6" spans="1:39" x14ac:dyDescent="0.2">
      <c r="A6" s="7" t="s">
        <v>3</v>
      </c>
      <c r="B6" s="7">
        <v>34.732999999999997</v>
      </c>
      <c r="C6" s="7">
        <v>34.848999999999997</v>
      </c>
      <c r="D6" s="7">
        <v>34.225999999999999</v>
      </c>
      <c r="E6" s="7">
        <v>32.128999999999998</v>
      </c>
      <c r="H6" s="7">
        <v>33.136000000000003</v>
      </c>
      <c r="I6" s="7">
        <v>32.305999999999997</v>
      </c>
      <c r="J6" s="7">
        <v>32.651000000000003</v>
      </c>
      <c r="K6" s="7">
        <v>34.752000000000002</v>
      </c>
      <c r="L6" s="7">
        <v>32.177999999999997</v>
      </c>
      <c r="M6" s="7">
        <v>32.673000000000002</v>
      </c>
      <c r="N6" s="7">
        <v>32.101999999999997</v>
      </c>
      <c r="O6" s="7">
        <v>34.122</v>
      </c>
      <c r="P6" s="7">
        <v>33.070999999999998</v>
      </c>
      <c r="R6" s="5">
        <f t="shared" si="0"/>
        <v>33.302153846153843</v>
      </c>
      <c r="S6" s="5">
        <f t="shared" si="1"/>
        <v>0.30001416304503598</v>
      </c>
      <c r="U6" s="7" t="s">
        <v>3</v>
      </c>
      <c r="V6" s="7">
        <v>34.732999999999997</v>
      </c>
      <c r="X6" s="7">
        <v>32.287999999999997</v>
      </c>
      <c r="Y6" s="7">
        <v>32.57</v>
      </c>
      <c r="Z6" s="7">
        <v>32.750999999999998</v>
      </c>
      <c r="AA6" s="7">
        <v>31.116</v>
      </c>
      <c r="AB6" s="7">
        <v>33.694000000000003</v>
      </c>
      <c r="AC6" s="7">
        <v>34.786000000000001</v>
      </c>
      <c r="AD6" s="7">
        <v>34.484000000000002</v>
      </c>
      <c r="AE6" s="7">
        <v>33.554000000000002</v>
      </c>
      <c r="AF6" s="7">
        <v>33.064</v>
      </c>
      <c r="AG6" s="7">
        <v>35.499000000000002</v>
      </c>
      <c r="AH6" s="7">
        <v>33.732999999999997</v>
      </c>
      <c r="AI6" s="7">
        <v>32.993000000000002</v>
      </c>
      <c r="AJ6" s="7">
        <v>35.454000000000001</v>
      </c>
      <c r="AL6" s="6">
        <f t="shared" si="2"/>
        <v>34.195875000000001</v>
      </c>
      <c r="AM6" s="6">
        <f t="shared" si="3"/>
        <v>0.35523088254079827</v>
      </c>
    </row>
    <row r="7" spans="1:39" x14ac:dyDescent="0.2">
      <c r="A7" s="7">
        <v>-3.75</v>
      </c>
      <c r="B7" s="7">
        <v>639.66200000000003</v>
      </c>
      <c r="C7" s="7">
        <v>466.44600000000003</v>
      </c>
      <c r="D7" s="7">
        <v>483.48899999999998</v>
      </c>
      <c r="E7" s="7">
        <v>751.55399999999997</v>
      </c>
      <c r="H7" s="7">
        <v>723.37300000000005</v>
      </c>
      <c r="I7" s="7">
        <v>869.22299999999996</v>
      </c>
      <c r="J7" s="7">
        <v>826.75</v>
      </c>
      <c r="K7" s="7">
        <v>732.90700000000004</v>
      </c>
      <c r="L7" s="7">
        <v>885.01499999999999</v>
      </c>
      <c r="M7" s="7">
        <v>680.25400000000002</v>
      </c>
      <c r="N7" s="7">
        <v>1048.7819999999999</v>
      </c>
      <c r="O7" s="7">
        <v>642.08699999999999</v>
      </c>
      <c r="P7" s="7">
        <v>798.952</v>
      </c>
      <c r="R7" s="5">
        <f t="shared" si="0"/>
        <v>734.49953846153846</v>
      </c>
      <c r="S7" s="5">
        <f t="shared" si="1"/>
        <v>44.433473993701021</v>
      </c>
      <c r="U7" s="7">
        <v>-3.75</v>
      </c>
      <c r="V7" s="7">
        <v>879.09100000000001</v>
      </c>
      <c r="X7" s="7">
        <v>645.70799999999997</v>
      </c>
      <c r="Y7" s="7">
        <v>849.87800000000004</v>
      </c>
      <c r="Z7" s="7">
        <v>707.46500000000003</v>
      </c>
      <c r="AA7" s="7">
        <v>963.29200000000003</v>
      </c>
      <c r="AB7" s="7">
        <v>624.06700000000001</v>
      </c>
      <c r="AC7" s="7">
        <v>750.35900000000004</v>
      </c>
      <c r="AD7" s="7">
        <v>479.95800000000003</v>
      </c>
      <c r="AE7" s="7">
        <v>647.60799999999995</v>
      </c>
      <c r="AF7" s="7">
        <v>795.827</v>
      </c>
      <c r="AG7" s="7">
        <v>626.92999999999995</v>
      </c>
      <c r="AH7" s="7">
        <v>666.17899999999997</v>
      </c>
      <c r="AI7" s="7">
        <v>660.21799999999996</v>
      </c>
      <c r="AJ7" s="7">
        <v>466.77600000000001</v>
      </c>
      <c r="AL7" s="6">
        <f t="shared" si="2"/>
        <v>636.73187499999995</v>
      </c>
      <c r="AM7" s="6">
        <f t="shared" si="3"/>
        <v>40.821590871322385</v>
      </c>
    </row>
    <row r="8" spans="1:39" x14ac:dyDescent="0.2">
      <c r="A8" s="7">
        <v>-2.5</v>
      </c>
      <c r="B8" s="7">
        <v>828.89200000000005</v>
      </c>
      <c r="C8" s="7">
        <v>502.66800000000001</v>
      </c>
      <c r="D8" s="7">
        <v>530.48699999999997</v>
      </c>
      <c r="E8" s="7">
        <v>843.67399999999998</v>
      </c>
      <c r="H8" s="7">
        <v>810.62199999999996</v>
      </c>
      <c r="I8" s="7">
        <v>1036.4010000000001</v>
      </c>
      <c r="J8" s="7">
        <v>971.71500000000003</v>
      </c>
      <c r="K8" s="7">
        <v>831.26199999999994</v>
      </c>
      <c r="L8" s="7">
        <v>1025.6780000000001</v>
      </c>
      <c r="M8" s="7">
        <v>841.774</v>
      </c>
      <c r="N8" s="7">
        <v>1110.049</v>
      </c>
      <c r="O8" s="7">
        <v>724.779</v>
      </c>
      <c r="P8" s="7">
        <v>1034.194</v>
      </c>
      <c r="R8" s="5">
        <f t="shared" si="0"/>
        <v>853.24576923076904</v>
      </c>
      <c r="S8" s="5">
        <f t="shared" si="1"/>
        <v>52.054085364703525</v>
      </c>
      <c r="U8" s="7">
        <v>-2.5</v>
      </c>
      <c r="V8" s="7">
        <v>1043.7819999999999</v>
      </c>
      <c r="X8" s="7">
        <v>717.74599999999998</v>
      </c>
      <c r="Y8" s="7">
        <v>851.44399999999996</v>
      </c>
      <c r="Z8" s="7">
        <v>744.70600000000002</v>
      </c>
      <c r="AA8" s="7">
        <v>1073.2080000000001</v>
      </c>
      <c r="AB8" s="7">
        <v>753.07899999999995</v>
      </c>
      <c r="AC8" s="7">
        <v>874.76800000000003</v>
      </c>
      <c r="AD8" s="7">
        <v>533.298</v>
      </c>
      <c r="AE8" s="7">
        <v>709.77099999999996</v>
      </c>
      <c r="AF8" s="7">
        <v>926.74699999999996</v>
      </c>
      <c r="AG8" s="7">
        <v>799.55899999999997</v>
      </c>
      <c r="AH8" s="7">
        <v>751.94299999999998</v>
      </c>
      <c r="AI8" s="7">
        <v>696.17200000000003</v>
      </c>
      <c r="AJ8" s="7">
        <v>591.88800000000003</v>
      </c>
      <c r="AL8" s="6">
        <f t="shared" si="2"/>
        <v>735.51824999999997</v>
      </c>
      <c r="AM8" s="6">
        <f t="shared" si="3"/>
        <v>47.068271894492987</v>
      </c>
    </row>
    <row r="9" spans="1:39" x14ac:dyDescent="0.2">
      <c r="A9" s="7">
        <v>-1.25</v>
      </c>
      <c r="B9" s="7">
        <v>1341.683</v>
      </c>
      <c r="C9" s="7">
        <v>891.03700000000003</v>
      </c>
      <c r="D9" s="7">
        <v>889.25599999999997</v>
      </c>
      <c r="E9" s="7">
        <v>1235.404</v>
      </c>
      <c r="H9" s="7">
        <v>1210.48</v>
      </c>
      <c r="I9" s="7">
        <v>1564.9359999999999</v>
      </c>
      <c r="J9" s="7">
        <v>1438.614</v>
      </c>
      <c r="K9" s="7">
        <v>1338.703</v>
      </c>
      <c r="L9" s="7">
        <v>1516.9770000000001</v>
      </c>
      <c r="M9" s="7">
        <v>1395.981</v>
      </c>
      <c r="N9" s="7">
        <v>1515.6</v>
      </c>
      <c r="O9" s="7">
        <v>1147.1579999999999</v>
      </c>
      <c r="P9" s="7">
        <v>1692.087</v>
      </c>
      <c r="R9" s="5">
        <f t="shared" si="0"/>
        <v>1321.378153846154</v>
      </c>
      <c r="S9" s="5">
        <f t="shared" si="1"/>
        <v>67.686800152865246</v>
      </c>
      <c r="U9" s="7">
        <v>-1.25</v>
      </c>
      <c r="V9" s="7">
        <v>1526.384</v>
      </c>
      <c r="X9" s="7">
        <v>1031.309</v>
      </c>
      <c r="Y9" s="7">
        <v>1309.6880000000001</v>
      </c>
      <c r="Z9" s="7">
        <v>1121.701</v>
      </c>
      <c r="AA9" s="7">
        <v>1482.44</v>
      </c>
      <c r="AB9" s="7">
        <v>1105.4190000000001</v>
      </c>
      <c r="AC9" s="7">
        <v>1305.5160000000001</v>
      </c>
      <c r="AD9" s="7">
        <v>884.51</v>
      </c>
      <c r="AE9" s="7">
        <v>1135.605</v>
      </c>
      <c r="AF9" s="7">
        <v>1359.577</v>
      </c>
      <c r="AG9" s="7">
        <v>1279.6079999999999</v>
      </c>
      <c r="AH9" s="7">
        <v>1185.268</v>
      </c>
      <c r="AI9" s="7">
        <v>1001.954</v>
      </c>
      <c r="AJ9" s="7">
        <v>1123.509</v>
      </c>
      <c r="AL9" s="6">
        <f t="shared" si="2"/>
        <v>1159.4433749999998</v>
      </c>
      <c r="AM9" s="6">
        <f t="shared" si="3"/>
        <v>56.497145841923015</v>
      </c>
    </row>
    <row r="10" spans="1:39" x14ac:dyDescent="0.2">
      <c r="A10" s="7">
        <v>0</v>
      </c>
      <c r="B10" s="7">
        <v>2188.0030000000002</v>
      </c>
      <c r="C10" s="7">
        <v>1540.7739999999999</v>
      </c>
      <c r="D10" s="7">
        <v>1477.306</v>
      </c>
      <c r="E10" s="7">
        <v>1810.655</v>
      </c>
      <c r="H10" s="7">
        <v>1864.846</v>
      </c>
      <c r="I10" s="7">
        <v>2263.252</v>
      </c>
      <c r="J10" s="7">
        <v>2055.6889999999999</v>
      </c>
      <c r="K10" s="7">
        <v>1986.114</v>
      </c>
      <c r="L10" s="7">
        <v>2210.7379999999998</v>
      </c>
      <c r="M10" s="7">
        <v>2083.3339999999998</v>
      </c>
      <c r="N10" s="7">
        <v>2219.6410000000001</v>
      </c>
      <c r="O10" s="7">
        <v>1720.8240000000001</v>
      </c>
      <c r="P10" s="7">
        <v>2476.8249999999998</v>
      </c>
      <c r="R10" s="5">
        <f t="shared" si="0"/>
        <v>1992.1539230769231</v>
      </c>
      <c r="S10" s="5">
        <f t="shared" si="1"/>
        <v>82.051217407057933</v>
      </c>
      <c r="U10" s="7">
        <v>0</v>
      </c>
      <c r="V10" s="7">
        <v>2291.5259999999998</v>
      </c>
      <c r="X10" s="7">
        <v>1488.0909999999999</v>
      </c>
      <c r="Y10" s="7">
        <v>1987.751</v>
      </c>
      <c r="Z10" s="7">
        <v>1795.165</v>
      </c>
      <c r="AA10" s="7">
        <v>2072.951</v>
      </c>
      <c r="AB10" s="7">
        <v>1613.557</v>
      </c>
      <c r="AC10" s="7">
        <v>1897.789</v>
      </c>
      <c r="AD10" s="7">
        <v>1380.712</v>
      </c>
      <c r="AE10" s="7">
        <v>1720.1590000000001</v>
      </c>
      <c r="AF10" s="7">
        <v>1951.742</v>
      </c>
      <c r="AG10" s="7">
        <v>1963.0219999999999</v>
      </c>
      <c r="AH10" s="7">
        <v>1802.895</v>
      </c>
      <c r="AI10" s="7">
        <v>1739.019</v>
      </c>
      <c r="AJ10" s="7">
        <v>1796.942</v>
      </c>
      <c r="AL10" s="6">
        <f t="shared" si="2"/>
        <v>1781.5349999999999</v>
      </c>
      <c r="AM10" s="6">
        <f t="shared" si="3"/>
        <v>65.78513085688239</v>
      </c>
    </row>
    <row r="11" spans="1:39" x14ac:dyDescent="0.2">
      <c r="A11" s="7">
        <v>1.25</v>
      </c>
      <c r="B11" s="7">
        <v>3095.3270000000002</v>
      </c>
      <c r="C11" s="7">
        <v>2123.7600000000002</v>
      </c>
      <c r="D11" s="7">
        <v>2048.241</v>
      </c>
      <c r="E11" s="7">
        <v>2349.1619999999998</v>
      </c>
      <c r="H11" s="7">
        <v>2491.2739999999999</v>
      </c>
      <c r="I11" s="7">
        <v>2953.0909999999999</v>
      </c>
      <c r="J11" s="7">
        <v>2633.3069999999998</v>
      </c>
      <c r="K11" s="7">
        <v>2575.355</v>
      </c>
      <c r="L11" s="7">
        <v>2903.7710000000002</v>
      </c>
      <c r="M11" s="7">
        <v>2792.857</v>
      </c>
      <c r="N11" s="7">
        <v>2915.1990000000001</v>
      </c>
      <c r="O11" s="7">
        <v>2238.9389999999999</v>
      </c>
      <c r="P11" s="7">
        <v>3211.4180000000001</v>
      </c>
      <c r="R11" s="5">
        <f t="shared" si="0"/>
        <v>2640.900076923077</v>
      </c>
      <c r="S11" s="5">
        <f t="shared" si="1"/>
        <v>104.05231233710396</v>
      </c>
      <c r="U11" s="7">
        <v>1.25</v>
      </c>
      <c r="V11" s="7">
        <v>3128.2339999999999</v>
      </c>
      <c r="X11" s="7">
        <v>1948.1379999999999</v>
      </c>
      <c r="Y11" s="7">
        <v>2596.8339999999998</v>
      </c>
      <c r="Z11" s="7">
        <v>2416.5810000000001</v>
      </c>
      <c r="AA11" s="7">
        <v>2681.9569999999999</v>
      </c>
      <c r="AB11" s="7">
        <v>2081.04</v>
      </c>
      <c r="AC11" s="7">
        <v>2458.6990000000001</v>
      </c>
      <c r="AD11" s="7">
        <v>1844.691</v>
      </c>
      <c r="AE11" s="7">
        <v>2268.2910000000002</v>
      </c>
      <c r="AF11" s="7">
        <v>2557.9760000000001</v>
      </c>
      <c r="AG11" s="7">
        <v>2688.3220000000001</v>
      </c>
      <c r="AH11" s="7">
        <v>2388.29</v>
      </c>
      <c r="AI11" s="7">
        <v>2308.5529999999999</v>
      </c>
      <c r="AJ11" s="7">
        <v>2542.6089999999999</v>
      </c>
      <c r="AL11" s="6">
        <f t="shared" si="2"/>
        <v>2382.1788750000001</v>
      </c>
      <c r="AM11" s="6">
        <f t="shared" si="3"/>
        <v>90.981078865223523</v>
      </c>
    </row>
    <row r="12" spans="1:39" x14ac:dyDescent="0.2">
      <c r="A12" s="7">
        <v>2.5</v>
      </c>
      <c r="B12" s="7">
        <v>3535.3879999999999</v>
      </c>
      <c r="C12" s="7">
        <v>2406.317</v>
      </c>
      <c r="D12" s="7">
        <v>2332.2629999999999</v>
      </c>
      <c r="E12" s="7">
        <v>2691.6619999999998</v>
      </c>
      <c r="H12" s="7">
        <v>2897.1819999999998</v>
      </c>
      <c r="I12" s="7">
        <v>3418.8629999999998</v>
      </c>
      <c r="J12" s="7">
        <v>3036.2739999999999</v>
      </c>
      <c r="K12" s="7">
        <v>2891.0740000000001</v>
      </c>
      <c r="L12" s="7">
        <v>3371.5839999999998</v>
      </c>
      <c r="M12" s="7">
        <v>3257.08</v>
      </c>
      <c r="N12" s="7">
        <v>3092.7179999999998</v>
      </c>
      <c r="O12" s="7">
        <v>2625.4059999999999</v>
      </c>
      <c r="P12" s="7">
        <v>3775.4079999999999</v>
      </c>
      <c r="R12" s="5">
        <f t="shared" si="0"/>
        <v>3025.4783846153855</v>
      </c>
      <c r="S12" s="5">
        <f t="shared" si="1"/>
        <v>122.08509007479347</v>
      </c>
      <c r="U12" s="7">
        <v>2.5</v>
      </c>
      <c r="V12" s="7">
        <v>3393.3290000000002</v>
      </c>
      <c r="X12" s="7">
        <v>2283.5129999999999</v>
      </c>
      <c r="Y12" s="7">
        <v>3035.498</v>
      </c>
      <c r="Z12" s="7">
        <v>2849.5230000000001</v>
      </c>
      <c r="AA12" s="7">
        <v>3119.8980000000001</v>
      </c>
      <c r="AB12" s="7">
        <v>2365.0990000000002</v>
      </c>
      <c r="AC12" s="7">
        <v>2867.3220000000001</v>
      </c>
      <c r="AD12" s="7">
        <v>2155.2559999999999</v>
      </c>
      <c r="AE12" s="7">
        <v>2637.0529999999999</v>
      </c>
      <c r="AF12" s="7">
        <v>2990.8150000000001</v>
      </c>
      <c r="AG12" s="7">
        <v>3072.9949999999999</v>
      </c>
      <c r="AH12" s="7">
        <v>2809.8130000000001</v>
      </c>
      <c r="AI12" s="7">
        <v>2723.462</v>
      </c>
      <c r="AJ12" s="7">
        <v>2802.9250000000002</v>
      </c>
      <c r="AL12" s="6">
        <f t="shared" si="2"/>
        <v>2757.455125</v>
      </c>
      <c r="AM12" s="6">
        <f t="shared" si="3"/>
        <v>99.030823232581341</v>
      </c>
    </row>
    <row r="13" spans="1:39" x14ac:dyDescent="0.2">
      <c r="A13" s="7">
        <v>3.75</v>
      </c>
      <c r="B13" s="7">
        <v>3344.88</v>
      </c>
      <c r="C13" s="7">
        <v>2457.2629999999999</v>
      </c>
      <c r="D13" s="7">
        <v>2388.9349999999999</v>
      </c>
      <c r="E13" s="7">
        <v>2837.768</v>
      </c>
      <c r="H13" s="7">
        <v>3067.29</v>
      </c>
      <c r="I13" s="7">
        <v>3621.3989999999999</v>
      </c>
      <c r="J13" s="7">
        <v>3259.9270000000001</v>
      </c>
      <c r="K13" s="7">
        <v>2952.2150000000001</v>
      </c>
      <c r="L13" s="7">
        <v>3583.348</v>
      </c>
      <c r="M13" s="7">
        <v>3489.982</v>
      </c>
      <c r="N13" s="7">
        <v>3082.3829999999998</v>
      </c>
      <c r="O13" s="7">
        <v>2798.5920000000001</v>
      </c>
      <c r="P13" s="7">
        <v>4043.076</v>
      </c>
      <c r="R13" s="5">
        <f t="shared" si="0"/>
        <v>3148.2352307692304</v>
      </c>
      <c r="S13" s="5">
        <f t="shared" si="1"/>
        <v>131.65160120303344</v>
      </c>
      <c r="U13" s="7">
        <v>3.75</v>
      </c>
      <c r="V13" s="7">
        <v>3451.598</v>
      </c>
      <c r="X13" s="7">
        <v>2450.1480000000001</v>
      </c>
      <c r="Y13" s="7">
        <v>3262.9839999999999</v>
      </c>
      <c r="Z13" s="7">
        <v>3079.6750000000002</v>
      </c>
      <c r="AA13" s="7">
        <v>3339.9029999999998</v>
      </c>
      <c r="AB13" s="7">
        <v>2527.2310000000002</v>
      </c>
      <c r="AC13" s="7">
        <v>3012.84</v>
      </c>
      <c r="AD13" s="7">
        <v>2352.3429999999998</v>
      </c>
      <c r="AE13" s="7">
        <v>2839.0279999999998</v>
      </c>
      <c r="AF13" s="7">
        <v>3177.1930000000002</v>
      </c>
      <c r="AG13" s="7">
        <v>3237.1280000000002</v>
      </c>
      <c r="AH13" s="7">
        <v>3017.9609999999998</v>
      </c>
      <c r="AI13" s="7">
        <v>2924.1129999999998</v>
      </c>
      <c r="AJ13" s="7">
        <v>2677.623</v>
      </c>
      <c r="AL13" s="6">
        <f t="shared" si="2"/>
        <v>2904.7786249999999</v>
      </c>
      <c r="AM13" s="6">
        <f t="shared" si="3"/>
        <v>100.94508496754518</v>
      </c>
    </row>
    <row r="14" spans="1:39" x14ac:dyDescent="0.2">
      <c r="A14" s="7">
        <v>5</v>
      </c>
      <c r="B14" s="7">
        <v>3257.5079999999998</v>
      </c>
      <c r="C14" s="7">
        <v>2470.8589999999999</v>
      </c>
      <c r="D14" s="7">
        <v>2436.8380000000002</v>
      </c>
      <c r="E14" s="7">
        <v>2899.72</v>
      </c>
      <c r="H14" s="7">
        <v>3121.3240000000001</v>
      </c>
      <c r="I14" s="7">
        <v>3737.7579999999998</v>
      </c>
      <c r="J14" s="7">
        <v>3317.63</v>
      </c>
      <c r="K14" s="7">
        <v>2997.82</v>
      </c>
      <c r="L14" s="7">
        <v>3656.0250000000001</v>
      </c>
      <c r="M14" s="7">
        <v>3585.768</v>
      </c>
      <c r="N14" s="7">
        <v>3140.8040000000001</v>
      </c>
      <c r="O14" s="7">
        <v>2873.625</v>
      </c>
      <c r="P14" s="7">
        <v>4168.1189999999997</v>
      </c>
      <c r="R14" s="5">
        <f t="shared" si="0"/>
        <v>3204.9075384615385</v>
      </c>
      <c r="S14" s="5">
        <f t="shared" si="1"/>
        <v>137.77925251176256</v>
      </c>
      <c r="U14" s="7">
        <v>5</v>
      </c>
      <c r="V14" s="7">
        <v>3489.174</v>
      </c>
      <c r="X14" s="7">
        <v>2473.7429999999999</v>
      </c>
      <c r="Y14" s="7">
        <v>3347.1680000000001</v>
      </c>
      <c r="Z14" s="7">
        <v>3183.393</v>
      </c>
      <c r="AA14" s="7">
        <v>3421.3919999999998</v>
      </c>
      <c r="AB14" s="7">
        <v>2608.5949999999998</v>
      </c>
      <c r="AC14" s="7">
        <v>3077.1619999999998</v>
      </c>
      <c r="AD14" s="7">
        <v>2425.0970000000002</v>
      </c>
      <c r="AE14" s="7">
        <v>2907.556</v>
      </c>
      <c r="AF14" s="7">
        <v>3233.6880000000001</v>
      </c>
      <c r="AG14" s="7">
        <v>3331.6060000000002</v>
      </c>
      <c r="AH14" s="7">
        <v>3079.4679999999998</v>
      </c>
      <c r="AI14" s="7">
        <v>3001.0859999999998</v>
      </c>
      <c r="AJ14" s="7">
        <v>2654.8649999999998</v>
      </c>
      <c r="AL14" s="6">
        <f t="shared" si="2"/>
        <v>2963.8159999999998</v>
      </c>
      <c r="AM14" s="6">
        <f t="shared" si="3"/>
        <v>105.60592204427471</v>
      </c>
    </row>
    <row r="15" spans="1:39" x14ac:dyDescent="0.2">
      <c r="A15" s="7">
        <v>6.25</v>
      </c>
      <c r="B15" s="7">
        <v>3283.5250000000001</v>
      </c>
      <c r="C15" s="7">
        <v>2494.0169999999998</v>
      </c>
      <c r="D15" s="7">
        <v>2447.712</v>
      </c>
      <c r="E15" s="7">
        <v>2872.2510000000002</v>
      </c>
      <c r="H15" s="7">
        <v>3114.4929999999999</v>
      </c>
      <c r="I15" s="7">
        <v>3733.61</v>
      </c>
      <c r="J15" s="7">
        <v>3269.268</v>
      </c>
      <c r="K15" s="7">
        <v>2991.297</v>
      </c>
      <c r="L15" s="7">
        <v>3701.3240000000001</v>
      </c>
      <c r="M15" s="7">
        <v>3598.9870000000001</v>
      </c>
      <c r="N15" s="7">
        <v>3112.8090000000002</v>
      </c>
      <c r="O15" s="7">
        <v>2873.3879999999999</v>
      </c>
      <c r="P15" s="7">
        <v>4165.2790000000005</v>
      </c>
      <c r="R15" s="5">
        <f t="shared" si="0"/>
        <v>3204.4584615384615</v>
      </c>
      <c r="S15" s="5">
        <f t="shared" si="1"/>
        <v>138.1064789095818</v>
      </c>
      <c r="U15" s="7">
        <v>6.25</v>
      </c>
      <c r="V15" s="7">
        <v>3538.5239999999999</v>
      </c>
      <c r="X15" s="7">
        <v>2452.9740000000002</v>
      </c>
      <c r="Y15" s="7">
        <v>3325.145</v>
      </c>
      <c r="Z15" s="7">
        <v>3197.739</v>
      </c>
      <c r="AA15" s="7">
        <v>3440.6729999999998</v>
      </c>
      <c r="AB15" s="7">
        <v>2641.7289999999998</v>
      </c>
      <c r="AC15" s="7">
        <v>3091.087</v>
      </c>
      <c r="AD15" s="7">
        <v>2455.777</v>
      </c>
      <c r="AE15" s="7">
        <v>2907.8580000000002</v>
      </c>
      <c r="AF15" s="7">
        <v>3273.0889999999999</v>
      </c>
      <c r="AG15" s="7">
        <v>3352.1790000000001</v>
      </c>
      <c r="AH15" s="7">
        <v>3114.1320000000001</v>
      </c>
      <c r="AI15" s="7">
        <v>3026.4430000000002</v>
      </c>
      <c r="AJ15" s="7">
        <v>2680.8780000000002</v>
      </c>
      <c r="AL15" s="6">
        <f t="shared" si="2"/>
        <v>2987.6803749999999</v>
      </c>
      <c r="AM15" s="6">
        <f t="shared" si="3"/>
        <v>105.72228822146955</v>
      </c>
    </row>
    <row r="16" spans="1:39" x14ac:dyDescent="0.2">
      <c r="A16" s="7">
        <v>7.5</v>
      </c>
      <c r="B16" s="7">
        <v>3251.8009999999999</v>
      </c>
      <c r="C16" s="7">
        <v>2429.3009999999999</v>
      </c>
      <c r="D16" s="7">
        <v>2358.7660000000001</v>
      </c>
      <c r="E16" s="7">
        <v>2780.74</v>
      </c>
      <c r="H16" s="7">
        <v>3057.9580000000001</v>
      </c>
      <c r="I16" s="7">
        <v>3635.9119999999998</v>
      </c>
      <c r="J16" s="7">
        <v>3225.7809999999999</v>
      </c>
      <c r="K16" s="7">
        <v>2916.8510000000001</v>
      </c>
      <c r="L16" s="7">
        <v>3657.0810000000001</v>
      </c>
      <c r="M16" s="7">
        <v>3519.7849999999999</v>
      </c>
      <c r="N16" s="7">
        <v>3026.6089999999999</v>
      </c>
      <c r="O16" s="7">
        <v>2817.384</v>
      </c>
      <c r="P16" s="7">
        <v>4058.8490000000002</v>
      </c>
      <c r="R16" s="5">
        <f t="shared" si="0"/>
        <v>3133.6013846153846</v>
      </c>
      <c r="S16" s="5">
        <f t="shared" si="1"/>
        <v>137.26026990971033</v>
      </c>
      <c r="U16" s="7">
        <v>7.5</v>
      </c>
      <c r="V16" s="7">
        <v>3457.4360000000001</v>
      </c>
      <c r="X16" s="7">
        <v>2407.7199999999998</v>
      </c>
      <c r="Y16" s="7">
        <v>3220.4960000000001</v>
      </c>
      <c r="Z16" s="7">
        <v>3115.0030000000002</v>
      </c>
      <c r="AA16" s="7">
        <v>3355.029</v>
      </c>
      <c r="AB16" s="7">
        <v>2584.9009999999998</v>
      </c>
      <c r="AC16" s="7">
        <v>3028.5479999999998</v>
      </c>
      <c r="AD16" s="7">
        <v>2418.1309999999999</v>
      </c>
      <c r="AE16" s="7">
        <v>2869.2130000000002</v>
      </c>
      <c r="AF16" s="7">
        <v>3209.502</v>
      </c>
      <c r="AG16" s="7">
        <v>3323.692</v>
      </c>
      <c r="AH16" s="7">
        <v>3070.875</v>
      </c>
      <c r="AI16" s="7">
        <v>2991.5430000000001</v>
      </c>
      <c r="AJ16" s="7">
        <v>2644.2220000000002</v>
      </c>
      <c r="AL16" s="6">
        <f t="shared" si="2"/>
        <v>2944.4657500000003</v>
      </c>
      <c r="AM16" s="6">
        <f t="shared" si="3"/>
        <v>104.55344737736326</v>
      </c>
    </row>
    <row r="17" spans="1:39" x14ac:dyDescent="0.2">
      <c r="A17" s="7">
        <v>8.75</v>
      </c>
      <c r="B17" s="7">
        <v>3078.6</v>
      </c>
      <c r="C17" s="7">
        <v>2254.797</v>
      </c>
      <c r="D17" s="7">
        <v>2181.895</v>
      </c>
      <c r="E17" s="7">
        <v>2595.049</v>
      </c>
      <c r="H17" s="7">
        <v>2860.2020000000002</v>
      </c>
      <c r="I17" s="7">
        <v>3378.3890000000001</v>
      </c>
      <c r="J17" s="7">
        <v>2993.2040000000002</v>
      </c>
      <c r="K17" s="7">
        <v>2729.761</v>
      </c>
      <c r="L17" s="7">
        <v>3407.29</v>
      </c>
      <c r="M17" s="7">
        <v>3257.3429999999998</v>
      </c>
      <c r="N17" s="7">
        <v>2867.0360000000001</v>
      </c>
      <c r="O17" s="7">
        <v>2616.7130000000002</v>
      </c>
      <c r="P17" s="7">
        <v>3740.174</v>
      </c>
      <c r="R17" s="5">
        <f t="shared" si="0"/>
        <v>2920.034846153846</v>
      </c>
      <c r="S17" s="5">
        <f t="shared" si="1"/>
        <v>126.39002824493122</v>
      </c>
      <c r="U17" s="7">
        <v>8.75</v>
      </c>
      <c r="V17" s="7">
        <v>3235.0859999999998</v>
      </c>
      <c r="X17" s="7">
        <v>2256.1570000000002</v>
      </c>
      <c r="Y17" s="7">
        <v>2990.2130000000002</v>
      </c>
      <c r="Z17" s="7">
        <v>2894.93</v>
      </c>
      <c r="AA17" s="7">
        <v>3118.7510000000002</v>
      </c>
      <c r="AB17" s="7">
        <v>2411.5059999999999</v>
      </c>
      <c r="AC17" s="7">
        <v>2852.5619999999999</v>
      </c>
      <c r="AD17" s="7">
        <v>2262.143</v>
      </c>
      <c r="AE17" s="7">
        <v>2678.8820000000001</v>
      </c>
      <c r="AF17" s="7">
        <v>3011.6550000000002</v>
      </c>
      <c r="AG17" s="7">
        <v>3080.1930000000002</v>
      </c>
      <c r="AH17" s="7">
        <v>2855.652</v>
      </c>
      <c r="AI17" s="7">
        <v>2802.4290000000001</v>
      </c>
      <c r="AJ17" s="7">
        <v>2524.5120000000002</v>
      </c>
      <c r="AL17" s="6">
        <f t="shared" si="2"/>
        <v>2758.5034999999998</v>
      </c>
      <c r="AM17" s="6">
        <f t="shared" si="3"/>
        <v>94.041162120067725</v>
      </c>
    </row>
    <row r="18" spans="1:39" x14ac:dyDescent="0.2">
      <c r="A18" s="7">
        <v>10</v>
      </c>
      <c r="B18" s="7">
        <v>2669.5619999999999</v>
      </c>
      <c r="C18" s="7">
        <v>1946.787</v>
      </c>
      <c r="D18" s="7">
        <v>1877.8320000000001</v>
      </c>
      <c r="E18" s="7">
        <v>2235.779</v>
      </c>
      <c r="H18" s="7">
        <v>2478.35</v>
      </c>
      <c r="I18" s="7">
        <v>2961.3609999999999</v>
      </c>
      <c r="J18" s="7">
        <v>2566.6089999999999</v>
      </c>
      <c r="K18" s="7">
        <v>2386.4050000000002</v>
      </c>
      <c r="L18" s="7">
        <v>2957.6819999999998</v>
      </c>
      <c r="M18" s="7">
        <v>2799.0479999999998</v>
      </c>
      <c r="N18" s="7">
        <v>2456.5839999999998</v>
      </c>
      <c r="O18" s="7">
        <v>2250.73</v>
      </c>
      <c r="P18" s="7">
        <v>3175.8029999999999</v>
      </c>
      <c r="R18" s="5">
        <f t="shared" si="0"/>
        <v>2520.194769230769</v>
      </c>
      <c r="S18" s="5">
        <f t="shared" si="1"/>
        <v>108.50664203474361</v>
      </c>
      <c r="U18" s="7">
        <v>10</v>
      </c>
      <c r="V18" s="7">
        <v>2800.29</v>
      </c>
      <c r="X18" s="7">
        <v>1949.9970000000001</v>
      </c>
      <c r="Y18" s="7">
        <v>2641.5189999999998</v>
      </c>
      <c r="Z18" s="7">
        <v>2527.7800000000002</v>
      </c>
      <c r="AA18" s="7">
        <v>2695.9479999999999</v>
      </c>
      <c r="AB18" s="7">
        <v>2045.8119999999999</v>
      </c>
      <c r="AC18" s="7">
        <v>2415.1439999999998</v>
      </c>
      <c r="AD18" s="7">
        <v>1931.5619999999999</v>
      </c>
      <c r="AE18" s="7">
        <v>2335.0010000000002</v>
      </c>
      <c r="AF18" s="7">
        <v>2600.384</v>
      </c>
      <c r="AG18" s="7">
        <v>2647.0889999999999</v>
      </c>
      <c r="AH18" s="7">
        <v>2488.8939999999998</v>
      </c>
      <c r="AI18" s="7">
        <v>2438.2570000000001</v>
      </c>
      <c r="AJ18" s="7">
        <v>2194.6350000000002</v>
      </c>
      <c r="AL18" s="6">
        <f t="shared" si="2"/>
        <v>2381.37075</v>
      </c>
      <c r="AM18" s="6">
        <f t="shared" si="3"/>
        <v>81.707145257522782</v>
      </c>
    </row>
    <row r="19" spans="1:39" x14ac:dyDescent="0.2">
      <c r="A19" s="7">
        <v>11.25</v>
      </c>
      <c r="B19" s="7">
        <v>2279.8580000000002</v>
      </c>
      <c r="C19" s="7">
        <v>1699.1790000000001</v>
      </c>
      <c r="D19" s="7">
        <v>1628.7819999999999</v>
      </c>
      <c r="E19" s="7">
        <v>1979.4849999999999</v>
      </c>
      <c r="H19" s="7">
        <v>2197.5079999999998</v>
      </c>
      <c r="I19" s="7">
        <v>2627.886</v>
      </c>
      <c r="J19" s="7">
        <v>2265.8270000000002</v>
      </c>
      <c r="K19" s="7">
        <v>2063.66</v>
      </c>
      <c r="L19" s="7">
        <v>2599.6219999999998</v>
      </c>
      <c r="M19" s="7">
        <v>2418.913</v>
      </c>
      <c r="N19" s="7">
        <v>2153.174</v>
      </c>
      <c r="O19" s="7">
        <v>1967.66</v>
      </c>
      <c r="P19" s="7">
        <v>2793.0909999999999</v>
      </c>
      <c r="R19" s="5">
        <f t="shared" si="0"/>
        <v>2205.7419230769233</v>
      </c>
      <c r="S19" s="5">
        <f t="shared" si="1"/>
        <v>96.518026558112851</v>
      </c>
      <c r="U19" s="7">
        <v>11.25</v>
      </c>
      <c r="V19" s="7">
        <v>2440.8490000000002</v>
      </c>
      <c r="X19" s="7">
        <v>1714.934</v>
      </c>
      <c r="Y19" s="7">
        <v>2322.1819999999998</v>
      </c>
      <c r="Z19" s="7">
        <v>2219.866</v>
      </c>
      <c r="AA19" s="7">
        <v>2380.4140000000002</v>
      </c>
      <c r="AB19" s="7">
        <v>1777.1849999999999</v>
      </c>
      <c r="AC19" s="7">
        <v>2116.5520000000001</v>
      </c>
      <c r="AD19" s="7">
        <v>1686.5219999999999</v>
      </c>
      <c r="AE19" s="7">
        <v>2064.2339999999999</v>
      </c>
      <c r="AF19" s="7">
        <v>2287.9560000000001</v>
      </c>
      <c r="AG19" s="7">
        <v>2342.239</v>
      </c>
      <c r="AH19" s="7">
        <v>2198.4259999999999</v>
      </c>
      <c r="AI19" s="7">
        <v>2154.3240000000001</v>
      </c>
      <c r="AJ19" s="7">
        <v>1900.8140000000001</v>
      </c>
      <c r="AL19" s="6">
        <f t="shared" si="2"/>
        <v>2093.8833749999999</v>
      </c>
      <c r="AM19" s="6">
        <f t="shared" si="3"/>
        <v>75.420127480983282</v>
      </c>
    </row>
    <row r="20" spans="1:39" x14ac:dyDescent="0.2">
      <c r="A20" s="7">
        <v>12.5</v>
      </c>
      <c r="B20" s="7">
        <v>2073.2959999999998</v>
      </c>
      <c r="C20" s="7">
        <v>1585.6020000000001</v>
      </c>
      <c r="D20" s="7">
        <v>1515.1289999999999</v>
      </c>
      <c r="E20" s="7">
        <v>1865.2139999999999</v>
      </c>
      <c r="H20" s="7">
        <v>2079.7890000000002</v>
      </c>
      <c r="I20" s="7">
        <v>2487.6239999999998</v>
      </c>
      <c r="J20" s="7">
        <v>2123.203</v>
      </c>
      <c r="K20" s="7">
        <v>1903.1420000000001</v>
      </c>
      <c r="L20" s="7">
        <v>2469.0419999999999</v>
      </c>
      <c r="M20" s="7">
        <v>2275.4630000000002</v>
      </c>
      <c r="N20" s="7">
        <v>2020.9760000000001</v>
      </c>
      <c r="O20" s="7">
        <v>1856.278</v>
      </c>
      <c r="P20" s="7">
        <v>2621.64</v>
      </c>
      <c r="R20" s="5">
        <f t="shared" si="0"/>
        <v>2067.4152307692307</v>
      </c>
      <c r="S20" s="5">
        <f t="shared" si="1"/>
        <v>92.79834229510783</v>
      </c>
      <c r="U20" s="7">
        <v>12.5</v>
      </c>
      <c r="V20" s="7">
        <v>2284.509</v>
      </c>
      <c r="X20" s="7">
        <v>1601.731</v>
      </c>
      <c r="Y20" s="7">
        <v>2179.5189999999998</v>
      </c>
      <c r="Z20" s="7">
        <v>2072.4499999999998</v>
      </c>
      <c r="AA20" s="7">
        <v>2247.0650000000001</v>
      </c>
      <c r="AB20" s="7">
        <v>1672.143</v>
      </c>
      <c r="AC20" s="7">
        <v>1997.2460000000001</v>
      </c>
      <c r="AD20" s="7">
        <v>1576.6890000000001</v>
      </c>
      <c r="AE20" s="7">
        <v>1958.9110000000001</v>
      </c>
      <c r="AF20" s="7">
        <v>2162.3339999999998</v>
      </c>
      <c r="AG20" s="7">
        <v>2193.335</v>
      </c>
      <c r="AH20" s="7">
        <v>2061.5300000000002</v>
      </c>
      <c r="AI20" s="7">
        <v>2031.443</v>
      </c>
      <c r="AJ20" s="7">
        <v>1743.2850000000001</v>
      </c>
      <c r="AL20" s="6">
        <f t="shared" si="2"/>
        <v>1965.5966249999999</v>
      </c>
      <c r="AM20" s="6">
        <f t="shared" si="3"/>
        <v>73.89994437725953</v>
      </c>
    </row>
    <row r="21" spans="1:39" x14ac:dyDescent="0.2">
      <c r="A21" s="7">
        <v>13.75</v>
      </c>
      <c r="B21" s="7">
        <v>2021.3579999999999</v>
      </c>
      <c r="C21" s="7">
        <v>1552.0719999999999</v>
      </c>
      <c r="D21" s="7">
        <v>1490.3240000000001</v>
      </c>
      <c r="E21" s="7">
        <v>1836.91</v>
      </c>
      <c r="H21" s="7">
        <v>2049.29</v>
      </c>
      <c r="I21" s="7">
        <v>2443.3380000000002</v>
      </c>
      <c r="J21" s="7">
        <v>2088.1570000000002</v>
      </c>
      <c r="K21" s="7">
        <v>1873.05</v>
      </c>
      <c r="L21" s="7">
        <v>2443.578</v>
      </c>
      <c r="M21" s="7">
        <v>2250.393</v>
      </c>
      <c r="N21" s="7">
        <v>1987.193</v>
      </c>
      <c r="O21" s="7">
        <v>1842.7619999999999</v>
      </c>
      <c r="P21" s="7">
        <v>2577.3040000000001</v>
      </c>
      <c r="R21" s="5">
        <f t="shared" si="0"/>
        <v>2035.0560769230769</v>
      </c>
      <c r="S21" s="5">
        <f t="shared" si="1"/>
        <v>91.70673079759689</v>
      </c>
      <c r="U21" s="7">
        <v>13.75</v>
      </c>
      <c r="V21" s="7">
        <v>2235.7530000000002</v>
      </c>
      <c r="X21" s="7">
        <v>1581.1479999999999</v>
      </c>
      <c r="Y21" s="7">
        <v>2134.5430000000001</v>
      </c>
      <c r="Z21" s="7">
        <v>2037.9280000000001</v>
      </c>
      <c r="AA21" s="7">
        <v>2219.9780000000001</v>
      </c>
      <c r="AB21" s="7">
        <v>1648.981</v>
      </c>
      <c r="AC21" s="7">
        <v>1964.914</v>
      </c>
      <c r="AD21" s="7">
        <v>1557.136</v>
      </c>
      <c r="AE21" s="7">
        <v>1919.1869999999999</v>
      </c>
      <c r="AF21" s="7">
        <v>2134.5059999999999</v>
      </c>
      <c r="AG21" s="7">
        <v>2159.9479999999999</v>
      </c>
      <c r="AH21" s="7">
        <v>2033.942</v>
      </c>
      <c r="AI21" s="7">
        <v>2011.8520000000001</v>
      </c>
      <c r="AJ21" s="7">
        <v>1695.4960000000001</v>
      </c>
      <c r="AL21" s="6">
        <f t="shared" si="2"/>
        <v>1934.6226250000004</v>
      </c>
      <c r="AM21" s="6">
        <f t="shared" si="3"/>
        <v>74.088162201463703</v>
      </c>
    </row>
    <row r="22" spans="1:39" x14ac:dyDescent="0.2">
      <c r="A22" s="7">
        <v>15</v>
      </c>
      <c r="B22" s="7">
        <v>2015.248</v>
      </c>
      <c r="C22" s="7">
        <v>1547.5830000000001</v>
      </c>
      <c r="D22" s="7">
        <v>1495.7909999999999</v>
      </c>
      <c r="E22" s="7">
        <v>1838.6279999999999</v>
      </c>
      <c r="H22" s="7">
        <v>2053.6370000000002</v>
      </c>
      <c r="I22" s="7">
        <v>2444.7350000000001</v>
      </c>
      <c r="J22" s="7">
        <v>2106.6089999999999</v>
      </c>
      <c r="K22" s="7">
        <v>1884.82</v>
      </c>
      <c r="L22" s="7">
        <v>2433.7950000000001</v>
      </c>
      <c r="M22" s="7">
        <v>2270.7170000000001</v>
      </c>
      <c r="N22" s="7">
        <v>1993.8779999999999</v>
      </c>
      <c r="O22" s="7">
        <v>1871.1659999999999</v>
      </c>
      <c r="P22" s="7">
        <v>2587.5970000000002</v>
      </c>
      <c r="R22" s="5">
        <f t="shared" si="0"/>
        <v>2041.8618461538465</v>
      </c>
      <c r="S22" s="5">
        <f t="shared" si="1"/>
        <v>91.67492965922338</v>
      </c>
      <c r="U22" s="7">
        <v>15</v>
      </c>
      <c r="V22" s="7">
        <v>2236.2289999999998</v>
      </c>
      <c r="X22" s="7">
        <v>1580.364</v>
      </c>
      <c r="Y22" s="7">
        <v>2124.3510000000001</v>
      </c>
      <c r="Z22" s="7">
        <v>2038.4849999999999</v>
      </c>
      <c r="AA22" s="7">
        <v>2207.1819999999998</v>
      </c>
      <c r="AB22" s="7">
        <v>1645.7539999999999</v>
      </c>
      <c r="AC22" s="7">
        <v>1958.095</v>
      </c>
      <c r="AD22" s="7">
        <v>1569.915</v>
      </c>
      <c r="AE22" s="7">
        <v>1911.4280000000001</v>
      </c>
      <c r="AF22" s="7">
        <v>2131.5210000000002</v>
      </c>
      <c r="AG22" s="7">
        <v>2175.7840000000001</v>
      </c>
      <c r="AH22" s="7">
        <v>2035.6110000000001</v>
      </c>
      <c r="AI22" s="7">
        <v>2025.999</v>
      </c>
      <c r="AJ22" s="7">
        <v>1692.152</v>
      </c>
      <c r="AL22" s="6">
        <f t="shared" si="2"/>
        <v>1937.5631250000001</v>
      </c>
      <c r="AM22" s="6">
        <f t="shared" si="3"/>
        <v>74.198033652092789</v>
      </c>
    </row>
    <row r="23" spans="1:39" x14ac:dyDescent="0.2">
      <c r="A23" s="7">
        <v>16.25</v>
      </c>
      <c r="B23" s="7">
        <v>2026.548</v>
      </c>
      <c r="C23" s="7">
        <v>1559.1959999999999</v>
      </c>
      <c r="D23" s="7">
        <v>1511.412</v>
      </c>
      <c r="E23" s="7">
        <v>1844.0229999999999</v>
      </c>
      <c r="H23" s="7">
        <v>2074.3240000000001</v>
      </c>
      <c r="I23" s="7">
        <v>2483.1979999999999</v>
      </c>
      <c r="J23" s="7">
        <v>2145.0709999999999</v>
      </c>
      <c r="K23" s="7">
        <v>1903.595</v>
      </c>
      <c r="L23" s="7">
        <v>2449.502</v>
      </c>
      <c r="M23" s="7">
        <v>2305.8510000000001</v>
      </c>
      <c r="N23" s="7">
        <v>2018.617</v>
      </c>
      <c r="O23" s="7">
        <v>1903.74</v>
      </c>
      <c r="P23" s="7">
        <v>2610.643</v>
      </c>
      <c r="R23" s="5">
        <f t="shared" si="0"/>
        <v>2064.2861538461539</v>
      </c>
      <c r="S23" s="5">
        <f t="shared" si="1"/>
        <v>93.087118545137571</v>
      </c>
      <c r="U23" s="7">
        <v>16.25</v>
      </c>
      <c r="V23" s="7">
        <v>2263.3719999999998</v>
      </c>
      <c r="X23" s="7">
        <v>1577.2639999999999</v>
      </c>
      <c r="Y23" s="7">
        <v>2133.3560000000002</v>
      </c>
      <c r="Z23" s="7">
        <v>2054.8130000000001</v>
      </c>
      <c r="AA23" s="7">
        <v>2205.768</v>
      </c>
      <c r="AB23" s="7">
        <v>1651.2460000000001</v>
      </c>
      <c r="AC23" s="7">
        <v>1974.327</v>
      </c>
      <c r="AD23" s="7">
        <v>1582.979</v>
      </c>
      <c r="AE23" s="7">
        <v>1937.739</v>
      </c>
      <c r="AF23" s="7">
        <v>2149.6179999999999</v>
      </c>
      <c r="AG23" s="7">
        <v>2204.4679999999998</v>
      </c>
      <c r="AH23" s="7">
        <v>2047.6769999999999</v>
      </c>
      <c r="AI23" s="7">
        <v>2042.652</v>
      </c>
      <c r="AJ23" s="7">
        <v>1706.8920000000001</v>
      </c>
      <c r="AL23" s="6">
        <f t="shared" si="2"/>
        <v>1955.7940000000001</v>
      </c>
      <c r="AM23" s="6">
        <f t="shared" si="3"/>
        <v>75.238428636662647</v>
      </c>
    </row>
    <row r="24" spans="1:39" x14ac:dyDescent="0.2">
      <c r="A24" s="7">
        <v>17.5</v>
      </c>
      <c r="B24" s="7">
        <v>2048.2080000000001</v>
      </c>
      <c r="C24" s="7">
        <v>1570.758</v>
      </c>
      <c r="D24" s="7">
        <v>1525.3710000000001</v>
      </c>
      <c r="E24" s="7">
        <v>1851.6759999999999</v>
      </c>
      <c r="H24" s="7">
        <v>2089.1909999999998</v>
      </c>
      <c r="I24" s="7">
        <v>2534.1170000000002</v>
      </c>
      <c r="J24" s="7">
        <v>2154.6680000000001</v>
      </c>
      <c r="K24" s="7">
        <v>1908.9259999999999</v>
      </c>
      <c r="L24" s="7">
        <v>2477.2139999999999</v>
      </c>
      <c r="M24" s="7">
        <v>2327.3670000000002</v>
      </c>
      <c r="N24" s="7">
        <v>2052.7420000000002</v>
      </c>
      <c r="O24" s="7">
        <v>1922.4870000000001</v>
      </c>
      <c r="P24" s="7">
        <v>2636.2660000000001</v>
      </c>
      <c r="R24" s="5">
        <f t="shared" si="0"/>
        <v>2084.5377692307693</v>
      </c>
      <c r="S24" s="5">
        <f t="shared" si="1"/>
        <v>95.236499943235941</v>
      </c>
      <c r="U24" s="7">
        <v>17.5</v>
      </c>
      <c r="V24" s="7">
        <v>2274.0030000000002</v>
      </c>
      <c r="X24" s="7">
        <v>1583.03</v>
      </c>
      <c r="Y24" s="7">
        <v>2145.6460000000002</v>
      </c>
      <c r="Z24" s="7">
        <v>2069.2020000000002</v>
      </c>
      <c r="AA24" s="7">
        <v>2225.819</v>
      </c>
      <c r="AB24" s="7">
        <v>1665.682</v>
      </c>
      <c r="AC24" s="7">
        <v>1984.2329999999999</v>
      </c>
      <c r="AD24" s="7">
        <v>1595.01</v>
      </c>
      <c r="AE24" s="7">
        <v>1967.5450000000001</v>
      </c>
      <c r="AF24" s="7">
        <v>2165.165</v>
      </c>
      <c r="AG24" s="7">
        <v>2227.0520000000001</v>
      </c>
      <c r="AH24" s="7">
        <v>2068.87</v>
      </c>
      <c r="AI24" s="7">
        <v>2063.8980000000001</v>
      </c>
      <c r="AJ24" s="7">
        <v>1727.0150000000001</v>
      </c>
      <c r="AL24" s="6">
        <f t="shared" si="2"/>
        <v>1974.8485000000001</v>
      </c>
      <c r="AM24" s="6">
        <f t="shared" si="3"/>
        <v>75.880188838109234</v>
      </c>
    </row>
    <row r="25" spans="1:39" x14ac:dyDescent="0.2">
      <c r="A25" s="7">
        <v>18.75</v>
      </c>
      <c r="B25" s="7">
        <v>2060.17</v>
      </c>
      <c r="C25" s="7">
        <v>1573.8920000000001</v>
      </c>
      <c r="D25" s="7">
        <v>1531.45</v>
      </c>
      <c r="E25" s="7">
        <v>1858.3230000000001</v>
      </c>
      <c r="H25" s="7">
        <v>2114.7449999999999</v>
      </c>
      <c r="I25" s="7">
        <v>2571.902</v>
      </c>
      <c r="J25" s="7">
        <v>2147.5569999999998</v>
      </c>
      <c r="K25" s="7">
        <v>1911.442</v>
      </c>
      <c r="L25" s="7">
        <v>2494.59</v>
      </c>
      <c r="M25" s="7">
        <v>2326.6089999999999</v>
      </c>
      <c r="N25" s="7">
        <v>2070.3020000000001</v>
      </c>
      <c r="O25" s="7">
        <v>1913.5830000000001</v>
      </c>
      <c r="P25" s="7">
        <v>2653.9520000000002</v>
      </c>
      <c r="R25" s="5">
        <f t="shared" si="0"/>
        <v>2094.5013076923078</v>
      </c>
      <c r="S25" s="5">
        <f t="shared" si="1"/>
        <v>97.069680331628106</v>
      </c>
      <c r="U25" s="7">
        <v>18.75</v>
      </c>
      <c r="V25" s="7">
        <v>2262.79</v>
      </c>
      <c r="X25" s="7">
        <v>1589.874</v>
      </c>
      <c r="Y25" s="7">
        <v>2145.3850000000002</v>
      </c>
      <c r="Z25" s="7">
        <v>2074.9029999999998</v>
      </c>
      <c r="AA25" s="7">
        <v>2245.402</v>
      </c>
      <c r="AB25" s="7">
        <v>1671.85</v>
      </c>
      <c r="AC25" s="7">
        <v>1983.4290000000001</v>
      </c>
      <c r="AD25" s="7">
        <v>1605.241</v>
      </c>
      <c r="AE25" s="7">
        <v>1975.771</v>
      </c>
      <c r="AF25" s="7">
        <v>2164.3139999999999</v>
      </c>
      <c r="AG25" s="7">
        <v>2230.9540000000002</v>
      </c>
      <c r="AH25" s="7">
        <v>2075.3969999999999</v>
      </c>
      <c r="AI25" s="7">
        <v>2077.7339999999999</v>
      </c>
      <c r="AJ25" s="7">
        <v>1738.4780000000001</v>
      </c>
      <c r="AL25" s="6">
        <f t="shared" si="2"/>
        <v>1981.4147499999999</v>
      </c>
      <c r="AM25" s="6">
        <f t="shared" si="3"/>
        <v>74.927691093229996</v>
      </c>
    </row>
    <row r="26" spans="1:39" x14ac:dyDescent="0.2">
      <c r="A26" s="7">
        <v>20</v>
      </c>
      <c r="B26" s="7">
        <v>2054.3029999999999</v>
      </c>
      <c r="C26" s="7">
        <v>1576.3679999999999</v>
      </c>
      <c r="D26" s="7">
        <v>1528.259</v>
      </c>
      <c r="E26" s="7">
        <v>1856.6769999999999</v>
      </c>
      <c r="H26" s="7">
        <v>2120.9720000000002</v>
      </c>
      <c r="I26" s="7">
        <v>2574.7139999999999</v>
      </c>
      <c r="J26" s="7">
        <v>2138.239</v>
      </c>
      <c r="K26" s="7">
        <v>1916.9079999999999</v>
      </c>
      <c r="L26" s="7">
        <v>2495.6210000000001</v>
      </c>
      <c r="M26" s="7">
        <v>2331.2469999999998</v>
      </c>
      <c r="N26" s="7">
        <v>2071.0070000000001</v>
      </c>
      <c r="O26" s="7">
        <v>1909.771</v>
      </c>
      <c r="P26" s="7">
        <v>2652.13</v>
      </c>
      <c r="R26" s="5">
        <f t="shared" si="0"/>
        <v>2094.3243076923077</v>
      </c>
      <c r="S26" s="5">
        <f t="shared" si="1"/>
        <v>97.224239471505442</v>
      </c>
      <c r="U26" s="7">
        <v>20</v>
      </c>
      <c r="V26" s="7">
        <v>2252.9430000000002</v>
      </c>
      <c r="X26" s="7">
        <v>1598.001</v>
      </c>
      <c r="Y26" s="7">
        <v>2148.0439999999999</v>
      </c>
      <c r="Z26" s="7">
        <v>2069.616</v>
      </c>
      <c r="AA26" s="7">
        <v>2237.9569999999999</v>
      </c>
      <c r="AB26" s="7">
        <v>1666.771</v>
      </c>
      <c r="AC26" s="7">
        <v>1979.999</v>
      </c>
      <c r="AD26" s="7">
        <v>1608.597</v>
      </c>
      <c r="AE26" s="7">
        <v>1976.018</v>
      </c>
      <c r="AF26" s="7">
        <v>2152.384</v>
      </c>
      <c r="AG26" s="7">
        <v>2223.1729999999998</v>
      </c>
      <c r="AH26" s="7">
        <v>2066.4830000000002</v>
      </c>
      <c r="AI26" s="7">
        <v>2091.1080000000002</v>
      </c>
      <c r="AJ26" s="7">
        <v>1737.886</v>
      </c>
      <c r="AL26" s="6">
        <f t="shared" si="2"/>
        <v>1979.4559999999999</v>
      </c>
      <c r="AM26" s="6">
        <f t="shared" si="3"/>
        <v>73.829740738404325</v>
      </c>
    </row>
    <row r="27" spans="1:39" x14ac:dyDescent="0.2">
      <c r="A27" s="7">
        <v>21.25</v>
      </c>
      <c r="B27" s="7">
        <v>2033.17</v>
      </c>
      <c r="C27" s="7">
        <v>1570.9269999999999</v>
      </c>
      <c r="D27" s="7">
        <v>1525.5239999999999</v>
      </c>
      <c r="E27" s="7">
        <v>1835.6869999999999</v>
      </c>
      <c r="H27" s="7">
        <v>2109.1709999999998</v>
      </c>
      <c r="I27" s="7">
        <v>2561.4879999999998</v>
      </c>
      <c r="J27" s="7">
        <v>2129.5839999999998</v>
      </c>
      <c r="K27" s="7">
        <v>1911.444</v>
      </c>
      <c r="L27" s="7">
        <v>2490.4340000000002</v>
      </c>
      <c r="M27" s="7">
        <v>2343.7809999999999</v>
      </c>
      <c r="N27" s="7">
        <v>2063.2759999999998</v>
      </c>
      <c r="O27" s="7">
        <v>1911.634</v>
      </c>
      <c r="P27" s="7">
        <v>2637.6819999999998</v>
      </c>
      <c r="R27" s="5">
        <f t="shared" si="0"/>
        <v>2086.4463076923075</v>
      </c>
      <c r="S27" s="5">
        <f t="shared" si="1"/>
        <v>97.044943013030775</v>
      </c>
      <c r="U27" s="7">
        <v>21.25</v>
      </c>
      <c r="V27" s="7">
        <v>2235.9389999999999</v>
      </c>
      <c r="X27" s="7">
        <v>1597.616</v>
      </c>
      <c r="Y27" s="7">
        <v>2152.0819999999999</v>
      </c>
      <c r="Z27" s="7">
        <v>2069.8290000000002</v>
      </c>
      <c r="AA27" s="7">
        <v>2220.5549999999998</v>
      </c>
      <c r="AB27" s="7">
        <v>1648.8979999999999</v>
      </c>
      <c r="AC27" s="7">
        <v>1972.0160000000001</v>
      </c>
      <c r="AD27" s="7">
        <v>1604.393</v>
      </c>
      <c r="AE27" s="7">
        <v>1965.758</v>
      </c>
      <c r="AF27" s="7">
        <v>2147.2220000000002</v>
      </c>
      <c r="AG27" s="7">
        <v>2229.7910000000002</v>
      </c>
      <c r="AH27" s="7">
        <v>2062.4369999999999</v>
      </c>
      <c r="AI27" s="7">
        <v>2094.7800000000002</v>
      </c>
      <c r="AJ27" s="7">
        <v>1736.519</v>
      </c>
      <c r="AL27" s="6">
        <f t="shared" si="2"/>
        <v>1976.6145000000001</v>
      </c>
      <c r="AM27" s="6">
        <f t="shared" si="3"/>
        <v>74.506417518655994</v>
      </c>
    </row>
    <row r="28" spans="1:39" x14ac:dyDescent="0.2">
      <c r="A28" s="7">
        <v>22.5</v>
      </c>
      <c r="B28" s="7">
        <v>2014.9380000000001</v>
      </c>
      <c r="C28" s="7">
        <v>1567.3109999999999</v>
      </c>
      <c r="D28" s="7">
        <v>1524.3510000000001</v>
      </c>
      <c r="E28" s="7">
        <v>1830.143</v>
      </c>
      <c r="H28" s="7">
        <v>2093.9780000000001</v>
      </c>
      <c r="I28" s="7">
        <v>2522.4259999999999</v>
      </c>
      <c r="J28" s="7">
        <v>2128.145</v>
      </c>
      <c r="K28" s="7">
        <v>1906.114</v>
      </c>
      <c r="L28" s="7">
        <v>2497.3809999999999</v>
      </c>
      <c r="M28" s="7">
        <v>2347.817</v>
      </c>
      <c r="N28" s="7">
        <v>2052.9430000000002</v>
      </c>
      <c r="O28" s="7">
        <v>1917.7719999999999</v>
      </c>
      <c r="P28" s="7">
        <v>2637.45</v>
      </c>
      <c r="R28" s="5">
        <f t="shared" si="0"/>
        <v>2080.059153846154</v>
      </c>
      <c r="S28" s="5">
        <f t="shared" si="1"/>
        <v>96.425909683379544</v>
      </c>
      <c r="U28" s="7">
        <v>22.5</v>
      </c>
      <c r="V28" s="7">
        <v>2234.0619999999999</v>
      </c>
      <c r="X28" s="7">
        <v>1588.646</v>
      </c>
      <c r="Y28" s="7">
        <v>2150.2739999999999</v>
      </c>
      <c r="Z28" s="7">
        <v>2081.723</v>
      </c>
      <c r="AA28" s="7">
        <v>2220.8420000000001</v>
      </c>
      <c r="AB28" s="7">
        <v>1647.8109999999999</v>
      </c>
      <c r="AC28" s="7">
        <v>1979.106</v>
      </c>
      <c r="AD28" s="7">
        <v>1609.2159999999999</v>
      </c>
      <c r="AE28" s="7">
        <v>1963.662</v>
      </c>
      <c r="AF28" s="7">
        <v>2169.183</v>
      </c>
      <c r="AG28" s="7">
        <v>2237.4409999999998</v>
      </c>
      <c r="AH28" s="7">
        <v>2072.056</v>
      </c>
      <c r="AI28" s="7">
        <v>2097.5509999999999</v>
      </c>
      <c r="AJ28" s="7">
        <v>1745.011</v>
      </c>
      <c r="AL28" s="6">
        <f t="shared" si="2"/>
        <v>1984.1532500000001</v>
      </c>
      <c r="AM28" s="6">
        <f t="shared" si="3"/>
        <v>75.260139217191664</v>
      </c>
    </row>
    <row r="29" spans="1:39" x14ac:dyDescent="0.2">
      <c r="A29" s="7">
        <v>23.75</v>
      </c>
      <c r="B29" s="7">
        <v>2051.232</v>
      </c>
      <c r="C29" s="7">
        <v>1584.242</v>
      </c>
      <c r="D29" s="7">
        <v>1537.452</v>
      </c>
      <c r="E29" s="7">
        <v>1863.9079999999999</v>
      </c>
      <c r="H29" s="7">
        <v>2098.4540000000002</v>
      </c>
      <c r="I29" s="7">
        <v>2487.3490000000002</v>
      </c>
      <c r="J29" s="7">
        <v>2144.9940000000001</v>
      </c>
      <c r="K29" s="7">
        <v>1931.808</v>
      </c>
      <c r="L29" s="7">
        <v>2522.0239999999999</v>
      </c>
      <c r="M29" s="7">
        <v>2367.7849999999999</v>
      </c>
      <c r="N29" s="7">
        <v>2044.8030000000001</v>
      </c>
      <c r="O29" s="7">
        <v>1937.318</v>
      </c>
      <c r="P29" s="7">
        <v>2658.623</v>
      </c>
      <c r="R29" s="5">
        <f t="shared" si="0"/>
        <v>2094.6147692307695</v>
      </c>
      <c r="S29" s="5">
        <f t="shared" si="1"/>
        <v>95.136434270173211</v>
      </c>
      <c r="U29" s="7">
        <v>23.75</v>
      </c>
      <c r="V29" s="7">
        <v>2262.7779999999998</v>
      </c>
      <c r="X29" s="7">
        <v>1599.0719999999999</v>
      </c>
      <c r="Y29" s="7">
        <v>2166.1289999999999</v>
      </c>
      <c r="Z29" s="7">
        <v>2109.6909999999998</v>
      </c>
      <c r="AA29" s="7">
        <v>2258.7640000000001</v>
      </c>
      <c r="AB29" s="7">
        <v>1675.749</v>
      </c>
      <c r="AC29" s="7">
        <v>2004.883</v>
      </c>
      <c r="AD29" s="7">
        <v>1620.79</v>
      </c>
      <c r="AE29" s="7">
        <v>1980.866</v>
      </c>
      <c r="AF29" s="7">
        <v>2209.0349999999999</v>
      </c>
      <c r="AG29" s="7">
        <v>2250.797</v>
      </c>
      <c r="AH29" s="7">
        <v>2108.413</v>
      </c>
      <c r="AI29" s="7">
        <v>2110.989</v>
      </c>
      <c r="AJ29" s="7">
        <v>1757.162</v>
      </c>
      <c r="AL29" s="6">
        <f t="shared" si="2"/>
        <v>2005.3668749999999</v>
      </c>
      <c r="AM29" s="6">
        <f t="shared" si="3"/>
        <v>77.182153323771473</v>
      </c>
    </row>
    <row r="30" spans="1:39" x14ac:dyDescent="0.2">
      <c r="A30" s="7">
        <v>25</v>
      </c>
      <c r="B30" s="7">
        <v>2108.8470000000002</v>
      </c>
      <c r="C30" s="7">
        <v>1614.3340000000001</v>
      </c>
      <c r="D30" s="7">
        <v>1559.9680000000001</v>
      </c>
      <c r="E30" s="7">
        <v>1908.56</v>
      </c>
      <c r="H30" s="7">
        <v>2112.9119999999998</v>
      </c>
      <c r="I30" s="7">
        <v>2521.8049999999998</v>
      </c>
      <c r="J30" s="7">
        <v>2176.6109999999999</v>
      </c>
      <c r="K30" s="7">
        <v>1959.163</v>
      </c>
      <c r="L30" s="7">
        <v>2549.3809999999999</v>
      </c>
      <c r="M30" s="7">
        <v>2380.239</v>
      </c>
      <c r="N30" s="7">
        <v>2045.3009999999999</v>
      </c>
      <c r="O30" s="7">
        <v>1953.5650000000001</v>
      </c>
      <c r="P30" s="7">
        <v>2685.7429999999999</v>
      </c>
      <c r="R30" s="5">
        <f t="shared" si="0"/>
        <v>2121.2637692307694</v>
      </c>
      <c r="S30" s="5">
        <f t="shared" si="1"/>
        <v>95.075993928079853</v>
      </c>
      <c r="U30" s="7">
        <v>25</v>
      </c>
      <c r="V30" s="7">
        <v>2299.0700000000002</v>
      </c>
      <c r="X30" s="7">
        <v>1621.9490000000001</v>
      </c>
      <c r="Y30" s="7">
        <v>2181.3049999999998</v>
      </c>
      <c r="Z30" s="7">
        <v>2152.5219999999999</v>
      </c>
      <c r="AA30" s="7">
        <v>2302.462</v>
      </c>
      <c r="AB30" s="7">
        <v>1706.1310000000001</v>
      </c>
      <c r="AC30" s="7">
        <v>2034.778</v>
      </c>
      <c r="AD30" s="7">
        <v>1637.2860000000001</v>
      </c>
      <c r="AE30" s="7">
        <v>1978.7460000000001</v>
      </c>
      <c r="AF30" s="7">
        <v>2233.2930000000001</v>
      </c>
      <c r="AG30" s="7">
        <v>2261.29</v>
      </c>
      <c r="AH30" s="7">
        <v>2147.9369999999999</v>
      </c>
      <c r="AI30" s="7">
        <v>2117.0239999999999</v>
      </c>
      <c r="AJ30" s="7">
        <v>1774.646</v>
      </c>
      <c r="AL30" s="6">
        <f t="shared" si="2"/>
        <v>2023.125</v>
      </c>
      <c r="AM30" s="6">
        <f t="shared" si="3"/>
        <v>77.690669646406675</v>
      </c>
    </row>
    <row r="31" spans="1:39" x14ac:dyDescent="0.2">
      <c r="A31" s="7">
        <v>26.25</v>
      </c>
      <c r="B31" s="7">
        <v>2121.7510000000002</v>
      </c>
      <c r="C31" s="7">
        <v>1629.1479999999999</v>
      </c>
      <c r="D31" s="7">
        <v>1574.6959999999999</v>
      </c>
      <c r="E31" s="7">
        <v>1923.9280000000001</v>
      </c>
      <c r="H31" s="7">
        <v>2122.6039999999998</v>
      </c>
      <c r="I31" s="7">
        <v>2568.335</v>
      </c>
      <c r="J31" s="7">
        <v>2189.1819999999998</v>
      </c>
      <c r="K31" s="7">
        <v>1976.39</v>
      </c>
      <c r="L31" s="7">
        <v>2565.607</v>
      </c>
      <c r="M31" s="7">
        <v>2395.9560000000001</v>
      </c>
      <c r="N31" s="7">
        <v>2058.3200000000002</v>
      </c>
      <c r="O31" s="7">
        <v>1950.3810000000001</v>
      </c>
      <c r="P31" s="7">
        <v>2689.8249999999998</v>
      </c>
      <c r="R31" s="5">
        <f t="shared" si="0"/>
        <v>2135.8556153846157</v>
      </c>
      <c r="S31" s="5">
        <f t="shared" si="1"/>
        <v>95.805797537861949</v>
      </c>
      <c r="U31" s="7">
        <v>26.25</v>
      </c>
      <c r="V31" s="7">
        <v>2318.2570000000001</v>
      </c>
      <c r="X31" s="7">
        <v>1637.6030000000001</v>
      </c>
      <c r="Y31" s="7">
        <v>2206.5680000000002</v>
      </c>
      <c r="Z31" s="7">
        <v>2176.1750000000002</v>
      </c>
      <c r="AA31" s="7">
        <v>2333.2330000000002</v>
      </c>
      <c r="AB31" s="7">
        <v>1724.7190000000001</v>
      </c>
      <c r="AC31" s="7">
        <v>2053.7179999999998</v>
      </c>
      <c r="AD31" s="7">
        <v>1654.963</v>
      </c>
      <c r="AE31" s="7">
        <v>1971.6110000000001</v>
      </c>
      <c r="AF31" s="7">
        <v>2244.1419999999998</v>
      </c>
      <c r="AG31" s="7">
        <v>2267.9059999999999</v>
      </c>
      <c r="AH31" s="7">
        <v>2160.1979999999999</v>
      </c>
      <c r="AI31" s="7">
        <v>2124.16</v>
      </c>
      <c r="AJ31" s="7">
        <v>1788.999</v>
      </c>
      <c r="AL31" s="6">
        <f t="shared" si="2"/>
        <v>2033.212125</v>
      </c>
      <c r="AM31" s="6">
        <f t="shared" si="3"/>
        <v>76.869229869731498</v>
      </c>
    </row>
    <row r="32" spans="1:39" x14ac:dyDescent="0.2">
      <c r="A32" s="7">
        <v>27.5</v>
      </c>
      <c r="B32" s="7">
        <v>2110.8829999999998</v>
      </c>
      <c r="C32" s="7">
        <v>1631.75</v>
      </c>
      <c r="D32" s="7">
        <v>1568.9829999999999</v>
      </c>
      <c r="E32" s="7">
        <v>1920.74</v>
      </c>
      <c r="H32" s="7">
        <v>2123.8249999999998</v>
      </c>
      <c r="I32" s="7">
        <v>2570.239</v>
      </c>
      <c r="J32" s="7">
        <v>2193.2429999999999</v>
      </c>
      <c r="K32" s="7">
        <v>1981.9549999999999</v>
      </c>
      <c r="L32" s="7">
        <v>2574.6860000000001</v>
      </c>
      <c r="M32" s="7">
        <v>2399.4589999999998</v>
      </c>
      <c r="N32" s="7">
        <v>2057.8220000000001</v>
      </c>
      <c r="O32" s="7">
        <v>1952.829</v>
      </c>
      <c r="P32" s="7">
        <v>2687.9870000000001</v>
      </c>
      <c r="R32" s="5">
        <f t="shared" si="0"/>
        <v>2136.4923846153847</v>
      </c>
      <c r="S32" s="5">
        <f t="shared" si="1"/>
        <v>96.232504154603404</v>
      </c>
      <c r="U32" s="7">
        <v>27.5</v>
      </c>
      <c r="V32" s="7">
        <v>2319.797</v>
      </c>
      <c r="X32" s="7">
        <v>1648.854</v>
      </c>
      <c r="Y32" s="7">
        <v>2224.6480000000001</v>
      </c>
      <c r="Z32" s="7">
        <v>2195.5340000000001</v>
      </c>
      <c r="AA32" s="7">
        <v>2333.2570000000001</v>
      </c>
      <c r="AB32" s="7">
        <v>1722.3779999999999</v>
      </c>
      <c r="AC32" s="7">
        <v>2078.777</v>
      </c>
      <c r="AD32" s="7">
        <v>1664.367</v>
      </c>
      <c r="AE32" s="7">
        <v>1971.232</v>
      </c>
      <c r="AF32" s="7">
        <v>2258.7629999999999</v>
      </c>
      <c r="AG32" s="7">
        <v>2270.3310000000001</v>
      </c>
      <c r="AH32" s="7">
        <v>2171.9789999999998</v>
      </c>
      <c r="AI32" s="7">
        <v>2137.1880000000001</v>
      </c>
      <c r="AJ32" s="7">
        <v>1786.6569999999999</v>
      </c>
      <c r="AL32" s="6">
        <f t="shared" si="2"/>
        <v>2042.41175</v>
      </c>
      <c r="AM32" s="6">
        <f t="shared" si="3"/>
        <v>77.832532114688107</v>
      </c>
    </row>
    <row r="33" spans="1:39" x14ac:dyDescent="0.2">
      <c r="A33" s="7">
        <v>28.75</v>
      </c>
      <c r="B33" s="7">
        <v>2126.3820000000001</v>
      </c>
      <c r="C33" s="7">
        <v>1642.873</v>
      </c>
      <c r="D33" s="7">
        <v>1576.9670000000001</v>
      </c>
      <c r="E33" s="7">
        <v>1921.4929999999999</v>
      </c>
      <c r="H33" s="7">
        <v>2152.942</v>
      </c>
      <c r="I33" s="7">
        <v>2572.8270000000002</v>
      </c>
      <c r="J33" s="7">
        <v>2212.39</v>
      </c>
      <c r="K33" s="7">
        <v>1993.11</v>
      </c>
      <c r="L33" s="7">
        <v>2584.1080000000002</v>
      </c>
      <c r="M33" s="7">
        <v>2418.2820000000002</v>
      </c>
      <c r="N33" s="7">
        <v>2066.788</v>
      </c>
      <c r="O33" s="7">
        <v>1978.26</v>
      </c>
      <c r="P33" s="7">
        <v>2728.855</v>
      </c>
      <c r="R33" s="5">
        <f t="shared" si="0"/>
        <v>2151.9443846153845</v>
      </c>
      <c r="S33" s="5">
        <f t="shared" si="1"/>
        <v>97.319326296024443</v>
      </c>
      <c r="U33" s="7">
        <v>28.75</v>
      </c>
      <c r="V33" s="7">
        <v>2334.364</v>
      </c>
      <c r="X33" s="7">
        <v>1673.454</v>
      </c>
      <c r="Y33" s="7">
        <v>2235.1880000000001</v>
      </c>
      <c r="Z33" s="7">
        <v>2193.9789999999998</v>
      </c>
      <c r="AA33" s="7">
        <v>2322.4450000000002</v>
      </c>
      <c r="AB33" s="7">
        <v>1723.3320000000001</v>
      </c>
      <c r="AC33" s="7">
        <v>2112.8130000000001</v>
      </c>
      <c r="AD33" s="7">
        <v>1675.5450000000001</v>
      </c>
      <c r="AE33" s="7">
        <v>1985.135</v>
      </c>
      <c r="AF33" s="7">
        <v>2286.5160000000001</v>
      </c>
      <c r="AG33" s="7">
        <v>2289.0149999999999</v>
      </c>
      <c r="AH33" s="7">
        <v>2206.8389999999999</v>
      </c>
      <c r="AI33" s="7">
        <v>2153.4740000000002</v>
      </c>
      <c r="AJ33" s="7">
        <v>1787.325</v>
      </c>
      <c r="AL33" s="6">
        <f t="shared" si="2"/>
        <v>2062.08275</v>
      </c>
      <c r="AM33" s="6">
        <f t="shared" si="3"/>
        <v>80.686012921064957</v>
      </c>
    </row>
    <row r="34" spans="1:39" x14ac:dyDescent="0.2">
      <c r="A34" s="7">
        <v>30</v>
      </c>
      <c r="B34" s="7">
        <v>2139.1370000000002</v>
      </c>
      <c r="C34" s="7">
        <v>1655.4090000000001</v>
      </c>
      <c r="D34" s="7">
        <v>1590.566</v>
      </c>
      <c r="E34" s="7">
        <v>1927.162</v>
      </c>
      <c r="H34" s="7">
        <v>2178.864</v>
      </c>
      <c r="I34" s="7">
        <v>2592.0500000000002</v>
      </c>
      <c r="J34" s="7">
        <v>2235.6880000000001</v>
      </c>
      <c r="K34" s="7">
        <v>2006.319</v>
      </c>
      <c r="L34" s="7">
        <v>2602.4180000000001</v>
      </c>
      <c r="M34" s="7">
        <v>2456.1390000000001</v>
      </c>
      <c r="N34" s="7">
        <v>2099.252</v>
      </c>
      <c r="O34" s="7">
        <v>2000.3440000000001</v>
      </c>
      <c r="P34" s="7">
        <v>2759.8989999999999</v>
      </c>
      <c r="R34" s="5">
        <f t="shared" si="0"/>
        <v>2172.5574615384617</v>
      </c>
      <c r="S34" s="5">
        <f t="shared" si="1"/>
        <v>98.72023169988779</v>
      </c>
      <c r="U34" s="7">
        <v>30</v>
      </c>
      <c r="V34" s="7">
        <v>2351.4949999999999</v>
      </c>
      <c r="X34" s="7">
        <v>1684.095</v>
      </c>
      <c r="Y34" s="7">
        <v>2262.5149999999999</v>
      </c>
      <c r="Z34" s="7">
        <v>2195.1770000000001</v>
      </c>
      <c r="AA34" s="7">
        <v>2334.2379999999998</v>
      </c>
      <c r="AB34" s="7">
        <v>1753.337</v>
      </c>
      <c r="AC34" s="7">
        <v>2124.5039999999999</v>
      </c>
      <c r="AD34" s="7">
        <v>1686.07</v>
      </c>
      <c r="AE34" s="7">
        <v>2009.318</v>
      </c>
      <c r="AF34" s="7">
        <v>2317.7179999999998</v>
      </c>
      <c r="AG34" s="7">
        <v>2314.6590000000001</v>
      </c>
      <c r="AH34" s="7">
        <v>2231.8040000000001</v>
      </c>
      <c r="AI34" s="7">
        <v>2170.5079999999998</v>
      </c>
      <c r="AJ34" s="7">
        <v>1810.25</v>
      </c>
      <c r="AL34" s="6">
        <f t="shared" si="2"/>
        <v>2083.1038749999998</v>
      </c>
      <c r="AM34" s="6">
        <f t="shared" si="3"/>
        <v>82.121016157437026</v>
      </c>
    </row>
    <row r="35" spans="1:39" x14ac:dyDescent="0.2">
      <c r="A35" s="7">
        <v>31.25</v>
      </c>
      <c r="B35" s="7">
        <v>2156.2260000000001</v>
      </c>
      <c r="C35" s="7">
        <v>1660.671</v>
      </c>
      <c r="D35" s="7">
        <v>1596.7860000000001</v>
      </c>
      <c r="E35" s="7">
        <v>1942.1320000000001</v>
      </c>
      <c r="H35" s="7">
        <v>2179.4409999999998</v>
      </c>
      <c r="I35" s="7">
        <v>2616.0630000000001</v>
      </c>
      <c r="J35" s="7">
        <v>2233.732</v>
      </c>
      <c r="K35" s="7">
        <v>1994.761</v>
      </c>
      <c r="L35" s="7">
        <v>2605.9169999999999</v>
      </c>
      <c r="M35" s="7">
        <v>2471.7890000000002</v>
      </c>
      <c r="N35" s="7">
        <v>2102.9670000000001</v>
      </c>
      <c r="O35" s="7">
        <v>1995.001</v>
      </c>
      <c r="P35" s="7">
        <v>2753.4679999999998</v>
      </c>
      <c r="R35" s="5">
        <f t="shared" si="0"/>
        <v>2177.6118461538467</v>
      </c>
      <c r="S35" s="5">
        <f t="shared" si="1"/>
        <v>99.02847508230208</v>
      </c>
      <c r="U35" s="7">
        <v>31.25</v>
      </c>
      <c r="V35" s="7">
        <v>2355.489</v>
      </c>
      <c r="X35" s="7">
        <v>1681.0419999999999</v>
      </c>
      <c r="Y35" s="7">
        <v>2264.942</v>
      </c>
      <c r="Z35" s="7">
        <v>2193.136</v>
      </c>
      <c r="AA35" s="7">
        <v>2341.0390000000002</v>
      </c>
      <c r="AB35" s="7">
        <v>1764.297</v>
      </c>
      <c r="AC35" s="7">
        <v>2112.9839999999999</v>
      </c>
      <c r="AD35" s="7">
        <v>1695.222</v>
      </c>
      <c r="AE35" s="7">
        <v>2025.191</v>
      </c>
      <c r="AF35" s="7">
        <v>2315.2820000000002</v>
      </c>
      <c r="AG35" s="7">
        <v>2325.0010000000002</v>
      </c>
      <c r="AH35" s="7">
        <v>2233.377</v>
      </c>
      <c r="AI35" s="7">
        <v>2189.2060000000001</v>
      </c>
      <c r="AJ35" s="7">
        <v>1826.1949999999999</v>
      </c>
      <c r="AL35" s="6">
        <f t="shared" si="2"/>
        <v>2090.3072500000003</v>
      </c>
      <c r="AM35" s="6">
        <f t="shared" si="3"/>
        <v>80.904121707149031</v>
      </c>
    </row>
    <row r="36" spans="1:39" x14ac:dyDescent="0.2">
      <c r="A36" s="7">
        <v>32.5</v>
      </c>
      <c r="B36" s="7">
        <v>2162.0070000000001</v>
      </c>
      <c r="C36" s="7">
        <v>1665.711</v>
      </c>
      <c r="D36" s="7">
        <v>1585.788</v>
      </c>
      <c r="E36" s="7">
        <v>1943.2729999999999</v>
      </c>
      <c r="H36" s="7">
        <v>2179.9380000000001</v>
      </c>
      <c r="I36" s="7">
        <v>2601.4940000000001</v>
      </c>
      <c r="J36" s="7">
        <v>2219.0070000000001</v>
      </c>
      <c r="K36" s="7">
        <v>1985.8620000000001</v>
      </c>
      <c r="L36" s="7">
        <v>2609.433</v>
      </c>
      <c r="M36" s="7">
        <v>2467.1039999999998</v>
      </c>
      <c r="N36" s="7">
        <v>2087.931</v>
      </c>
      <c r="O36" s="7">
        <v>1995.54</v>
      </c>
      <c r="P36" s="7">
        <v>2754.4229999999998</v>
      </c>
      <c r="R36" s="5">
        <f t="shared" si="0"/>
        <v>2173.6546923076926</v>
      </c>
      <c r="S36" s="5">
        <f t="shared" si="1"/>
        <v>99.020677959809163</v>
      </c>
      <c r="U36" s="7">
        <v>32.5</v>
      </c>
      <c r="V36" s="7">
        <v>2369.681</v>
      </c>
      <c r="X36" s="7">
        <v>1698.617</v>
      </c>
      <c r="Y36" s="7">
        <v>2264.5929999999998</v>
      </c>
      <c r="Z36" s="7">
        <v>2208.5509999999999</v>
      </c>
      <c r="AA36" s="7">
        <v>2349.828</v>
      </c>
      <c r="AB36" s="7">
        <v>1755.68</v>
      </c>
      <c r="AC36" s="7">
        <v>2094.7719999999999</v>
      </c>
      <c r="AD36" s="7">
        <v>1705.5840000000001</v>
      </c>
      <c r="AE36" s="7">
        <v>2039.5050000000001</v>
      </c>
      <c r="AF36" s="7">
        <v>2306.5680000000002</v>
      </c>
      <c r="AG36" s="7">
        <v>2339.8449999999998</v>
      </c>
      <c r="AH36" s="7">
        <v>2241.788</v>
      </c>
      <c r="AI36" s="7">
        <v>2213.3159999999998</v>
      </c>
      <c r="AJ36" s="7">
        <v>1832.5740000000001</v>
      </c>
      <c r="AL36" s="6">
        <f t="shared" si="2"/>
        <v>2096.7440000000001</v>
      </c>
      <c r="AM36" s="6">
        <f t="shared" si="3"/>
        <v>80.602987216664545</v>
      </c>
    </row>
    <row r="37" spans="1:39" x14ac:dyDescent="0.2">
      <c r="A37" s="7">
        <v>33.75</v>
      </c>
      <c r="B37" s="7">
        <v>2165.56</v>
      </c>
      <c r="C37" s="7">
        <v>1672.002</v>
      </c>
      <c r="D37" s="7">
        <v>1588.5409999999999</v>
      </c>
      <c r="E37" s="7">
        <v>1946.297</v>
      </c>
      <c r="H37" s="7">
        <v>2190.049</v>
      </c>
      <c r="I37" s="7">
        <v>2576.123</v>
      </c>
      <c r="J37" s="7">
        <v>2229.2600000000002</v>
      </c>
      <c r="K37" s="7">
        <v>1978.7660000000001</v>
      </c>
      <c r="L37" s="7">
        <v>2620.6669999999999</v>
      </c>
      <c r="M37" s="7">
        <v>2477.83</v>
      </c>
      <c r="N37" s="7">
        <v>2085.761</v>
      </c>
      <c r="O37" s="7">
        <v>1993.597</v>
      </c>
      <c r="P37" s="7">
        <v>2786.0549999999998</v>
      </c>
      <c r="R37" s="5">
        <f t="shared" si="0"/>
        <v>2177.7313846153847</v>
      </c>
      <c r="S37" s="5">
        <f t="shared" si="1"/>
        <v>99.884559801106079</v>
      </c>
      <c r="U37" s="7">
        <v>33.75</v>
      </c>
      <c r="V37" s="7">
        <v>2382.04</v>
      </c>
      <c r="X37" s="7">
        <v>1701.8050000000001</v>
      </c>
      <c r="Y37" s="7">
        <v>2280.268</v>
      </c>
      <c r="Z37" s="7">
        <v>2224.29</v>
      </c>
      <c r="AA37" s="7">
        <v>2363.1970000000001</v>
      </c>
      <c r="AB37" s="7">
        <v>1757.3240000000001</v>
      </c>
      <c r="AC37" s="7">
        <v>2087.625</v>
      </c>
      <c r="AD37" s="7">
        <v>1716.3810000000001</v>
      </c>
      <c r="AE37" s="7">
        <v>2044.355</v>
      </c>
      <c r="AF37" s="7">
        <v>2317.6860000000001</v>
      </c>
      <c r="AG37" s="7">
        <v>2350.482</v>
      </c>
      <c r="AH37" s="7">
        <v>2243.4479999999999</v>
      </c>
      <c r="AI37" s="7">
        <v>2223.1329999999998</v>
      </c>
      <c r="AJ37" s="7">
        <v>1831.8630000000001</v>
      </c>
      <c r="AL37" s="6">
        <f t="shared" si="2"/>
        <v>2101.8716250000002</v>
      </c>
      <c r="AM37" s="6">
        <f t="shared" si="3"/>
        <v>81.080863742389525</v>
      </c>
    </row>
    <row r="38" spans="1:39" x14ac:dyDescent="0.2">
      <c r="A38" s="7">
        <v>35</v>
      </c>
      <c r="B38" s="7">
        <v>2124.8159999999998</v>
      </c>
      <c r="C38" s="7">
        <v>1638.085</v>
      </c>
      <c r="D38" s="7">
        <v>1564.731</v>
      </c>
      <c r="E38" s="7">
        <v>1927.317</v>
      </c>
      <c r="H38" s="7">
        <v>2153.8359999999998</v>
      </c>
      <c r="I38" s="7">
        <v>2540.62</v>
      </c>
      <c r="J38" s="7">
        <v>2202.1089999999999</v>
      </c>
      <c r="K38" s="7">
        <v>1933.922</v>
      </c>
      <c r="L38" s="7">
        <v>2590.0680000000002</v>
      </c>
      <c r="M38" s="7">
        <v>2438.4119999999998</v>
      </c>
      <c r="N38" s="7">
        <v>2048.3539999999998</v>
      </c>
      <c r="O38" s="7">
        <v>1951.2260000000001</v>
      </c>
      <c r="P38" s="7">
        <v>2742.694</v>
      </c>
      <c r="R38" s="5">
        <f t="shared" si="0"/>
        <v>2142.7838461538458</v>
      </c>
      <c r="S38" s="5">
        <f t="shared" si="1"/>
        <v>99.166915756927935</v>
      </c>
      <c r="U38" s="7">
        <v>35</v>
      </c>
      <c r="V38" s="7">
        <v>2341.3240000000001</v>
      </c>
      <c r="X38" s="7">
        <v>1662.6020000000001</v>
      </c>
      <c r="Y38" s="7">
        <v>2240.8530000000001</v>
      </c>
      <c r="Z38" s="7">
        <v>2170.328</v>
      </c>
      <c r="AA38" s="7">
        <v>2324.029</v>
      </c>
      <c r="AB38" s="7">
        <v>1728.694</v>
      </c>
      <c r="AC38" s="7">
        <v>2049.114</v>
      </c>
      <c r="AD38" s="7">
        <v>1694.8689999999999</v>
      </c>
      <c r="AE38" s="7">
        <v>2006.777</v>
      </c>
      <c r="AF38" s="7">
        <v>2289.8150000000001</v>
      </c>
      <c r="AG38" s="7">
        <v>2303.0450000000001</v>
      </c>
      <c r="AH38" s="7">
        <v>2198.556</v>
      </c>
      <c r="AI38" s="7">
        <v>2187.3510000000001</v>
      </c>
      <c r="AJ38" s="7">
        <v>1797.442</v>
      </c>
      <c r="AL38" s="6">
        <f t="shared" si="2"/>
        <v>2065.8711250000001</v>
      </c>
      <c r="AM38" s="6">
        <f t="shared" si="3"/>
        <v>79.308915793928406</v>
      </c>
    </row>
    <row r="39" spans="1:39" x14ac:dyDescent="0.2">
      <c r="A39" s="7">
        <v>36.25</v>
      </c>
      <c r="B39" s="7">
        <v>2003.9639999999999</v>
      </c>
      <c r="C39" s="7">
        <v>1551.443</v>
      </c>
      <c r="D39" s="7">
        <v>1480.5450000000001</v>
      </c>
      <c r="E39" s="7">
        <v>1833.6489999999999</v>
      </c>
      <c r="H39" s="7">
        <v>2030.54</v>
      </c>
      <c r="I39" s="7">
        <v>2420.828</v>
      </c>
      <c r="J39" s="7">
        <v>2090.8870000000002</v>
      </c>
      <c r="K39" s="7">
        <v>1839.1320000000001</v>
      </c>
      <c r="L39" s="7">
        <v>2464.9960000000001</v>
      </c>
      <c r="M39" s="7">
        <v>2318.5239999999999</v>
      </c>
      <c r="N39" s="7">
        <v>1941.7080000000001</v>
      </c>
      <c r="O39" s="7">
        <v>1844.548</v>
      </c>
      <c r="P39" s="7">
        <v>2598.9650000000001</v>
      </c>
      <c r="R39" s="5">
        <f t="shared" si="0"/>
        <v>2032.286846153846</v>
      </c>
      <c r="S39" s="5">
        <f t="shared" si="1"/>
        <v>94.778505315114984</v>
      </c>
      <c r="U39" s="7">
        <v>36.25</v>
      </c>
      <c r="V39" s="7">
        <v>2211.623</v>
      </c>
      <c r="X39" s="7">
        <v>1573.64</v>
      </c>
      <c r="Y39" s="7">
        <v>2110.7429999999999</v>
      </c>
      <c r="Z39" s="7">
        <v>2029.9069999999999</v>
      </c>
      <c r="AA39" s="7">
        <v>2201.808</v>
      </c>
      <c r="AB39" s="7">
        <v>1643.7570000000001</v>
      </c>
      <c r="AC39" s="7">
        <v>1932.857</v>
      </c>
      <c r="AD39" s="7">
        <v>1611.07</v>
      </c>
      <c r="AE39" s="7">
        <v>1899.4860000000001</v>
      </c>
      <c r="AF39" s="7">
        <v>2168.9879999999998</v>
      </c>
      <c r="AG39" s="7">
        <v>2183.4810000000002</v>
      </c>
      <c r="AH39" s="7">
        <v>2081.1880000000001</v>
      </c>
      <c r="AI39" s="7">
        <v>2063.7930000000001</v>
      </c>
      <c r="AJ39" s="7">
        <v>1709.2560000000001</v>
      </c>
      <c r="AL39" s="6">
        <f t="shared" si="2"/>
        <v>1956.2648749999998</v>
      </c>
      <c r="AM39" s="6">
        <f t="shared" si="3"/>
        <v>74.160905602624226</v>
      </c>
    </row>
    <row r="40" spans="1:39" x14ac:dyDescent="0.2">
      <c r="A40" s="7">
        <v>37.5</v>
      </c>
      <c r="B40" s="7">
        <v>1827.8119999999999</v>
      </c>
      <c r="C40" s="7">
        <v>1425.684</v>
      </c>
      <c r="D40" s="7">
        <v>1367.326</v>
      </c>
      <c r="E40" s="7">
        <v>1685.3530000000001</v>
      </c>
      <c r="H40" s="7">
        <v>1879.3040000000001</v>
      </c>
      <c r="I40" s="7">
        <v>2234.1289999999999</v>
      </c>
      <c r="J40" s="7">
        <v>1926.8720000000001</v>
      </c>
      <c r="K40" s="7">
        <v>1704.5219999999999</v>
      </c>
      <c r="L40" s="7">
        <v>2284.9839999999999</v>
      </c>
      <c r="M40" s="7">
        <v>2146.7330000000002</v>
      </c>
      <c r="N40" s="7">
        <v>1798.76</v>
      </c>
      <c r="O40" s="7">
        <v>1712.9860000000001</v>
      </c>
      <c r="P40" s="7">
        <v>2394.3069999999998</v>
      </c>
      <c r="R40" s="5">
        <f t="shared" si="0"/>
        <v>1876.0593846153847</v>
      </c>
      <c r="S40" s="5">
        <f t="shared" si="1"/>
        <v>87.78645468769713</v>
      </c>
      <c r="U40" s="7">
        <v>37.5</v>
      </c>
      <c r="V40" s="7">
        <v>2038.203</v>
      </c>
      <c r="X40" s="7">
        <v>1456.7650000000001</v>
      </c>
      <c r="Y40" s="7">
        <v>1954.2370000000001</v>
      </c>
      <c r="Z40" s="7">
        <v>1861.7280000000001</v>
      </c>
      <c r="AA40" s="7">
        <v>2045.8209999999999</v>
      </c>
      <c r="AB40" s="7">
        <v>1525.3989999999999</v>
      </c>
      <c r="AC40" s="7">
        <v>1782.258</v>
      </c>
      <c r="AD40" s="7">
        <v>1486.6279999999999</v>
      </c>
      <c r="AE40" s="7">
        <v>1758.787</v>
      </c>
      <c r="AF40" s="7">
        <v>1992.136</v>
      </c>
      <c r="AG40" s="7">
        <v>2026.914</v>
      </c>
      <c r="AH40" s="7">
        <v>1926.4269999999999</v>
      </c>
      <c r="AI40" s="7">
        <v>1898.942</v>
      </c>
      <c r="AJ40" s="7">
        <v>1583.5160000000001</v>
      </c>
      <c r="AL40" s="6">
        <f t="shared" si="2"/>
        <v>1806.951</v>
      </c>
      <c r="AM40" s="6">
        <f t="shared" si="3"/>
        <v>68.252891481135876</v>
      </c>
    </row>
    <row r="41" spans="1:39" x14ac:dyDescent="0.2">
      <c r="A41" s="7">
        <v>38.75</v>
      </c>
      <c r="B41" s="7">
        <v>1711.68</v>
      </c>
      <c r="C41" s="7">
        <v>1341.4570000000001</v>
      </c>
      <c r="D41" s="7">
        <v>1280.97</v>
      </c>
      <c r="E41" s="7">
        <v>1573.874</v>
      </c>
      <c r="H41" s="7">
        <v>1759.722</v>
      </c>
      <c r="I41" s="7">
        <v>2085.1750000000002</v>
      </c>
      <c r="J41" s="7">
        <v>1797.5530000000001</v>
      </c>
      <c r="K41" s="7">
        <v>1588.989</v>
      </c>
      <c r="L41" s="7">
        <v>2134.9940000000001</v>
      </c>
      <c r="M41" s="7">
        <v>2008.1379999999999</v>
      </c>
      <c r="N41" s="7">
        <v>1685.7529999999999</v>
      </c>
      <c r="O41" s="7">
        <v>1606.7560000000001</v>
      </c>
      <c r="P41" s="7">
        <v>2220.4670000000001</v>
      </c>
      <c r="R41" s="5">
        <f t="shared" si="0"/>
        <v>1753.502153846154</v>
      </c>
      <c r="S41" s="5">
        <f t="shared" si="1"/>
        <v>80.888092271157248</v>
      </c>
      <c r="U41" s="7">
        <v>38.75</v>
      </c>
      <c r="V41" s="7">
        <v>1910.01</v>
      </c>
      <c r="X41" s="7">
        <v>1360.309</v>
      </c>
      <c r="Y41" s="7">
        <v>1855.2719999999999</v>
      </c>
      <c r="Z41" s="7">
        <v>1743.8920000000001</v>
      </c>
      <c r="AA41" s="7">
        <v>1917.3219999999999</v>
      </c>
      <c r="AB41" s="7">
        <v>1423.8989999999999</v>
      </c>
      <c r="AC41" s="7">
        <v>1633.778</v>
      </c>
      <c r="AD41" s="7">
        <v>1387.086</v>
      </c>
      <c r="AE41" s="7">
        <v>1644.6849999999999</v>
      </c>
      <c r="AF41" s="7">
        <v>1860.3440000000001</v>
      </c>
      <c r="AG41" s="7">
        <v>1897.86</v>
      </c>
      <c r="AH41" s="7">
        <v>1807.039</v>
      </c>
      <c r="AI41" s="7">
        <v>1767.62</v>
      </c>
      <c r="AJ41" s="7">
        <v>1472.5250000000001</v>
      </c>
      <c r="AL41" s="6">
        <f t="shared" si="2"/>
        <v>1683.867125</v>
      </c>
      <c r="AM41" s="6">
        <f t="shared" si="3"/>
        <v>64.90536822131314</v>
      </c>
    </row>
    <row r="42" spans="1:39" x14ac:dyDescent="0.2">
      <c r="A42" s="7">
        <v>40</v>
      </c>
      <c r="B42" s="7">
        <v>1638.1010000000001</v>
      </c>
      <c r="C42" s="7">
        <v>1287.7550000000001</v>
      </c>
      <c r="D42" s="7">
        <v>1220.739</v>
      </c>
      <c r="E42" s="7">
        <v>1519.23</v>
      </c>
      <c r="H42" s="7">
        <v>1694.414</v>
      </c>
      <c r="I42" s="7">
        <v>2000.319</v>
      </c>
      <c r="J42" s="7">
        <v>1723.008</v>
      </c>
      <c r="K42" s="7">
        <v>1525.7940000000001</v>
      </c>
      <c r="L42" s="7">
        <v>2042.731</v>
      </c>
      <c r="M42" s="7">
        <v>1931.1869999999999</v>
      </c>
      <c r="N42" s="7">
        <v>1611.8219999999999</v>
      </c>
      <c r="O42" s="7">
        <v>1536.502</v>
      </c>
      <c r="P42" s="7">
        <v>2117.34</v>
      </c>
      <c r="R42" s="5">
        <f t="shared" si="0"/>
        <v>1680.6878461538461</v>
      </c>
      <c r="S42" s="5">
        <f t="shared" si="1"/>
        <v>77.293532120761384</v>
      </c>
      <c r="U42" s="7">
        <v>40</v>
      </c>
      <c r="V42" s="7">
        <v>1828.2570000000001</v>
      </c>
      <c r="X42" s="7">
        <v>1298.6420000000001</v>
      </c>
      <c r="Y42" s="7">
        <v>1778.625</v>
      </c>
      <c r="Z42" s="7">
        <v>1676.97</v>
      </c>
      <c r="AA42" s="7">
        <v>1827.21</v>
      </c>
      <c r="AB42" s="7">
        <v>1360.9590000000001</v>
      </c>
      <c r="AC42" s="7">
        <v>1559.021</v>
      </c>
      <c r="AD42" s="7">
        <v>1326.278</v>
      </c>
      <c r="AE42" s="7">
        <v>1572.604</v>
      </c>
      <c r="AF42" s="7">
        <v>1779.183</v>
      </c>
      <c r="AG42" s="7">
        <v>1801.48</v>
      </c>
      <c r="AH42" s="7">
        <v>1728.65</v>
      </c>
      <c r="AI42" s="7">
        <v>1706.1659999999999</v>
      </c>
      <c r="AJ42" s="7">
        <v>1398.97</v>
      </c>
      <c r="AL42" s="6">
        <f t="shared" si="2"/>
        <v>1609.0439999999999</v>
      </c>
      <c r="AM42" s="6">
        <f t="shared" si="3"/>
        <v>62.340516791994446</v>
      </c>
    </row>
    <row r="43" spans="1:39" x14ac:dyDescent="0.2">
      <c r="A43" s="7">
        <v>41.25</v>
      </c>
      <c r="B43" s="7">
        <v>1581.818</v>
      </c>
      <c r="C43" s="7">
        <v>1245.933</v>
      </c>
      <c r="D43" s="7">
        <v>1189.7929999999999</v>
      </c>
      <c r="E43" s="7">
        <v>1492.662</v>
      </c>
      <c r="H43" s="7">
        <v>1658.277</v>
      </c>
      <c r="I43" s="7">
        <v>1954.444</v>
      </c>
      <c r="J43" s="7">
        <v>1685.595</v>
      </c>
      <c r="K43" s="7">
        <v>1501.2570000000001</v>
      </c>
      <c r="L43" s="7">
        <v>1988.444</v>
      </c>
      <c r="M43" s="7">
        <v>1892.329</v>
      </c>
      <c r="N43" s="7">
        <v>1575.433</v>
      </c>
      <c r="O43" s="7">
        <v>1499.3330000000001</v>
      </c>
      <c r="P43" s="7">
        <v>2062.8240000000001</v>
      </c>
      <c r="R43" s="5">
        <f t="shared" si="0"/>
        <v>1640.6263076923074</v>
      </c>
      <c r="S43" s="5">
        <f t="shared" si="1"/>
        <v>75.592559156731852</v>
      </c>
      <c r="U43" s="7">
        <v>41.25</v>
      </c>
      <c r="V43" s="7">
        <v>1776.8019999999999</v>
      </c>
      <c r="X43" s="7">
        <v>1261.1890000000001</v>
      </c>
      <c r="Y43" s="7">
        <v>1744.3389999999999</v>
      </c>
      <c r="Z43" s="7">
        <v>1624.4639999999999</v>
      </c>
      <c r="AA43" s="7">
        <v>1788.2149999999999</v>
      </c>
      <c r="AB43" s="7">
        <v>1334.44</v>
      </c>
      <c r="AC43" s="7">
        <v>1522.0709999999999</v>
      </c>
      <c r="AD43" s="7">
        <v>1299.9359999999999</v>
      </c>
      <c r="AE43" s="7">
        <v>1530.1769999999999</v>
      </c>
      <c r="AF43" s="7">
        <v>1732.6469999999999</v>
      </c>
      <c r="AG43" s="7">
        <v>1753.954</v>
      </c>
      <c r="AH43" s="7">
        <v>1688.4380000000001</v>
      </c>
      <c r="AI43" s="7">
        <v>1683.15</v>
      </c>
      <c r="AJ43" s="7">
        <v>1365.278</v>
      </c>
      <c r="AL43" s="6">
        <f t="shared" si="2"/>
        <v>1571.9563749999998</v>
      </c>
      <c r="AM43" s="6">
        <f t="shared" si="3"/>
        <v>60.624975050639968</v>
      </c>
    </row>
    <row r="44" spans="1:39" x14ac:dyDescent="0.2">
      <c r="A44" s="7">
        <v>42.5</v>
      </c>
      <c r="B44" s="7">
        <v>1549.0229999999999</v>
      </c>
      <c r="C44" s="7">
        <v>1222.7619999999999</v>
      </c>
      <c r="D44" s="7">
        <v>1177.9349999999999</v>
      </c>
      <c r="E44" s="7">
        <v>1483.501</v>
      </c>
      <c r="H44" s="7">
        <v>1629.298</v>
      </c>
      <c r="I44" s="7">
        <v>1933.989</v>
      </c>
      <c r="J44" s="7">
        <v>1663.711</v>
      </c>
      <c r="K44" s="7">
        <v>1489.4390000000001</v>
      </c>
      <c r="L44" s="7">
        <v>1962.0619999999999</v>
      </c>
      <c r="M44" s="7">
        <v>1866.1890000000001</v>
      </c>
      <c r="N44" s="7">
        <v>1557.4169999999999</v>
      </c>
      <c r="O44" s="7">
        <v>1485.473</v>
      </c>
      <c r="P44" s="7">
        <v>2040.0250000000001</v>
      </c>
      <c r="R44" s="5">
        <f t="shared" si="0"/>
        <v>1620.0633846153846</v>
      </c>
      <c r="S44" s="5">
        <f t="shared" si="1"/>
        <v>74.703349440280334</v>
      </c>
      <c r="U44" s="7">
        <v>42.5</v>
      </c>
      <c r="V44" s="7">
        <v>1743.942</v>
      </c>
      <c r="X44" s="7">
        <v>1250.905</v>
      </c>
      <c r="Y44" s="7">
        <v>1708.2719999999999</v>
      </c>
      <c r="Z44" s="7">
        <v>1607.0160000000001</v>
      </c>
      <c r="AA44" s="7">
        <v>1780.384</v>
      </c>
      <c r="AB44" s="7">
        <v>1316.1</v>
      </c>
      <c r="AC44" s="7">
        <v>1502.425</v>
      </c>
      <c r="AD44" s="7">
        <v>1286.845</v>
      </c>
      <c r="AE44" s="7">
        <v>1506.568</v>
      </c>
      <c r="AF44" s="7">
        <v>1715.404</v>
      </c>
      <c r="AG44" s="7">
        <v>1738.3810000000001</v>
      </c>
      <c r="AH44" s="7">
        <v>1668.4110000000001</v>
      </c>
      <c r="AI44" s="7">
        <v>1648.1320000000001</v>
      </c>
      <c r="AJ44" s="7">
        <v>1350.4659999999999</v>
      </c>
      <c r="AL44" s="6">
        <f t="shared" si="2"/>
        <v>1552.079</v>
      </c>
      <c r="AM44" s="6">
        <f t="shared" si="3"/>
        <v>59.713071556521619</v>
      </c>
    </row>
    <row r="45" spans="1:39" x14ac:dyDescent="0.2">
      <c r="A45" s="7">
        <v>43.75</v>
      </c>
      <c r="B45" s="7">
        <v>1547.6880000000001</v>
      </c>
      <c r="C45" s="7">
        <v>1211.942</v>
      </c>
      <c r="D45" s="7">
        <v>1175.838</v>
      </c>
      <c r="E45" s="7">
        <v>1482.5730000000001</v>
      </c>
      <c r="H45" s="7">
        <v>1616.5119999999999</v>
      </c>
      <c r="I45" s="7">
        <v>1934.883</v>
      </c>
      <c r="J45" s="7">
        <v>1660.15</v>
      </c>
      <c r="K45" s="7">
        <v>1485.1590000000001</v>
      </c>
      <c r="L45" s="7">
        <v>1952.694</v>
      </c>
      <c r="M45" s="7">
        <v>1856.2929999999999</v>
      </c>
      <c r="N45" s="7">
        <v>1550.4</v>
      </c>
      <c r="O45" s="7">
        <v>1486.5050000000001</v>
      </c>
      <c r="P45" s="7">
        <v>2044.848</v>
      </c>
      <c r="R45" s="5">
        <f t="shared" si="0"/>
        <v>1615.8065384615386</v>
      </c>
      <c r="S45" s="5">
        <f t="shared" si="1"/>
        <v>74.949383687157692</v>
      </c>
      <c r="U45" s="7">
        <v>43.75</v>
      </c>
      <c r="V45" s="7">
        <v>1730.8589999999999</v>
      </c>
      <c r="X45" s="7">
        <v>1259.701</v>
      </c>
      <c r="Y45" s="7">
        <v>1706.184</v>
      </c>
      <c r="Z45" s="7">
        <v>1614.0809999999999</v>
      </c>
      <c r="AA45" s="7">
        <v>1774.1980000000001</v>
      </c>
      <c r="AB45" s="7">
        <v>1313.54</v>
      </c>
      <c r="AC45" s="7">
        <v>1532.752</v>
      </c>
      <c r="AD45" s="7">
        <v>1283.6780000000001</v>
      </c>
      <c r="AE45" s="7">
        <v>1491.876</v>
      </c>
      <c r="AF45" s="7">
        <v>1705.8009999999999</v>
      </c>
      <c r="AG45" s="7">
        <v>1741.018</v>
      </c>
      <c r="AH45" s="7">
        <v>1658.6410000000001</v>
      </c>
      <c r="AI45" s="7">
        <v>1631.7439999999999</v>
      </c>
      <c r="AJ45" s="7">
        <v>1349.23</v>
      </c>
      <c r="AL45" s="6">
        <f t="shared" si="2"/>
        <v>1549.3425</v>
      </c>
      <c r="AM45" s="6">
        <f t="shared" si="3"/>
        <v>58.881723358296057</v>
      </c>
    </row>
    <row r="46" spans="1:39" x14ac:dyDescent="0.2">
      <c r="A46" s="7">
        <v>45</v>
      </c>
      <c r="B46" s="7">
        <v>1562.3130000000001</v>
      </c>
      <c r="C46" s="7">
        <v>1237.374</v>
      </c>
      <c r="D46" s="7">
        <v>1200.6659999999999</v>
      </c>
      <c r="E46" s="7">
        <v>1480.1210000000001</v>
      </c>
      <c r="H46" s="7">
        <v>1637.24</v>
      </c>
      <c r="I46" s="7">
        <v>1948.7919999999999</v>
      </c>
      <c r="J46" s="7">
        <v>1674.1179999999999</v>
      </c>
      <c r="K46" s="7">
        <v>1499.2529999999999</v>
      </c>
      <c r="L46" s="7">
        <v>1960.4970000000001</v>
      </c>
      <c r="M46" s="7">
        <v>1886.163</v>
      </c>
      <c r="N46" s="7">
        <v>1558.511</v>
      </c>
      <c r="O46" s="7">
        <v>1491.7819999999999</v>
      </c>
      <c r="P46" s="7">
        <v>2062.1640000000002</v>
      </c>
      <c r="R46" s="5">
        <f t="shared" si="0"/>
        <v>1630.691846153846</v>
      </c>
      <c r="S46" s="5">
        <f t="shared" si="1"/>
        <v>74.767682047831954</v>
      </c>
      <c r="U46" s="7">
        <v>45</v>
      </c>
      <c r="V46" s="7">
        <v>1742.6890000000001</v>
      </c>
      <c r="X46" s="7">
        <v>1286.7090000000001</v>
      </c>
      <c r="Y46" s="7">
        <v>1724.634</v>
      </c>
      <c r="Z46" s="7">
        <v>1654.672</v>
      </c>
      <c r="AA46" s="7">
        <v>1789.9659999999999</v>
      </c>
      <c r="AB46" s="7">
        <v>1324.4760000000001</v>
      </c>
      <c r="AC46" s="7">
        <v>1553.6210000000001</v>
      </c>
      <c r="AD46" s="7">
        <v>1293.8900000000001</v>
      </c>
      <c r="AE46" s="7">
        <v>1507.3019999999999</v>
      </c>
      <c r="AF46" s="7">
        <v>1717.556</v>
      </c>
      <c r="AG46" s="7">
        <v>1752.415</v>
      </c>
      <c r="AH46" s="7">
        <v>1666.597</v>
      </c>
      <c r="AI46" s="7">
        <v>1647.2080000000001</v>
      </c>
      <c r="AJ46" s="7">
        <v>1360.8130000000001</v>
      </c>
      <c r="AL46" s="6">
        <f t="shared" si="2"/>
        <v>1562.4252500000002</v>
      </c>
      <c r="AM46" s="6">
        <f t="shared" si="3"/>
        <v>58.869754884269113</v>
      </c>
    </row>
    <row r="47" spans="1:39" x14ac:dyDescent="0.2">
      <c r="A47" s="7">
        <v>46.25</v>
      </c>
      <c r="B47" s="7">
        <v>1616.9670000000001</v>
      </c>
      <c r="C47" s="7">
        <v>1287.0809999999999</v>
      </c>
      <c r="D47" s="7">
        <v>1232.662</v>
      </c>
      <c r="E47" s="7">
        <v>1505.124</v>
      </c>
      <c r="H47" s="7">
        <v>1682.145</v>
      </c>
      <c r="I47" s="7">
        <v>1997.8520000000001</v>
      </c>
      <c r="J47" s="7">
        <v>1726.3820000000001</v>
      </c>
      <c r="K47" s="7">
        <v>1552.8989999999999</v>
      </c>
      <c r="L47" s="7">
        <v>1996.002</v>
      </c>
      <c r="M47" s="7">
        <v>1960.413</v>
      </c>
      <c r="N47" s="7">
        <v>1581.367</v>
      </c>
      <c r="O47" s="7">
        <v>1536.8520000000001</v>
      </c>
      <c r="P47" s="7">
        <v>2134.6869999999999</v>
      </c>
      <c r="R47" s="5">
        <f t="shared" si="0"/>
        <v>1677.7256153846151</v>
      </c>
      <c r="S47" s="5">
        <f t="shared" si="1"/>
        <v>76.952091519912528</v>
      </c>
      <c r="U47" s="7">
        <v>46.25</v>
      </c>
      <c r="V47" s="7">
        <v>1786.3920000000001</v>
      </c>
      <c r="X47" s="7">
        <v>1325.663</v>
      </c>
      <c r="Y47" s="7">
        <v>1767.1759999999999</v>
      </c>
      <c r="Z47" s="7">
        <v>1717.2650000000001</v>
      </c>
      <c r="AA47" s="7">
        <v>1828.9480000000001</v>
      </c>
      <c r="AB47" s="7">
        <v>1355.4</v>
      </c>
      <c r="AC47" s="7">
        <v>1614.7439999999999</v>
      </c>
      <c r="AD47" s="7">
        <v>1312.095</v>
      </c>
      <c r="AE47" s="7">
        <v>1551.7629999999999</v>
      </c>
      <c r="AF47" s="7">
        <v>1754.6389999999999</v>
      </c>
      <c r="AG47" s="7">
        <v>1792.0740000000001</v>
      </c>
      <c r="AH47" s="7">
        <v>1703.1410000000001</v>
      </c>
      <c r="AI47" s="7">
        <v>1697.3119999999999</v>
      </c>
      <c r="AJ47" s="7">
        <v>1390.0740000000001</v>
      </c>
      <c r="AL47" s="6">
        <f t="shared" si="2"/>
        <v>1601.9802500000001</v>
      </c>
      <c r="AM47" s="6">
        <f t="shared" si="3"/>
        <v>61.293260248738662</v>
      </c>
    </row>
    <row r="48" spans="1:39" x14ac:dyDescent="0.2">
      <c r="A48" s="7">
        <v>47.5</v>
      </c>
      <c r="B48" s="7">
        <v>1686.0840000000001</v>
      </c>
      <c r="C48" s="7">
        <v>1342.932</v>
      </c>
      <c r="D48" s="7">
        <v>1289.1079999999999</v>
      </c>
      <c r="E48" s="7">
        <v>1565.7639999999999</v>
      </c>
      <c r="H48" s="7">
        <v>1750.37</v>
      </c>
      <c r="I48" s="7">
        <v>2060.9340000000002</v>
      </c>
      <c r="J48" s="7">
        <v>1801.287</v>
      </c>
      <c r="K48" s="7">
        <v>1625.3109999999999</v>
      </c>
      <c r="L48" s="7">
        <v>2056.9059999999999</v>
      </c>
      <c r="M48" s="7">
        <v>2046.8</v>
      </c>
      <c r="N48" s="7">
        <v>1639.038</v>
      </c>
      <c r="O48" s="7">
        <v>1600.0129999999999</v>
      </c>
      <c r="P48" s="7">
        <v>2232.9769999999999</v>
      </c>
      <c r="R48" s="5">
        <f t="shared" si="0"/>
        <v>1745.9633846153845</v>
      </c>
      <c r="S48" s="5">
        <f t="shared" si="1"/>
        <v>79.306161808940757</v>
      </c>
      <c r="U48" s="7">
        <v>47.5</v>
      </c>
      <c r="V48" s="7">
        <v>1852.702</v>
      </c>
      <c r="X48" s="7">
        <v>1382.3879999999999</v>
      </c>
      <c r="Y48" s="7">
        <v>1846.89</v>
      </c>
      <c r="Z48" s="7">
        <v>1785.029</v>
      </c>
      <c r="AA48" s="7">
        <v>1896.962</v>
      </c>
      <c r="AB48" s="7">
        <v>1402.402</v>
      </c>
      <c r="AC48" s="7">
        <v>1708.8969999999999</v>
      </c>
      <c r="AD48" s="7">
        <v>1356.741</v>
      </c>
      <c r="AE48" s="7">
        <v>1604.71</v>
      </c>
      <c r="AF48" s="7">
        <v>1822.3989999999999</v>
      </c>
      <c r="AG48" s="7">
        <v>1858.7460000000001</v>
      </c>
      <c r="AH48" s="7">
        <v>1769.4459999999999</v>
      </c>
      <c r="AI48" s="7">
        <v>1788.6510000000001</v>
      </c>
      <c r="AJ48" s="7">
        <v>1440.5</v>
      </c>
      <c r="AL48" s="6">
        <f t="shared" si="2"/>
        <v>1668.7612499999998</v>
      </c>
      <c r="AM48" s="6">
        <f t="shared" si="3"/>
        <v>65.381164037663012</v>
      </c>
    </row>
    <row r="49" spans="1:39" x14ac:dyDescent="0.2">
      <c r="A49" s="7">
        <v>48.75</v>
      </c>
      <c r="B49" s="7">
        <v>1763.9770000000001</v>
      </c>
      <c r="C49" s="7">
        <v>1399.989</v>
      </c>
      <c r="D49" s="7">
        <v>1331.915</v>
      </c>
      <c r="E49" s="7">
        <v>1650.16</v>
      </c>
      <c r="H49" s="7">
        <v>1824.22</v>
      </c>
      <c r="I49" s="7">
        <v>2130.9650000000001</v>
      </c>
      <c r="J49" s="7">
        <v>1886.134</v>
      </c>
      <c r="K49" s="7">
        <v>1695.925</v>
      </c>
      <c r="L49" s="7">
        <v>2133.4609999999998</v>
      </c>
      <c r="M49" s="7">
        <v>2135.3820000000001</v>
      </c>
      <c r="N49" s="7">
        <v>1715.3520000000001</v>
      </c>
      <c r="O49" s="7">
        <v>1659.508</v>
      </c>
      <c r="P49" s="7">
        <v>2311.962</v>
      </c>
      <c r="R49" s="5">
        <f t="shared" si="0"/>
        <v>1818.3807692307694</v>
      </c>
      <c r="S49" s="5">
        <f t="shared" si="1"/>
        <v>81.631236783378483</v>
      </c>
      <c r="U49" s="7">
        <v>48.75</v>
      </c>
      <c r="V49" s="7">
        <v>1937.318</v>
      </c>
      <c r="X49" s="7">
        <v>1439.546</v>
      </c>
      <c r="Y49" s="7">
        <v>1948.4480000000001</v>
      </c>
      <c r="Z49" s="7">
        <v>1875.395</v>
      </c>
      <c r="AA49" s="7">
        <v>1987.0820000000001</v>
      </c>
      <c r="AB49" s="7">
        <v>1468.9839999999999</v>
      </c>
      <c r="AC49" s="7">
        <v>1780.3589999999999</v>
      </c>
      <c r="AD49" s="7">
        <v>1414.518</v>
      </c>
      <c r="AE49" s="7">
        <v>1661.5730000000001</v>
      </c>
      <c r="AF49" s="7">
        <v>1895.6089999999999</v>
      </c>
      <c r="AG49" s="7">
        <v>1932.9269999999999</v>
      </c>
      <c r="AH49" s="7">
        <v>1852.874</v>
      </c>
      <c r="AI49" s="7">
        <v>1879.943</v>
      </c>
      <c r="AJ49" s="7">
        <v>1495.732</v>
      </c>
      <c r="AL49" s="6">
        <f t="shared" si="2"/>
        <v>1739.1918749999998</v>
      </c>
      <c r="AM49" s="6">
        <f t="shared" si="3"/>
        <v>69.067691713699034</v>
      </c>
    </row>
    <row r="50" spans="1:39" x14ac:dyDescent="0.2">
      <c r="A50" s="7">
        <v>50</v>
      </c>
      <c r="B50" s="7">
        <v>1825.1759999999999</v>
      </c>
      <c r="C50" s="7">
        <v>1443.854</v>
      </c>
      <c r="D50" s="7">
        <v>1373.402</v>
      </c>
      <c r="E50" s="7">
        <v>1716.39</v>
      </c>
      <c r="H50" s="7">
        <v>1890.289</v>
      </c>
      <c r="I50" s="7">
        <v>2211.319</v>
      </c>
      <c r="J50" s="7">
        <v>1943.239</v>
      </c>
      <c r="K50" s="7">
        <v>1753.317</v>
      </c>
      <c r="L50" s="7">
        <v>2206.3000000000002</v>
      </c>
      <c r="M50" s="7">
        <v>2208.5770000000002</v>
      </c>
      <c r="N50" s="7">
        <v>1789.807</v>
      </c>
      <c r="O50" s="7">
        <v>1714.694</v>
      </c>
      <c r="P50" s="7">
        <v>2389.8719999999998</v>
      </c>
      <c r="R50" s="5">
        <f t="shared" si="0"/>
        <v>1882.0181538461538</v>
      </c>
      <c r="S50" s="5">
        <f t="shared" si="1"/>
        <v>84.594680714209531</v>
      </c>
      <c r="U50" s="7">
        <v>50</v>
      </c>
      <c r="V50" s="7">
        <v>1993.7550000000001</v>
      </c>
      <c r="X50" s="7">
        <v>1477.625</v>
      </c>
      <c r="Y50" s="7">
        <v>2012.2249999999999</v>
      </c>
      <c r="Z50" s="7">
        <v>1934.519</v>
      </c>
      <c r="AA50" s="7">
        <v>2058.4160000000002</v>
      </c>
      <c r="AB50" s="7">
        <v>1524.8309999999999</v>
      </c>
      <c r="AC50" s="7">
        <v>1830.57</v>
      </c>
      <c r="AD50" s="7">
        <v>1460.2</v>
      </c>
      <c r="AE50" s="7">
        <v>1712.191</v>
      </c>
      <c r="AF50" s="7">
        <v>1952.7650000000001</v>
      </c>
      <c r="AG50" s="7">
        <v>2010.729</v>
      </c>
      <c r="AH50" s="7">
        <v>1929.4280000000001</v>
      </c>
      <c r="AI50" s="7">
        <v>1936.213</v>
      </c>
      <c r="AJ50" s="7">
        <v>1547.605</v>
      </c>
      <c r="AL50" s="6">
        <f t="shared" si="2"/>
        <v>1797.4626249999999</v>
      </c>
      <c r="AM50" s="6">
        <f t="shared" si="3"/>
        <v>72.06274057695947</v>
      </c>
    </row>
    <row r="51" spans="1:39" x14ac:dyDescent="0.2">
      <c r="A51" s="7">
        <v>51.25</v>
      </c>
      <c r="B51" s="7">
        <v>1869.653</v>
      </c>
      <c r="C51" s="7">
        <v>1476.615</v>
      </c>
      <c r="D51" s="7">
        <v>1413.4269999999999</v>
      </c>
      <c r="E51" s="7">
        <v>1753.386</v>
      </c>
      <c r="H51" s="7">
        <v>1945.623</v>
      </c>
      <c r="I51" s="7">
        <v>2279.578</v>
      </c>
      <c r="J51" s="7">
        <v>1974.893</v>
      </c>
      <c r="K51" s="7">
        <v>1787.06</v>
      </c>
      <c r="L51" s="7">
        <v>2281.7710000000002</v>
      </c>
      <c r="M51" s="7">
        <v>2262.0010000000002</v>
      </c>
      <c r="N51" s="7">
        <v>1838.6669999999999</v>
      </c>
      <c r="O51" s="7">
        <v>1759.7929999999999</v>
      </c>
      <c r="P51" s="7">
        <v>2461.5459999999998</v>
      </c>
      <c r="R51" s="5">
        <f t="shared" si="0"/>
        <v>1931.0779230769231</v>
      </c>
      <c r="S51" s="5">
        <f t="shared" si="1"/>
        <v>87.92266614288134</v>
      </c>
      <c r="U51" s="7">
        <v>51.25</v>
      </c>
      <c r="V51" s="7">
        <v>2032.33</v>
      </c>
      <c r="X51" s="7">
        <v>1497.848</v>
      </c>
      <c r="Y51" s="7">
        <v>2034.748</v>
      </c>
      <c r="Z51" s="7">
        <v>1982.7329999999999</v>
      </c>
      <c r="AA51" s="7">
        <v>2094.2600000000002</v>
      </c>
      <c r="AB51" s="7">
        <v>1563.0809999999999</v>
      </c>
      <c r="AC51" s="7">
        <v>1856.5419999999999</v>
      </c>
      <c r="AD51" s="7">
        <v>1500.808</v>
      </c>
      <c r="AE51" s="7">
        <v>1747.1880000000001</v>
      </c>
      <c r="AF51" s="7">
        <v>2008.1110000000001</v>
      </c>
      <c r="AG51" s="7">
        <v>2067.25</v>
      </c>
      <c r="AH51" s="7">
        <v>1979.203</v>
      </c>
      <c r="AI51" s="7">
        <v>1984.317</v>
      </c>
      <c r="AJ51" s="7">
        <v>1589.107</v>
      </c>
      <c r="AL51" s="6">
        <f t="shared" si="2"/>
        <v>1841.5657500000002</v>
      </c>
      <c r="AM51" s="6">
        <f t="shared" si="3"/>
        <v>74.038521025435941</v>
      </c>
    </row>
    <row r="52" spans="1:39" x14ac:dyDescent="0.2">
      <c r="A52" s="7">
        <v>52.5</v>
      </c>
      <c r="B52" s="7">
        <v>1898.6130000000001</v>
      </c>
      <c r="C52" s="7">
        <v>1485.5519999999999</v>
      </c>
      <c r="D52" s="7">
        <v>1436.663</v>
      </c>
      <c r="E52" s="7">
        <v>1770.0519999999999</v>
      </c>
      <c r="H52" s="7">
        <v>1970.8119999999999</v>
      </c>
      <c r="I52" s="7">
        <v>2323.6439999999998</v>
      </c>
      <c r="J52" s="7">
        <v>1990.5329999999999</v>
      </c>
      <c r="K52" s="7">
        <v>1796.174</v>
      </c>
      <c r="L52" s="7">
        <v>2334.009</v>
      </c>
      <c r="M52" s="7">
        <v>2297.7449999999999</v>
      </c>
      <c r="N52" s="7">
        <v>1857.3340000000001</v>
      </c>
      <c r="O52" s="7">
        <v>1764.6130000000001</v>
      </c>
      <c r="P52" s="7">
        <v>2484.721</v>
      </c>
      <c r="R52" s="5">
        <f t="shared" si="0"/>
        <v>1954.6511538461536</v>
      </c>
      <c r="S52" s="5">
        <f t="shared" si="1"/>
        <v>90.461325049880841</v>
      </c>
      <c r="U52" s="7">
        <v>52.5</v>
      </c>
      <c r="V52" s="7">
        <v>2060.5050000000001</v>
      </c>
      <c r="X52" s="7">
        <v>1502.058</v>
      </c>
      <c r="Y52" s="7">
        <v>2035.3440000000001</v>
      </c>
      <c r="Z52" s="7">
        <v>2013.71</v>
      </c>
      <c r="AA52" s="7">
        <v>2103.77</v>
      </c>
      <c r="AB52" s="7">
        <v>1583.354</v>
      </c>
      <c r="AC52" s="7">
        <v>1869.133</v>
      </c>
      <c r="AD52" s="7">
        <v>1528.0150000000001</v>
      </c>
      <c r="AE52" s="7">
        <v>1769.365</v>
      </c>
      <c r="AF52" s="7">
        <v>2038.932</v>
      </c>
      <c r="AG52" s="7">
        <v>2101.2310000000002</v>
      </c>
      <c r="AH52" s="7">
        <v>2006.3109999999999</v>
      </c>
      <c r="AI52" s="7">
        <v>2003.452</v>
      </c>
      <c r="AJ52" s="7">
        <v>1618.5619999999999</v>
      </c>
      <c r="AL52" s="6">
        <f t="shared" si="2"/>
        <v>1866.8751249999998</v>
      </c>
      <c r="AM52" s="6">
        <f t="shared" si="3"/>
        <v>74.23668293790405</v>
      </c>
    </row>
    <row r="53" spans="1:39" x14ac:dyDescent="0.2">
      <c r="A53" s="7">
        <v>53.75</v>
      </c>
      <c r="B53" s="7">
        <v>1881.2760000000001</v>
      </c>
      <c r="C53" s="7">
        <v>1484.269</v>
      </c>
      <c r="D53" s="7">
        <v>1433.8340000000001</v>
      </c>
      <c r="E53" s="7">
        <v>1755.4960000000001</v>
      </c>
      <c r="H53" s="7">
        <v>1943.7339999999999</v>
      </c>
      <c r="I53" s="7">
        <v>2302.5410000000002</v>
      </c>
      <c r="J53" s="7">
        <v>1960.67</v>
      </c>
      <c r="K53" s="7">
        <v>1767.8389999999999</v>
      </c>
      <c r="L53" s="7">
        <v>2318.4250000000002</v>
      </c>
      <c r="M53" s="7">
        <v>2317.4630000000002</v>
      </c>
      <c r="N53" s="7">
        <v>1832.1279999999999</v>
      </c>
      <c r="O53" s="7">
        <v>1734.098</v>
      </c>
      <c r="P53" s="7">
        <v>2452.473</v>
      </c>
      <c r="R53" s="5">
        <f t="shared" si="0"/>
        <v>1937.2496923076922</v>
      </c>
      <c r="S53" s="5">
        <f t="shared" si="1"/>
        <v>90.055097685149406</v>
      </c>
      <c r="U53" s="7">
        <v>53.75</v>
      </c>
      <c r="V53" s="7">
        <v>2056.4659999999999</v>
      </c>
      <c r="X53" s="7">
        <v>1487.981</v>
      </c>
      <c r="Y53" s="7">
        <v>2014.972</v>
      </c>
      <c r="Z53" s="7">
        <v>1997.49</v>
      </c>
      <c r="AA53" s="7">
        <v>2089.9270000000001</v>
      </c>
      <c r="AB53" s="7">
        <v>1576.251</v>
      </c>
      <c r="AC53" s="7">
        <v>1846.1859999999999</v>
      </c>
      <c r="AD53" s="7">
        <v>1515.4369999999999</v>
      </c>
      <c r="AE53" s="7">
        <v>1753.5730000000001</v>
      </c>
      <c r="AF53" s="7">
        <v>2035.5409999999999</v>
      </c>
      <c r="AG53" s="7">
        <v>2089.7829999999999</v>
      </c>
      <c r="AH53" s="7">
        <v>1993.0709999999999</v>
      </c>
      <c r="AI53" s="7">
        <v>1980.127</v>
      </c>
      <c r="AJ53" s="7">
        <v>1616.5719999999999</v>
      </c>
      <c r="AL53" s="6">
        <f t="shared" si="2"/>
        <v>1853.7862500000001</v>
      </c>
      <c r="AM53" s="6">
        <f t="shared" si="3"/>
        <v>73.792996728480844</v>
      </c>
    </row>
    <row r="54" spans="1:39" x14ac:dyDescent="0.2">
      <c r="A54" s="7">
        <v>55</v>
      </c>
      <c r="B54" s="7">
        <v>1818.9169999999999</v>
      </c>
      <c r="C54" s="7">
        <v>1454.585</v>
      </c>
      <c r="D54" s="7">
        <v>1395.605</v>
      </c>
      <c r="E54" s="7">
        <v>1699.431</v>
      </c>
      <c r="H54" s="7">
        <v>1867.9169999999999</v>
      </c>
      <c r="I54" s="7">
        <v>2223.4070000000002</v>
      </c>
      <c r="J54" s="7">
        <v>1906.0039999999999</v>
      </c>
      <c r="K54" s="7">
        <v>1712.1410000000001</v>
      </c>
      <c r="L54" s="7">
        <v>2244.625</v>
      </c>
      <c r="M54" s="7">
        <v>2306.9540000000002</v>
      </c>
      <c r="N54" s="7">
        <v>1777.403</v>
      </c>
      <c r="O54" s="7">
        <v>1672.577</v>
      </c>
      <c r="P54" s="7">
        <v>2382.152</v>
      </c>
      <c r="R54" s="5">
        <f t="shared" si="0"/>
        <v>1881.6706153846155</v>
      </c>
      <c r="S54" s="5">
        <f t="shared" si="1"/>
        <v>88.426119244820555</v>
      </c>
      <c r="U54" s="7">
        <v>55</v>
      </c>
      <c r="V54" s="7">
        <v>2006.933</v>
      </c>
      <c r="X54" s="7">
        <v>1424.5650000000001</v>
      </c>
      <c r="Y54" s="7">
        <v>1944.3920000000001</v>
      </c>
      <c r="Z54" s="7">
        <v>1926.9469999999999</v>
      </c>
      <c r="AA54" s="7">
        <v>2021.395</v>
      </c>
      <c r="AB54" s="7">
        <v>1535.6179999999999</v>
      </c>
      <c r="AC54" s="7">
        <v>1752.4359999999999</v>
      </c>
      <c r="AD54" s="7">
        <v>1475.5239999999999</v>
      </c>
      <c r="AE54" s="7">
        <v>1700.741</v>
      </c>
      <c r="AF54" s="7">
        <v>1981.5219999999999</v>
      </c>
      <c r="AG54" s="7">
        <v>2028.3050000000001</v>
      </c>
      <c r="AH54" s="7">
        <v>1928.56</v>
      </c>
      <c r="AI54" s="7">
        <v>1892.338</v>
      </c>
      <c r="AJ54" s="7">
        <v>1576.5309999999999</v>
      </c>
      <c r="AL54" s="6">
        <f t="shared" si="2"/>
        <v>1791.9946249999998</v>
      </c>
      <c r="AM54" s="6">
        <f t="shared" si="3"/>
        <v>70.324814361123146</v>
      </c>
    </row>
    <row r="55" spans="1:39" x14ac:dyDescent="0.2">
      <c r="A55" s="7">
        <v>56.25</v>
      </c>
      <c r="B55" s="7">
        <v>1704.471</v>
      </c>
      <c r="C55" s="7">
        <v>1377.8440000000001</v>
      </c>
      <c r="D55" s="7">
        <v>1310.9010000000001</v>
      </c>
      <c r="E55" s="7">
        <v>1573.6389999999999</v>
      </c>
      <c r="H55" s="7">
        <v>1748.1210000000001</v>
      </c>
      <c r="I55" s="7">
        <v>2086.241</v>
      </c>
      <c r="J55" s="7">
        <v>1813.7449999999999</v>
      </c>
      <c r="K55" s="7">
        <v>1618.5550000000001</v>
      </c>
      <c r="L55" s="7">
        <v>2112.4540000000002</v>
      </c>
      <c r="M55" s="7">
        <v>2203.0740000000001</v>
      </c>
      <c r="N55" s="7">
        <v>1677.962</v>
      </c>
      <c r="O55" s="7">
        <v>1567.4179999999999</v>
      </c>
      <c r="P55" s="7">
        <v>2277.848</v>
      </c>
      <c r="R55" s="5">
        <f t="shared" si="0"/>
        <v>1774.7902307692309</v>
      </c>
      <c r="S55" s="5">
        <f t="shared" si="1"/>
        <v>85.660920947229997</v>
      </c>
      <c r="U55" s="7">
        <v>56.25</v>
      </c>
      <c r="V55" s="7">
        <v>1882.627</v>
      </c>
      <c r="X55" s="7">
        <v>1316.259</v>
      </c>
      <c r="Y55" s="7">
        <v>1805.8910000000001</v>
      </c>
      <c r="Z55" s="7">
        <v>1795.6320000000001</v>
      </c>
      <c r="AA55" s="7">
        <v>1895.481</v>
      </c>
      <c r="AB55" s="7">
        <v>1452.021</v>
      </c>
      <c r="AC55" s="7">
        <v>1641.8440000000001</v>
      </c>
      <c r="AD55" s="7">
        <v>1396.287</v>
      </c>
      <c r="AE55" s="7">
        <v>1596.6569999999999</v>
      </c>
      <c r="AF55" s="7">
        <v>1857.5530000000001</v>
      </c>
      <c r="AG55" s="7">
        <v>1908.6859999999999</v>
      </c>
      <c r="AH55" s="7">
        <v>1803.182</v>
      </c>
      <c r="AI55" s="7">
        <v>1745.6869999999999</v>
      </c>
      <c r="AJ55" s="7">
        <v>1483.6010000000001</v>
      </c>
      <c r="AL55" s="6">
        <f t="shared" si="2"/>
        <v>1679.1871250000002</v>
      </c>
      <c r="AM55" s="6">
        <f t="shared" si="3"/>
        <v>64.194629410276079</v>
      </c>
    </row>
    <row r="56" spans="1:39" x14ac:dyDescent="0.2">
      <c r="A56" s="7">
        <v>57.5</v>
      </c>
      <c r="B56" s="7">
        <v>1555.114</v>
      </c>
      <c r="C56" s="7">
        <v>1290.299</v>
      </c>
      <c r="D56" s="7">
        <v>1198.184</v>
      </c>
      <c r="E56" s="7">
        <v>1437.6489999999999</v>
      </c>
      <c r="H56" s="7">
        <v>1598.7470000000001</v>
      </c>
      <c r="I56" s="7">
        <v>1904.329</v>
      </c>
      <c r="J56" s="7">
        <v>1686.771</v>
      </c>
      <c r="K56" s="7">
        <v>1517.8130000000001</v>
      </c>
      <c r="L56" s="7">
        <v>1927.6759999999999</v>
      </c>
      <c r="M56" s="7">
        <v>2070.364</v>
      </c>
      <c r="N56" s="7">
        <v>1554.155</v>
      </c>
      <c r="O56" s="7">
        <v>1447.972</v>
      </c>
      <c r="P56" s="7">
        <v>2128.9540000000002</v>
      </c>
      <c r="R56" s="5">
        <f t="shared" si="0"/>
        <v>1639.8482307692309</v>
      </c>
      <c r="S56" s="5">
        <f t="shared" si="1"/>
        <v>80.288862787002643</v>
      </c>
      <c r="U56" s="7">
        <v>57.5</v>
      </c>
      <c r="V56" s="7">
        <v>1723.5340000000001</v>
      </c>
      <c r="X56" s="7">
        <v>1200.059</v>
      </c>
      <c r="Y56" s="7">
        <v>1640.1510000000001</v>
      </c>
      <c r="Z56" s="7">
        <v>1656.3019999999999</v>
      </c>
      <c r="AA56" s="7">
        <v>1739.877</v>
      </c>
      <c r="AB56" s="7">
        <v>1339.229</v>
      </c>
      <c r="AC56" s="7">
        <v>1501.905</v>
      </c>
      <c r="AD56" s="7">
        <v>1279.56</v>
      </c>
      <c r="AE56" s="7">
        <v>1472.8030000000001</v>
      </c>
      <c r="AF56" s="7">
        <v>1697.461</v>
      </c>
      <c r="AG56" s="7">
        <v>1757.558</v>
      </c>
      <c r="AH56" s="7">
        <v>1663.7929999999999</v>
      </c>
      <c r="AI56" s="7">
        <v>1592.5160000000001</v>
      </c>
      <c r="AJ56" s="7">
        <v>1381.3879999999999</v>
      </c>
      <c r="AL56" s="6">
        <f t="shared" si="2"/>
        <v>1543.373</v>
      </c>
      <c r="AM56" s="6">
        <f t="shared" si="3"/>
        <v>58.105583690382119</v>
      </c>
    </row>
    <row r="57" spans="1:39" x14ac:dyDescent="0.2">
      <c r="A57" s="7">
        <v>58.75</v>
      </c>
      <c r="B57" s="7">
        <v>1424.7260000000001</v>
      </c>
      <c r="C57" s="7">
        <v>1192.644</v>
      </c>
      <c r="D57" s="7">
        <v>1122.5519999999999</v>
      </c>
      <c r="E57" s="7">
        <v>1312.116</v>
      </c>
      <c r="H57" s="7">
        <v>1466.798</v>
      </c>
      <c r="I57" s="7">
        <v>1739.7940000000001</v>
      </c>
      <c r="J57" s="7">
        <v>1559.71</v>
      </c>
      <c r="K57" s="7">
        <v>1410.0889999999999</v>
      </c>
      <c r="L57" s="7">
        <v>1729.2570000000001</v>
      </c>
      <c r="M57" s="7">
        <v>1943.8240000000001</v>
      </c>
      <c r="N57" s="7">
        <v>1430.279</v>
      </c>
      <c r="O57" s="7">
        <v>1319.856</v>
      </c>
      <c r="P57" s="7">
        <v>1975.857</v>
      </c>
      <c r="R57" s="5">
        <f t="shared" si="0"/>
        <v>1509.8078461538462</v>
      </c>
      <c r="S57" s="5">
        <f t="shared" si="1"/>
        <v>74.256780804235291</v>
      </c>
      <c r="U57" s="7">
        <v>58.75</v>
      </c>
      <c r="V57" s="7">
        <v>1589.68</v>
      </c>
      <c r="X57" s="7">
        <v>1080.163</v>
      </c>
      <c r="Y57" s="7">
        <v>1499.798</v>
      </c>
      <c r="Z57" s="7">
        <v>1525.0029999999999</v>
      </c>
      <c r="AA57" s="7">
        <v>1610.6880000000001</v>
      </c>
      <c r="AB57" s="7">
        <v>1240.0999999999999</v>
      </c>
      <c r="AC57" s="7">
        <v>1380.778</v>
      </c>
      <c r="AD57" s="7">
        <v>1177.8330000000001</v>
      </c>
      <c r="AE57" s="7">
        <v>1369.864</v>
      </c>
      <c r="AF57" s="7">
        <v>1554.1279999999999</v>
      </c>
      <c r="AG57" s="7">
        <v>1605.14</v>
      </c>
      <c r="AH57" s="7">
        <v>1516.874</v>
      </c>
      <c r="AI57" s="7">
        <v>1462.7</v>
      </c>
      <c r="AJ57" s="7">
        <v>1286.5039999999999</v>
      </c>
      <c r="AL57" s="6">
        <f t="shared" si="2"/>
        <v>1419.227625</v>
      </c>
      <c r="AM57" s="6">
        <f t="shared" si="3"/>
        <v>50.707186557421977</v>
      </c>
    </row>
    <row r="58" spans="1:39" x14ac:dyDescent="0.2">
      <c r="A58" s="7">
        <v>60</v>
      </c>
      <c r="B58" s="7">
        <v>1360.454</v>
      </c>
      <c r="C58" s="7">
        <v>1139.664</v>
      </c>
      <c r="D58" s="7">
        <v>1073.6379999999999</v>
      </c>
      <c r="E58" s="7">
        <v>1245.069</v>
      </c>
      <c r="H58" s="7">
        <v>1380.703</v>
      </c>
      <c r="I58" s="7">
        <v>1654.8710000000001</v>
      </c>
      <c r="J58" s="7">
        <v>1483.3810000000001</v>
      </c>
      <c r="K58" s="7">
        <v>1322.9079999999999</v>
      </c>
      <c r="L58" s="7">
        <v>1633.7650000000001</v>
      </c>
      <c r="M58" s="7">
        <v>1864.002</v>
      </c>
      <c r="N58" s="7">
        <v>1356.317</v>
      </c>
      <c r="O58" s="7">
        <v>1258.0309999999999</v>
      </c>
      <c r="P58" s="7">
        <v>1880.482</v>
      </c>
      <c r="R58" s="5">
        <f t="shared" si="0"/>
        <v>1434.8680769230768</v>
      </c>
      <c r="S58" s="5">
        <f t="shared" si="1"/>
        <v>70.943583853964029</v>
      </c>
      <c r="U58" s="7">
        <v>60</v>
      </c>
      <c r="V58" s="7">
        <v>1519.337</v>
      </c>
      <c r="X58" s="7">
        <v>1006.616</v>
      </c>
      <c r="Y58" s="7">
        <v>1435.3050000000001</v>
      </c>
      <c r="Z58" s="7">
        <v>1443.6780000000001</v>
      </c>
      <c r="AA58" s="7">
        <v>1526.559</v>
      </c>
      <c r="AB58" s="7">
        <v>1178.1849999999999</v>
      </c>
      <c r="AC58" s="7">
        <v>1317.3889999999999</v>
      </c>
      <c r="AD58" s="7">
        <v>1117.2429999999999</v>
      </c>
      <c r="AE58" s="7">
        <v>1298.171</v>
      </c>
      <c r="AF58" s="7">
        <v>1473.1849999999999</v>
      </c>
      <c r="AG58" s="7">
        <v>1525.2090000000001</v>
      </c>
      <c r="AH58" s="7">
        <v>1430.26</v>
      </c>
      <c r="AI58" s="7">
        <v>1409.0519999999999</v>
      </c>
      <c r="AJ58" s="7">
        <v>1218.854</v>
      </c>
      <c r="AL58" s="6">
        <f t="shared" si="2"/>
        <v>1348.6703749999999</v>
      </c>
      <c r="AM58" s="6">
        <f t="shared" si="3"/>
        <v>48.34995529542087</v>
      </c>
    </row>
    <row r="59" spans="1:39" x14ac:dyDescent="0.2">
      <c r="A59" s="7">
        <v>61.25</v>
      </c>
      <c r="B59" s="7">
        <v>1315.268</v>
      </c>
      <c r="C59" s="7">
        <v>1107.107</v>
      </c>
      <c r="D59" s="7">
        <v>1035.066</v>
      </c>
      <c r="E59" s="7">
        <v>1216.1010000000001</v>
      </c>
      <c r="H59" s="7">
        <v>1344.011</v>
      </c>
      <c r="I59" s="7">
        <v>1601.232</v>
      </c>
      <c r="J59" s="7">
        <v>1426.569</v>
      </c>
      <c r="K59" s="7">
        <v>1282.6679999999999</v>
      </c>
      <c r="L59" s="7">
        <v>1586.88</v>
      </c>
      <c r="M59" s="7">
        <v>1815.511</v>
      </c>
      <c r="N59" s="7">
        <v>1315.0329999999999</v>
      </c>
      <c r="O59" s="7">
        <v>1241.711</v>
      </c>
      <c r="P59" s="7">
        <v>1840.807</v>
      </c>
      <c r="R59" s="5">
        <f t="shared" si="0"/>
        <v>1394.4587692307689</v>
      </c>
      <c r="S59" s="5">
        <f t="shared" si="1"/>
        <v>69.421753178387874</v>
      </c>
      <c r="U59" s="7">
        <v>61.25</v>
      </c>
      <c r="V59" s="7">
        <v>1469.9670000000001</v>
      </c>
      <c r="X59" s="7">
        <v>967.16899999999998</v>
      </c>
      <c r="Y59" s="7">
        <v>1385.4680000000001</v>
      </c>
      <c r="Z59" s="7">
        <v>1395.3430000000001</v>
      </c>
      <c r="AA59" s="7">
        <v>1461.338</v>
      </c>
      <c r="AB59" s="7">
        <v>1138.9449999999999</v>
      </c>
      <c r="AC59" s="7">
        <v>1285.0340000000001</v>
      </c>
      <c r="AD59" s="7">
        <v>1095.5730000000001</v>
      </c>
      <c r="AE59" s="7">
        <v>1247.5160000000001</v>
      </c>
      <c r="AF59" s="7">
        <v>1421.7329999999999</v>
      </c>
      <c r="AG59" s="7">
        <v>1483.857</v>
      </c>
      <c r="AH59" s="7">
        <v>1378.5219999999999</v>
      </c>
      <c r="AI59" s="7">
        <v>1343.9590000000001</v>
      </c>
      <c r="AJ59" s="7">
        <v>1179.473</v>
      </c>
      <c r="AL59" s="6">
        <f t="shared" si="2"/>
        <v>1304.4583749999999</v>
      </c>
      <c r="AM59" s="6">
        <f t="shared" si="3"/>
        <v>45.484908900777768</v>
      </c>
    </row>
    <row r="60" spans="1:39" x14ac:dyDescent="0.2">
      <c r="A60" s="7">
        <v>62.5</v>
      </c>
      <c r="B60" s="7">
        <v>1302.682</v>
      </c>
      <c r="C60" s="7">
        <v>1075.5509999999999</v>
      </c>
      <c r="D60" s="7">
        <v>1003.317</v>
      </c>
      <c r="E60" s="7">
        <v>1187.1210000000001</v>
      </c>
      <c r="H60" s="7">
        <v>1318.4069999999999</v>
      </c>
      <c r="I60" s="7">
        <v>1551.0630000000001</v>
      </c>
      <c r="J60" s="7">
        <v>1383.6289999999999</v>
      </c>
      <c r="K60" s="7">
        <v>1275.7629999999999</v>
      </c>
      <c r="L60" s="7">
        <v>1565.6880000000001</v>
      </c>
      <c r="M60" s="7">
        <v>1773.5989999999999</v>
      </c>
      <c r="N60" s="7">
        <v>1296.6369999999999</v>
      </c>
      <c r="O60" s="7">
        <v>1189.204</v>
      </c>
      <c r="P60" s="7">
        <v>1804.393</v>
      </c>
      <c r="R60" s="5">
        <f t="shared" si="0"/>
        <v>1363.6195384615385</v>
      </c>
      <c r="S60" s="5">
        <f t="shared" si="1"/>
        <v>68.456817827345361</v>
      </c>
      <c r="U60" s="7">
        <v>62.5</v>
      </c>
      <c r="V60" s="7">
        <v>1439.846</v>
      </c>
      <c r="X60" s="7">
        <v>963.46400000000006</v>
      </c>
      <c r="Y60" s="7">
        <v>1377.95</v>
      </c>
      <c r="Z60" s="7">
        <v>1357.327</v>
      </c>
      <c r="AA60" s="7">
        <v>1438.3240000000001</v>
      </c>
      <c r="AB60" s="7">
        <v>1128.1769999999999</v>
      </c>
      <c r="AC60" s="7">
        <v>1238.424</v>
      </c>
      <c r="AD60" s="7">
        <v>1075.075</v>
      </c>
      <c r="AE60" s="7">
        <v>1229.2280000000001</v>
      </c>
      <c r="AF60" s="7">
        <v>1392.384</v>
      </c>
      <c r="AG60" s="7">
        <v>1453.0050000000001</v>
      </c>
      <c r="AH60" s="7">
        <v>1355.07</v>
      </c>
      <c r="AI60" s="7">
        <v>1316.172</v>
      </c>
      <c r="AJ60" s="7">
        <v>1160.7819999999999</v>
      </c>
      <c r="AL60" s="6">
        <f t="shared" si="2"/>
        <v>1277.5174999999999</v>
      </c>
      <c r="AM60" s="6">
        <f t="shared" si="3"/>
        <v>44.314028821904373</v>
      </c>
    </row>
    <row r="61" spans="1:39" x14ac:dyDescent="0.2">
      <c r="A61" s="7">
        <v>63.75</v>
      </c>
      <c r="B61" s="7">
        <v>1289.6690000000001</v>
      </c>
      <c r="C61" s="7">
        <v>1051.296</v>
      </c>
      <c r="D61" s="7">
        <v>973.53899999999999</v>
      </c>
      <c r="E61" s="7">
        <v>1151.8800000000001</v>
      </c>
      <c r="H61" s="7">
        <v>1295.9670000000001</v>
      </c>
      <c r="I61" s="7">
        <v>1550.0540000000001</v>
      </c>
      <c r="J61" s="7">
        <v>1351.479</v>
      </c>
      <c r="K61" s="7">
        <v>1257.394</v>
      </c>
      <c r="L61" s="7">
        <v>1564.0160000000001</v>
      </c>
      <c r="M61" s="7">
        <v>1731.902</v>
      </c>
      <c r="N61" s="7">
        <v>1276.9090000000001</v>
      </c>
      <c r="O61" s="7">
        <v>1174.79</v>
      </c>
      <c r="P61" s="7">
        <v>1764.4349999999999</v>
      </c>
      <c r="R61" s="5">
        <f t="shared" si="0"/>
        <v>1341.0253846153848</v>
      </c>
      <c r="S61" s="5">
        <f t="shared" si="1"/>
        <v>68.113766063592905</v>
      </c>
      <c r="U61" s="7">
        <v>63.75</v>
      </c>
      <c r="V61" s="7">
        <v>1416.6479999999999</v>
      </c>
      <c r="X61" s="7">
        <v>966.70799999999997</v>
      </c>
      <c r="Y61" s="7">
        <v>1364.556</v>
      </c>
      <c r="Z61" s="7">
        <v>1326.5640000000001</v>
      </c>
      <c r="AA61" s="7">
        <v>1409.0229999999999</v>
      </c>
      <c r="AB61" s="7">
        <v>1116.8330000000001</v>
      </c>
      <c r="AC61" s="7">
        <v>1254.867</v>
      </c>
      <c r="AD61" s="7">
        <v>1052.92</v>
      </c>
      <c r="AE61" s="7">
        <v>1215.884</v>
      </c>
      <c r="AF61" s="7">
        <v>1379.4580000000001</v>
      </c>
      <c r="AG61" s="7">
        <v>1438.7429999999999</v>
      </c>
      <c r="AH61" s="7">
        <v>1365.7090000000001</v>
      </c>
      <c r="AI61" s="7">
        <v>1264.367</v>
      </c>
      <c r="AJ61" s="7">
        <v>1147.673</v>
      </c>
      <c r="AL61" s="6">
        <f t="shared" si="2"/>
        <v>1264.9526250000001</v>
      </c>
      <c r="AM61" s="6">
        <f t="shared" si="3"/>
        <v>45.254944422420174</v>
      </c>
    </row>
    <row r="62" spans="1:39" x14ac:dyDescent="0.2">
      <c r="A62" s="7">
        <v>65</v>
      </c>
      <c r="B62" s="7">
        <v>1265.6279999999999</v>
      </c>
      <c r="C62" s="7">
        <v>1027.9949999999999</v>
      </c>
      <c r="D62" s="7">
        <v>940.28499999999997</v>
      </c>
      <c r="E62" s="7">
        <v>1157.9749999999999</v>
      </c>
      <c r="H62" s="7">
        <v>1275.7560000000001</v>
      </c>
      <c r="I62" s="7">
        <v>1517.212</v>
      </c>
      <c r="J62" s="7">
        <v>1353.133</v>
      </c>
      <c r="K62" s="7">
        <v>1228.761</v>
      </c>
      <c r="L62" s="7">
        <v>1537.9839999999999</v>
      </c>
      <c r="M62" s="7">
        <v>1701.0509999999999</v>
      </c>
      <c r="N62" s="7">
        <v>1242.6780000000001</v>
      </c>
      <c r="O62" s="7">
        <v>1130.5260000000001</v>
      </c>
      <c r="P62" s="7">
        <v>1712.5920000000001</v>
      </c>
      <c r="R62" s="5">
        <f t="shared" si="0"/>
        <v>1314.7366153846156</v>
      </c>
      <c r="S62" s="5">
        <f t="shared" si="1"/>
        <v>66.856888172878271</v>
      </c>
      <c r="U62" s="7">
        <v>65</v>
      </c>
      <c r="V62" s="7">
        <v>1396.31</v>
      </c>
      <c r="X62" s="7">
        <v>970.2</v>
      </c>
      <c r="Y62" s="7">
        <v>1300.444</v>
      </c>
      <c r="Z62" s="7">
        <v>1336.26</v>
      </c>
      <c r="AA62" s="7">
        <v>1389.7919999999999</v>
      </c>
      <c r="AB62" s="7">
        <v>1097.462</v>
      </c>
      <c r="AC62" s="7">
        <v>1239.73</v>
      </c>
      <c r="AD62" s="7">
        <v>1045.748</v>
      </c>
      <c r="AE62" s="7">
        <v>1182.1110000000001</v>
      </c>
      <c r="AF62" s="7">
        <v>1364.7829999999999</v>
      </c>
      <c r="AG62" s="7">
        <v>1415.662</v>
      </c>
      <c r="AH62" s="7">
        <v>1339.413</v>
      </c>
      <c r="AI62" s="7">
        <v>1223.106</v>
      </c>
      <c r="AJ62" s="7">
        <v>1119.2370000000001</v>
      </c>
      <c r="AL62" s="6">
        <f t="shared" si="2"/>
        <v>1241.2237500000001</v>
      </c>
      <c r="AM62" s="6">
        <f t="shared" si="3"/>
        <v>44.771853706059389</v>
      </c>
    </row>
    <row r="63" spans="1:39" x14ac:dyDescent="0.2">
      <c r="A63" s="7">
        <v>66.25</v>
      </c>
      <c r="B63" s="7">
        <v>1253.6500000000001</v>
      </c>
      <c r="C63" s="7">
        <v>988.39200000000005</v>
      </c>
      <c r="D63" s="7">
        <v>911.77</v>
      </c>
      <c r="E63" s="7">
        <v>1139.923</v>
      </c>
      <c r="H63" s="7">
        <v>1267.6880000000001</v>
      </c>
      <c r="I63" s="7">
        <v>1501.133</v>
      </c>
      <c r="J63" s="7">
        <v>1311.4090000000001</v>
      </c>
      <c r="K63" s="7">
        <v>1180.54</v>
      </c>
      <c r="L63" s="7">
        <v>1502.4259999999999</v>
      </c>
      <c r="M63" s="7">
        <v>1660.136</v>
      </c>
      <c r="N63" s="7">
        <v>1235.2529999999999</v>
      </c>
      <c r="O63" s="7">
        <v>1085.008</v>
      </c>
      <c r="P63" s="7">
        <v>1691.606</v>
      </c>
      <c r="R63" s="5">
        <f t="shared" si="0"/>
        <v>1286.841076923077</v>
      </c>
      <c r="S63" s="5">
        <f t="shared" si="1"/>
        <v>67.162576664280721</v>
      </c>
      <c r="U63" s="7">
        <v>66.25</v>
      </c>
      <c r="V63" s="7">
        <v>1370.672</v>
      </c>
      <c r="X63" s="7">
        <v>926.06200000000001</v>
      </c>
      <c r="Y63" s="7">
        <v>1282.779</v>
      </c>
      <c r="Z63" s="7">
        <v>1287.96</v>
      </c>
      <c r="AA63" s="7">
        <v>1386.6189999999999</v>
      </c>
      <c r="AB63" s="7">
        <v>1076.2809999999999</v>
      </c>
      <c r="AC63" s="7">
        <v>1235.5909999999999</v>
      </c>
      <c r="AD63" s="7">
        <v>1036.4670000000001</v>
      </c>
      <c r="AE63" s="7">
        <v>1159.1590000000001</v>
      </c>
      <c r="AF63" s="7">
        <v>1362.3140000000001</v>
      </c>
      <c r="AG63" s="7">
        <v>1389.396</v>
      </c>
      <c r="AH63" s="7">
        <v>1314.1590000000001</v>
      </c>
      <c r="AI63" s="7">
        <v>1237.6400000000001</v>
      </c>
      <c r="AJ63" s="7">
        <v>1098.6880000000001</v>
      </c>
      <c r="AL63" s="6">
        <f t="shared" si="2"/>
        <v>1229.1767499999999</v>
      </c>
      <c r="AM63" s="6">
        <f t="shared" si="3"/>
        <v>44.27941604247394</v>
      </c>
    </row>
    <row r="64" spans="1:39" x14ac:dyDescent="0.2">
      <c r="A64" s="7">
        <v>67.5</v>
      </c>
      <c r="B64" s="7">
        <v>1213.248</v>
      </c>
      <c r="C64" s="7">
        <v>974.32100000000003</v>
      </c>
      <c r="D64" s="7">
        <v>882.21699999999998</v>
      </c>
      <c r="E64" s="7">
        <v>1118.1220000000001</v>
      </c>
      <c r="H64" s="7">
        <v>1256.9590000000001</v>
      </c>
      <c r="I64" s="7">
        <v>1510.854</v>
      </c>
      <c r="J64" s="7">
        <v>1296.52</v>
      </c>
      <c r="K64" s="7">
        <v>1169.1030000000001</v>
      </c>
      <c r="L64" s="7">
        <v>1484.472</v>
      </c>
      <c r="M64" s="7">
        <v>1617.548</v>
      </c>
      <c r="N64" s="7">
        <v>1209.6769999999999</v>
      </c>
      <c r="O64" s="7">
        <v>1071.3910000000001</v>
      </c>
      <c r="P64" s="7">
        <v>1687.346</v>
      </c>
      <c r="R64" s="5">
        <f t="shared" si="0"/>
        <v>1268.5983076923078</v>
      </c>
      <c r="S64" s="5">
        <f t="shared" si="1"/>
        <v>67.803357591242474</v>
      </c>
      <c r="U64" s="7">
        <v>67.5</v>
      </c>
      <c r="V64" s="7">
        <v>1355.443</v>
      </c>
      <c r="X64" s="7">
        <v>928.87</v>
      </c>
      <c r="Y64" s="7">
        <v>1250.92</v>
      </c>
      <c r="Z64" s="7">
        <v>1247.8720000000001</v>
      </c>
      <c r="AA64" s="7">
        <v>1389.0740000000001</v>
      </c>
      <c r="AB64" s="7">
        <v>1058.259</v>
      </c>
      <c r="AC64" s="7">
        <v>1205.5640000000001</v>
      </c>
      <c r="AD64" s="7">
        <v>1029.538</v>
      </c>
      <c r="AE64" s="7">
        <v>1140.538</v>
      </c>
      <c r="AF64" s="7">
        <v>1350.0039999999999</v>
      </c>
      <c r="AG64" s="7">
        <v>1378.48</v>
      </c>
      <c r="AH64" s="7">
        <v>1305.144</v>
      </c>
      <c r="AI64" s="7">
        <v>1239.211</v>
      </c>
      <c r="AJ64" s="7">
        <v>1092.4690000000001</v>
      </c>
      <c r="AL64" s="6">
        <f t="shared" si="2"/>
        <v>1217.6185</v>
      </c>
      <c r="AM64" s="6">
        <f t="shared" si="3"/>
        <v>44.048001065396171</v>
      </c>
    </row>
    <row r="65" spans="1:39" x14ac:dyDescent="0.2">
      <c r="A65" s="7">
        <v>68.75</v>
      </c>
      <c r="B65" s="7">
        <v>1188.825</v>
      </c>
      <c r="C65" s="7">
        <v>957.73699999999997</v>
      </c>
      <c r="D65" s="7">
        <v>861.53</v>
      </c>
      <c r="E65" s="7">
        <v>1090.617</v>
      </c>
      <c r="H65" s="7">
        <v>1265.8820000000001</v>
      </c>
      <c r="I65" s="7">
        <v>1494.268</v>
      </c>
      <c r="J65" s="7">
        <v>1294.7909999999999</v>
      </c>
      <c r="K65" s="7">
        <v>1177.8030000000001</v>
      </c>
      <c r="L65" s="7">
        <v>1493.576</v>
      </c>
      <c r="M65" s="7">
        <v>1572.107</v>
      </c>
      <c r="N65" s="7">
        <v>1196.9849999999999</v>
      </c>
      <c r="O65" s="7">
        <v>1126.3030000000001</v>
      </c>
      <c r="P65" s="7">
        <v>1658.636</v>
      </c>
      <c r="R65" s="5">
        <f t="shared" si="0"/>
        <v>1259.9276923076925</v>
      </c>
      <c r="S65" s="5">
        <f t="shared" si="1"/>
        <v>65.998518602584014</v>
      </c>
      <c r="U65" s="7">
        <v>68.75</v>
      </c>
      <c r="V65" s="7">
        <v>1347.595</v>
      </c>
      <c r="X65" s="7">
        <v>915.64400000000001</v>
      </c>
      <c r="Y65" s="7">
        <v>1225.183</v>
      </c>
      <c r="Z65" s="7">
        <v>1261.9839999999999</v>
      </c>
      <c r="AA65" s="7">
        <v>1378.4860000000001</v>
      </c>
      <c r="AB65" s="7">
        <v>1056.7339999999999</v>
      </c>
      <c r="AC65" s="7">
        <v>1200.3989999999999</v>
      </c>
      <c r="AD65" s="7">
        <v>1025.5709999999999</v>
      </c>
      <c r="AE65" s="7">
        <v>1134.635</v>
      </c>
      <c r="AF65" s="7">
        <v>1338.1880000000001</v>
      </c>
      <c r="AG65" s="7">
        <v>1368.4880000000001</v>
      </c>
      <c r="AH65" s="7">
        <v>1279.8320000000001</v>
      </c>
      <c r="AI65" s="7">
        <v>1195.8869999999999</v>
      </c>
      <c r="AJ65" s="7">
        <v>1089.7950000000001</v>
      </c>
      <c r="AL65" s="6">
        <f t="shared" si="2"/>
        <v>1204.099375</v>
      </c>
      <c r="AM65" s="6">
        <f t="shared" si="3"/>
        <v>42.380739385841608</v>
      </c>
    </row>
    <row r="66" spans="1:39" x14ac:dyDescent="0.2">
      <c r="A66" s="7">
        <v>70</v>
      </c>
      <c r="B66" s="7">
        <v>1176.848</v>
      </c>
      <c r="C66" s="7">
        <v>923.08199999999999</v>
      </c>
      <c r="D66" s="7">
        <v>882.43499999999995</v>
      </c>
      <c r="E66" s="7">
        <v>1094.6389999999999</v>
      </c>
      <c r="H66" s="7">
        <v>1226.654</v>
      </c>
      <c r="I66" s="7">
        <v>1469.798</v>
      </c>
      <c r="J66" s="7">
        <v>1284.0619999999999</v>
      </c>
      <c r="K66" s="7">
        <v>1184.7080000000001</v>
      </c>
      <c r="L66" s="7">
        <v>1504.2739999999999</v>
      </c>
      <c r="M66" s="7">
        <v>1532.223</v>
      </c>
      <c r="N66" s="7">
        <v>1190.7619999999999</v>
      </c>
      <c r="O66" s="7">
        <v>1114.549</v>
      </c>
      <c r="P66" s="7">
        <v>1631.491</v>
      </c>
      <c r="R66" s="5">
        <f t="shared" si="0"/>
        <v>1247.3480769230769</v>
      </c>
      <c r="S66" s="5">
        <f t="shared" si="1"/>
        <v>63.918632464919114</v>
      </c>
      <c r="U66" s="7">
        <v>70</v>
      </c>
      <c r="V66" s="7">
        <v>1339.2560000000001</v>
      </c>
      <c r="X66" s="7">
        <v>920.423</v>
      </c>
      <c r="Y66" s="7">
        <v>1196.731</v>
      </c>
      <c r="Z66" s="7">
        <v>1248.3510000000001</v>
      </c>
      <c r="AA66" s="7">
        <v>1422.1389999999999</v>
      </c>
      <c r="AB66" s="7">
        <v>1048.2860000000001</v>
      </c>
      <c r="AC66" s="7">
        <v>1189.2809999999999</v>
      </c>
      <c r="AD66" s="7">
        <v>1016.407</v>
      </c>
      <c r="AE66" s="7">
        <v>1136.444</v>
      </c>
      <c r="AF66" s="7">
        <v>1330.297</v>
      </c>
      <c r="AG66" s="7">
        <v>1360.9459999999999</v>
      </c>
      <c r="AH66" s="7">
        <v>1300.8399999999999</v>
      </c>
      <c r="AI66" s="7">
        <v>1198.175</v>
      </c>
      <c r="AJ66" s="7">
        <v>1078.6400000000001</v>
      </c>
      <c r="AL66" s="6">
        <f t="shared" si="2"/>
        <v>1201.3787499999999</v>
      </c>
      <c r="AM66" s="6">
        <f t="shared" si="3"/>
        <v>43.430291659554015</v>
      </c>
    </row>
    <row r="67" spans="1:39" x14ac:dyDescent="0.2">
      <c r="A67" s="7">
        <v>71.25</v>
      </c>
      <c r="B67" s="7">
        <v>1199.1500000000001</v>
      </c>
      <c r="C67" s="7">
        <v>904.11300000000006</v>
      </c>
      <c r="D67" s="7">
        <v>827.17700000000002</v>
      </c>
      <c r="E67" s="7">
        <v>1144.1769999999999</v>
      </c>
      <c r="H67" s="7">
        <v>1212.335</v>
      </c>
      <c r="I67" s="7">
        <v>1479.279</v>
      </c>
      <c r="J67" s="7">
        <v>1258.077</v>
      </c>
      <c r="K67" s="7">
        <v>1145.0940000000001</v>
      </c>
      <c r="L67" s="7">
        <v>1508.021</v>
      </c>
      <c r="M67" s="7">
        <v>1490.163</v>
      </c>
      <c r="N67" s="7">
        <v>1194.1600000000001</v>
      </c>
      <c r="O67" s="7">
        <v>1007.717</v>
      </c>
      <c r="P67" s="7">
        <v>1608.5340000000001</v>
      </c>
      <c r="R67" s="5">
        <f t="shared" si="0"/>
        <v>1229.0766923076924</v>
      </c>
      <c r="S67" s="5">
        <f t="shared" si="1"/>
        <v>66.322205071769204</v>
      </c>
      <c r="U67" s="7">
        <v>71.25</v>
      </c>
      <c r="V67" s="7">
        <v>1330.018</v>
      </c>
      <c r="X67" s="7">
        <v>899.66</v>
      </c>
      <c r="Y67" s="7">
        <v>1237.367</v>
      </c>
      <c r="Z67" s="7">
        <v>1261.5239999999999</v>
      </c>
      <c r="AA67" s="7">
        <v>1399.527</v>
      </c>
      <c r="AB67" s="7">
        <v>1030.866</v>
      </c>
      <c r="AC67" s="7">
        <v>1210.5250000000001</v>
      </c>
      <c r="AD67" s="7">
        <v>1007.466</v>
      </c>
      <c r="AE67" s="7">
        <v>1121.451</v>
      </c>
      <c r="AF67" s="7">
        <v>1338.6679999999999</v>
      </c>
      <c r="AG67" s="7">
        <v>1346.5160000000001</v>
      </c>
      <c r="AH67" s="7">
        <v>1305.93</v>
      </c>
      <c r="AI67" s="7">
        <v>1140.7570000000001</v>
      </c>
      <c r="AJ67" s="7">
        <v>1062.759</v>
      </c>
      <c r="AL67" s="6">
        <f t="shared" si="2"/>
        <v>1191.759</v>
      </c>
      <c r="AM67" s="6">
        <f t="shared" si="3"/>
        <v>45.722082044675439</v>
      </c>
    </row>
    <row r="68" spans="1:39" x14ac:dyDescent="0.2">
      <c r="A68" s="7">
        <v>72.5</v>
      </c>
      <c r="B68" s="7">
        <v>1197.9190000000001</v>
      </c>
      <c r="C68" s="7">
        <v>902.048</v>
      </c>
      <c r="D68" s="7">
        <v>824.86300000000006</v>
      </c>
      <c r="E68" s="7">
        <v>1117.259</v>
      </c>
      <c r="H68" s="7">
        <v>1209.836</v>
      </c>
      <c r="I68" s="7">
        <v>1458.789</v>
      </c>
      <c r="J68" s="7">
        <v>1254.1859999999999</v>
      </c>
      <c r="K68" s="7">
        <v>1088.395</v>
      </c>
      <c r="L68" s="7">
        <v>1502.674</v>
      </c>
      <c r="M68" s="7">
        <v>1458.9010000000001</v>
      </c>
      <c r="N68" s="7">
        <v>1182.1600000000001</v>
      </c>
      <c r="O68" s="7">
        <v>961.61900000000003</v>
      </c>
      <c r="P68" s="7">
        <v>1554.585</v>
      </c>
      <c r="R68" s="5">
        <f t="shared" si="0"/>
        <v>1208.7103076923077</v>
      </c>
      <c r="S68" s="5">
        <f t="shared" si="1"/>
        <v>65.011987200131429</v>
      </c>
      <c r="U68" s="7">
        <v>72.5</v>
      </c>
      <c r="V68" s="7">
        <v>1311.319</v>
      </c>
      <c r="X68" s="7">
        <v>897.66499999999996</v>
      </c>
      <c r="Y68" s="7">
        <v>1249.249</v>
      </c>
      <c r="Z68" s="7">
        <v>1249.2180000000001</v>
      </c>
      <c r="AA68" s="7">
        <v>1369.8440000000001</v>
      </c>
      <c r="AB68" s="7">
        <v>1024.4349999999999</v>
      </c>
      <c r="AC68" s="7">
        <v>1199.431</v>
      </c>
      <c r="AD68" s="7">
        <v>999.25400000000002</v>
      </c>
      <c r="AE68" s="7">
        <v>1109.8389999999999</v>
      </c>
      <c r="AF68" s="7">
        <v>1322.5250000000001</v>
      </c>
      <c r="AG68" s="7">
        <v>1323.191</v>
      </c>
      <c r="AH68" s="7">
        <v>1291.405</v>
      </c>
      <c r="AI68" s="7">
        <v>1168.626</v>
      </c>
      <c r="AJ68" s="7">
        <v>1048.96</v>
      </c>
      <c r="AL68" s="6">
        <f t="shared" si="2"/>
        <v>1182.903875</v>
      </c>
      <c r="AM68" s="6">
        <f t="shared" si="3"/>
        <v>44.002992569677048</v>
      </c>
    </row>
    <row r="69" spans="1:39" x14ac:dyDescent="0.2">
      <c r="A69" s="7">
        <v>73.75</v>
      </c>
      <c r="B69" s="7">
        <v>1178.508</v>
      </c>
      <c r="C69" s="7">
        <v>872.18899999999996</v>
      </c>
      <c r="D69" s="7">
        <v>832.39400000000001</v>
      </c>
      <c r="E69" s="7">
        <v>1143.028</v>
      </c>
      <c r="H69" s="7">
        <v>1209.079</v>
      </c>
      <c r="I69" s="7">
        <v>1427.838</v>
      </c>
      <c r="J69" s="7">
        <v>1247.8420000000001</v>
      </c>
      <c r="K69" s="7">
        <v>1111.9649999999999</v>
      </c>
      <c r="L69" s="7">
        <v>1480.6020000000001</v>
      </c>
      <c r="M69" s="7">
        <v>1450.2750000000001</v>
      </c>
      <c r="N69" s="7">
        <v>1168.414</v>
      </c>
      <c r="O69" s="7">
        <v>987.64300000000003</v>
      </c>
      <c r="P69" s="7">
        <v>1551.1320000000001</v>
      </c>
      <c r="R69" s="5">
        <f t="shared" ref="R69:R96" si="4">AVERAGE(B69:P69)</f>
        <v>1204.6853076923078</v>
      </c>
      <c r="S69" s="5">
        <f t="shared" ref="S69:S96" si="5">STDEV(B69:P69)/SQRT(COUNT(B69:P69))</f>
        <v>62.981991289063743</v>
      </c>
      <c r="U69" s="7">
        <v>73.75</v>
      </c>
      <c r="V69" s="7">
        <v>1296.568</v>
      </c>
      <c r="X69" s="7">
        <v>928.78499999999997</v>
      </c>
      <c r="Y69" s="7">
        <v>1189.8420000000001</v>
      </c>
      <c r="Z69" s="7">
        <v>1250.3699999999999</v>
      </c>
      <c r="AA69" s="7">
        <v>1342.2629999999999</v>
      </c>
      <c r="AB69" s="7">
        <v>1035.528</v>
      </c>
      <c r="AC69" s="7">
        <v>1218.008</v>
      </c>
      <c r="AD69" s="7">
        <v>1001.015</v>
      </c>
      <c r="AE69" s="7">
        <v>1122.385</v>
      </c>
      <c r="AF69" s="7">
        <v>1317.884</v>
      </c>
      <c r="AG69" s="7">
        <v>1322.078</v>
      </c>
      <c r="AH69" s="7">
        <v>1280.6869999999999</v>
      </c>
      <c r="AI69" s="7">
        <v>1182.856</v>
      </c>
      <c r="AJ69" s="7">
        <v>1051.893</v>
      </c>
      <c r="AL69" s="6">
        <f t="shared" ref="AL69:AL96" si="6">AVERAGE(AC69:AJ69)</f>
        <v>1187.1007500000001</v>
      </c>
      <c r="AM69" s="6">
        <f t="shared" ref="AM69:AM96" si="7">STDEV(AC69:AJ69)/SQRT(COUNT(AC69:AJ69))</f>
        <v>42.709974789164541</v>
      </c>
    </row>
    <row r="70" spans="1:39" x14ac:dyDescent="0.2">
      <c r="A70" s="7">
        <v>75</v>
      </c>
      <c r="B70" s="7">
        <v>1196.3869999999999</v>
      </c>
      <c r="C70" s="7">
        <v>928.88099999999997</v>
      </c>
      <c r="D70" s="7">
        <v>891.28</v>
      </c>
      <c r="E70" s="7">
        <v>1179.569</v>
      </c>
      <c r="H70" s="7">
        <v>1243.201</v>
      </c>
      <c r="I70" s="7">
        <v>1503.1590000000001</v>
      </c>
      <c r="J70" s="7">
        <v>1296.8530000000001</v>
      </c>
      <c r="K70" s="7">
        <v>1176.683</v>
      </c>
      <c r="L70" s="7">
        <v>1537.8679999999999</v>
      </c>
      <c r="M70" s="7">
        <v>1520.3440000000001</v>
      </c>
      <c r="N70" s="7">
        <v>1209.915</v>
      </c>
      <c r="O70" s="7">
        <v>1123.0250000000001</v>
      </c>
      <c r="P70" s="7">
        <v>1642.998</v>
      </c>
      <c r="R70" s="5">
        <f t="shared" si="4"/>
        <v>1265.3971538461542</v>
      </c>
      <c r="S70" s="5">
        <f t="shared" si="5"/>
        <v>63.870232572334736</v>
      </c>
      <c r="U70" s="7">
        <v>75</v>
      </c>
      <c r="V70" s="7">
        <v>1351.596</v>
      </c>
      <c r="X70" s="7">
        <v>968.81100000000004</v>
      </c>
      <c r="Y70" s="7">
        <v>1287.7159999999999</v>
      </c>
      <c r="Z70" s="7">
        <v>1344.828</v>
      </c>
      <c r="AA70" s="7">
        <v>1400.288</v>
      </c>
      <c r="AB70" s="7">
        <v>1057.8679999999999</v>
      </c>
      <c r="AC70" s="7">
        <v>1248.875</v>
      </c>
      <c r="AD70" s="7">
        <v>1025.4179999999999</v>
      </c>
      <c r="AE70" s="7">
        <v>1165.3240000000001</v>
      </c>
      <c r="AF70" s="7">
        <v>1360.0039999999999</v>
      </c>
      <c r="AG70" s="7">
        <v>1394.655</v>
      </c>
      <c r="AH70" s="7">
        <v>1326.4749999999999</v>
      </c>
      <c r="AI70" s="7">
        <v>1291.1279999999999</v>
      </c>
      <c r="AJ70" s="7">
        <v>1095.1500000000001</v>
      </c>
      <c r="AL70" s="6">
        <f t="shared" si="6"/>
        <v>1238.3786249999998</v>
      </c>
      <c r="AM70" s="6">
        <f t="shared" si="7"/>
        <v>46.497373969603871</v>
      </c>
    </row>
    <row r="71" spans="1:39" x14ac:dyDescent="0.2">
      <c r="A71" s="7">
        <v>76.25</v>
      </c>
      <c r="B71" s="7">
        <v>1389.432</v>
      </c>
      <c r="C71" s="7">
        <v>1105.68</v>
      </c>
      <c r="D71" s="7">
        <v>1042.8820000000001</v>
      </c>
      <c r="E71" s="7">
        <v>1316.0889999999999</v>
      </c>
      <c r="H71" s="7">
        <v>1429.28</v>
      </c>
      <c r="I71" s="7">
        <v>1693.1289999999999</v>
      </c>
      <c r="J71" s="7">
        <v>1455.586</v>
      </c>
      <c r="K71" s="7">
        <v>1328.4739999999999</v>
      </c>
      <c r="L71" s="7">
        <v>1704.162</v>
      </c>
      <c r="M71" s="7">
        <v>1721.3689999999999</v>
      </c>
      <c r="N71" s="7">
        <v>1357.4770000000001</v>
      </c>
      <c r="O71" s="7">
        <v>1296.393</v>
      </c>
      <c r="P71" s="7">
        <v>1849.0550000000001</v>
      </c>
      <c r="R71" s="5">
        <f t="shared" si="4"/>
        <v>1437.6160000000002</v>
      </c>
      <c r="S71" s="5">
        <f t="shared" si="5"/>
        <v>67.362823977647693</v>
      </c>
      <c r="U71" s="7">
        <v>76.25</v>
      </c>
      <c r="V71" s="7">
        <v>1513.616</v>
      </c>
      <c r="X71" s="7">
        <v>1111.319</v>
      </c>
      <c r="Y71" s="7">
        <v>1507.7270000000001</v>
      </c>
      <c r="Z71" s="7">
        <v>1487.1659999999999</v>
      </c>
      <c r="AA71" s="7">
        <v>1571.1189999999999</v>
      </c>
      <c r="AB71" s="7">
        <v>1166.837</v>
      </c>
      <c r="AC71" s="7">
        <v>1390.818</v>
      </c>
      <c r="AD71" s="7">
        <v>1145.845</v>
      </c>
      <c r="AE71" s="7">
        <v>1299.3499999999999</v>
      </c>
      <c r="AF71" s="7">
        <v>1506.4349999999999</v>
      </c>
      <c r="AG71" s="7">
        <v>1570.1990000000001</v>
      </c>
      <c r="AH71" s="7">
        <v>1489.3420000000001</v>
      </c>
      <c r="AI71" s="7">
        <v>1460.1010000000001</v>
      </c>
      <c r="AJ71" s="7">
        <v>1217.93</v>
      </c>
      <c r="AL71" s="6">
        <f t="shared" si="6"/>
        <v>1385.0025000000003</v>
      </c>
      <c r="AM71" s="6">
        <f t="shared" si="7"/>
        <v>53.125493693503635</v>
      </c>
    </row>
    <row r="72" spans="1:39" x14ac:dyDescent="0.2">
      <c r="A72" s="7">
        <v>77.5</v>
      </c>
      <c r="B72" s="7">
        <v>1479.954</v>
      </c>
      <c r="C72" s="7">
        <v>1174.278</v>
      </c>
      <c r="D72" s="7">
        <v>1111.806</v>
      </c>
      <c r="E72" s="7">
        <v>1387.5139999999999</v>
      </c>
      <c r="H72" s="7">
        <v>1529.306</v>
      </c>
      <c r="I72" s="7">
        <v>1799.175</v>
      </c>
      <c r="J72" s="7">
        <v>1521.9770000000001</v>
      </c>
      <c r="K72" s="7">
        <v>1387.0519999999999</v>
      </c>
      <c r="L72" s="7">
        <v>1781.423</v>
      </c>
      <c r="M72" s="7">
        <v>1830.758</v>
      </c>
      <c r="N72" s="7">
        <v>1420.5319999999999</v>
      </c>
      <c r="O72" s="7">
        <v>1352.883</v>
      </c>
      <c r="P72" s="7">
        <v>1920.01</v>
      </c>
      <c r="R72" s="5">
        <f t="shared" si="4"/>
        <v>1515.1283076923078</v>
      </c>
      <c r="S72" s="5">
        <f t="shared" si="5"/>
        <v>69.956057041269204</v>
      </c>
      <c r="U72" s="7">
        <v>77.5</v>
      </c>
      <c r="V72" s="7">
        <v>1609.5309999999999</v>
      </c>
      <c r="X72" s="7">
        <v>1165.2940000000001</v>
      </c>
      <c r="Y72" s="7">
        <v>1593.133</v>
      </c>
      <c r="Z72" s="7">
        <v>1553.873</v>
      </c>
      <c r="AA72" s="7">
        <v>1670.248</v>
      </c>
      <c r="AB72" s="7">
        <v>1236.7929999999999</v>
      </c>
      <c r="AC72" s="7">
        <v>1473.7819999999999</v>
      </c>
      <c r="AD72" s="7">
        <v>1210.1420000000001</v>
      </c>
      <c r="AE72" s="7">
        <v>1365.8820000000001</v>
      </c>
      <c r="AF72" s="7">
        <v>1585.873</v>
      </c>
      <c r="AG72" s="7">
        <v>1652.3320000000001</v>
      </c>
      <c r="AH72" s="7">
        <v>1564.5170000000001</v>
      </c>
      <c r="AI72" s="7">
        <v>1547.8209999999999</v>
      </c>
      <c r="AJ72" s="7">
        <v>1282.2470000000001</v>
      </c>
      <c r="AL72" s="6">
        <f t="shared" si="6"/>
        <v>1460.3244999999999</v>
      </c>
      <c r="AM72" s="6">
        <f t="shared" si="7"/>
        <v>55.828882358442797</v>
      </c>
    </row>
    <row r="73" spans="1:39" x14ac:dyDescent="0.2">
      <c r="A73" s="7">
        <v>78.75</v>
      </c>
      <c r="B73" s="7">
        <v>1404.8510000000001</v>
      </c>
      <c r="C73" s="7">
        <v>1112.4000000000001</v>
      </c>
      <c r="D73" s="7">
        <v>1051.3710000000001</v>
      </c>
      <c r="E73" s="7">
        <v>1325.7750000000001</v>
      </c>
      <c r="H73" s="7">
        <v>1467.6949999999999</v>
      </c>
      <c r="I73" s="7">
        <v>1706.0219999999999</v>
      </c>
      <c r="J73" s="7">
        <v>1464.24</v>
      </c>
      <c r="K73" s="7">
        <v>1328.335</v>
      </c>
      <c r="L73" s="7">
        <v>1726.7370000000001</v>
      </c>
      <c r="M73" s="7">
        <v>1750.835</v>
      </c>
      <c r="N73" s="7">
        <v>1367.723</v>
      </c>
      <c r="O73" s="7">
        <v>1289.8430000000001</v>
      </c>
      <c r="P73" s="7">
        <v>1830.4449999999999</v>
      </c>
      <c r="R73" s="5">
        <f t="shared" si="4"/>
        <v>1448.1747692307692</v>
      </c>
      <c r="S73" s="5">
        <f t="shared" si="5"/>
        <v>67.719944252058824</v>
      </c>
      <c r="U73" s="7">
        <v>78.75</v>
      </c>
      <c r="V73" s="7">
        <v>1542.1010000000001</v>
      </c>
      <c r="X73" s="7">
        <v>1107.25</v>
      </c>
      <c r="Y73" s="7">
        <v>1511.192</v>
      </c>
      <c r="Z73" s="7">
        <v>1488.5119999999999</v>
      </c>
      <c r="AA73" s="7">
        <v>1601.442</v>
      </c>
      <c r="AB73" s="7">
        <v>1195.194</v>
      </c>
      <c r="AC73" s="7">
        <v>1418.682</v>
      </c>
      <c r="AD73" s="7">
        <v>1165.3689999999999</v>
      </c>
      <c r="AE73" s="7">
        <v>1319.306</v>
      </c>
      <c r="AF73" s="7">
        <v>1533.8520000000001</v>
      </c>
      <c r="AG73" s="7">
        <v>1586.961</v>
      </c>
      <c r="AH73" s="7">
        <v>1504.2280000000001</v>
      </c>
      <c r="AI73" s="7">
        <v>1483.009</v>
      </c>
      <c r="AJ73" s="7">
        <v>1235.827</v>
      </c>
      <c r="AL73" s="6">
        <f t="shared" si="6"/>
        <v>1405.90425</v>
      </c>
      <c r="AM73" s="6">
        <f t="shared" si="7"/>
        <v>53.320272376913223</v>
      </c>
    </row>
    <row r="74" spans="1:39" x14ac:dyDescent="0.2">
      <c r="A74" s="7">
        <v>80</v>
      </c>
      <c r="B74" s="7">
        <v>1310.6679999999999</v>
      </c>
      <c r="C74" s="7">
        <v>1027.748</v>
      </c>
      <c r="D74" s="7">
        <v>974.49199999999996</v>
      </c>
      <c r="E74" s="7">
        <v>1267.799</v>
      </c>
      <c r="H74" s="7">
        <v>1385.3579999999999</v>
      </c>
      <c r="I74" s="7">
        <v>1602.374</v>
      </c>
      <c r="J74" s="7">
        <v>1392.627</v>
      </c>
      <c r="K74" s="7">
        <v>1260.596</v>
      </c>
      <c r="L74" s="7">
        <v>1647.3969999999999</v>
      </c>
      <c r="M74" s="7">
        <v>1615.9480000000001</v>
      </c>
      <c r="N74" s="7">
        <v>1294.7760000000001</v>
      </c>
      <c r="O74" s="7">
        <v>1242.761</v>
      </c>
      <c r="P74" s="7">
        <v>1734.9880000000001</v>
      </c>
      <c r="R74" s="5">
        <f t="shared" si="4"/>
        <v>1365.9640000000002</v>
      </c>
      <c r="S74" s="5">
        <f t="shared" si="5"/>
        <v>64.377467962848797</v>
      </c>
      <c r="U74" s="7">
        <v>80</v>
      </c>
      <c r="V74" s="7">
        <v>1454.1479999999999</v>
      </c>
      <c r="X74" s="7">
        <v>1059.482</v>
      </c>
      <c r="Y74" s="7">
        <v>1424.327</v>
      </c>
      <c r="Z74" s="7">
        <v>1472.46</v>
      </c>
      <c r="AA74" s="7">
        <v>1496.8040000000001</v>
      </c>
      <c r="AB74" s="7">
        <v>1141.7260000000001</v>
      </c>
      <c r="AC74" s="7">
        <v>1366.079</v>
      </c>
      <c r="AD74" s="7">
        <v>1115.5450000000001</v>
      </c>
      <c r="AE74" s="7">
        <v>1248.9259999999999</v>
      </c>
      <c r="AF74" s="7">
        <v>1471.6859999999999</v>
      </c>
      <c r="AG74" s="7">
        <v>1502.374</v>
      </c>
      <c r="AH74" s="7">
        <v>1453.8610000000001</v>
      </c>
      <c r="AI74" s="7">
        <v>1439.1769999999999</v>
      </c>
      <c r="AJ74" s="7">
        <v>1174.9770000000001</v>
      </c>
      <c r="AL74" s="6">
        <f t="shared" si="6"/>
        <v>1346.578125</v>
      </c>
      <c r="AM74" s="6">
        <f t="shared" si="7"/>
        <v>52.226836041868246</v>
      </c>
    </row>
    <row r="75" spans="1:39" x14ac:dyDescent="0.2">
      <c r="A75" s="7">
        <v>81.25</v>
      </c>
      <c r="B75" s="7">
        <v>1398.598</v>
      </c>
      <c r="C75" s="7">
        <v>1057.4110000000001</v>
      </c>
      <c r="D75" s="7">
        <v>999.91</v>
      </c>
      <c r="E75" s="7">
        <v>1353.433</v>
      </c>
      <c r="H75" s="7">
        <v>1468.8109999999999</v>
      </c>
      <c r="I75" s="7">
        <v>1744.1990000000001</v>
      </c>
      <c r="J75" s="7">
        <v>1475.92</v>
      </c>
      <c r="K75" s="7">
        <v>1371.0909999999999</v>
      </c>
      <c r="L75" s="7">
        <v>1765.5229999999999</v>
      </c>
      <c r="M75" s="7">
        <v>1623.509</v>
      </c>
      <c r="N75" s="7">
        <v>1375.211</v>
      </c>
      <c r="O75" s="7">
        <v>1391.3140000000001</v>
      </c>
      <c r="P75" s="7">
        <v>1811.1959999999999</v>
      </c>
      <c r="R75" s="5">
        <f t="shared" si="4"/>
        <v>1448.9327692307691</v>
      </c>
      <c r="S75" s="5">
        <f t="shared" si="5"/>
        <v>68.482881329996729</v>
      </c>
      <c r="U75" s="7">
        <v>81.25</v>
      </c>
      <c r="V75" s="7">
        <v>1552.2090000000001</v>
      </c>
      <c r="X75" s="7">
        <v>1239.2329999999999</v>
      </c>
      <c r="Y75" s="7">
        <v>1500.568</v>
      </c>
      <c r="Z75" s="7">
        <v>1689.43</v>
      </c>
      <c r="AA75" s="7">
        <v>1680.617</v>
      </c>
      <c r="AB75" s="7">
        <v>1183.5909999999999</v>
      </c>
      <c r="AC75" s="7">
        <v>1532.2909999999999</v>
      </c>
      <c r="AD75" s="7">
        <v>1215.2190000000001</v>
      </c>
      <c r="AE75" s="7">
        <v>1367.12</v>
      </c>
      <c r="AF75" s="7">
        <v>1593.922</v>
      </c>
      <c r="AG75" s="7">
        <v>1604.1679999999999</v>
      </c>
      <c r="AH75" s="7">
        <v>1647.2049999999999</v>
      </c>
      <c r="AI75" s="7">
        <v>1665.0050000000001</v>
      </c>
      <c r="AJ75" s="7">
        <v>1261.2280000000001</v>
      </c>
      <c r="AL75" s="6">
        <f t="shared" si="6"/>
        <v>1485.7697499999999</v>
      </c>
      <c r="AM75" s="6">
        <f t="shared" si="7"/>
        <v>63.211714169739459</v>
      </c>
    </row>
    <row r="76" spans="1:39" x14ac:dyDescent="0.2">
      <c r="A76" s="7">
        <v>82.5</v>
      </c>
      <c r="B76" s="7">
        <v>1994.03</v>
      </c>
      <c r="C76" s="7">
        <v>1454.596</v>
      </c>
      <c r="D76" s="7">
        <v>1330.829</v>
      </c>
      <c r="E76" s="7">
        <v>1827.423</v>
      </c>
      <c r="H76" s="7">
        <v>1973.3969999999999</v>
      </c>
      <c r="I76" s="7">
        <v>2436.4209999999998</v>
      </c>
      <c r="J76" s="7">
        <v>2012.865</v>
      </c>
      <c r="K76" s="7">
        <v>1919.818</v>
      </c>
      <c r="L76" s="7">
        <v>2410.23</v>
      </c>
      <c r="M76" s="7">
        <v>2070.4369999999999</v>
      </c>
      <c r="N76" s="7">
        <v>1930.3209999999999</v>
      </c>
      <c r="O76" s="7">
        <v>1976.867</v>
      </c>
      <c r="P76" s="7">
        <v>2440.4270000000001</v>
      </c>
      <c r="R76" s="5">
        <f t="shared" si="4"/>
        <v>1982.8969999999999</v>
      </c>
      <c r="S76" s="5">
        <f t="shared" si="5"/>
        <v>92.738019597253057</v>
      </c>
      <c r="U76" s="7">
        <v>82.5</v>
      </c>
      <c r="V76" s="7">
        <v>2186.6610000000001</v>
      </c>
      <c r="X76" s="7">
        <v>1808.38</v>
      </c>
      <c r="Y76" s="7">
        <v>2079.4989999999998</v>
      </c>
      <c r="Z76" s="7">
        <v>2300.3470000000002</v>
      </c>
      <c r="AA76" s="7">
        <v>2358.3180000000002</v>
      </c>
      <c r="AB76" s="7">
        <v>1604.5730000000001</v>
      </c>
      <c r="AC76" s="7">
        <v>2223.9839999999999</v>
      </c>
      <c r="AD76" s="7">
        <v>1690.67</v>
      </c>
      <c r="AE76" s="7">
        <v>1923.5139999999999</v>
      </c>
      <c r="AF76" s="7">
        <v>2217.7539999999999</v>
      </c>
      <c r="AG76" s="7">
        <v>2238.7649999999999</v>
      </c>
      <c r="AH76" s="7">
        <v>2327.8049999999998</v>
      </c>
      <c r="AI76" s="7">
        <v>2389.5459999999998</v>
      </c>
      <c r="AJ76" s="7">
        <v>1772.712</v>
      </c>
      <c r="AL76" s="6">
        <f t="shared" si="6"/>
        <v>2098.09375</v>
      </c>
      <c r="AM76" s="6">
        <f t="shared" si="7"/>
        <v>93.542626634054997</v>
      </c>
    </row>
    <row r="77" spans="1:39" x14ac:dyDescent="0.2">
      <c r="A77" s="7">
        <v>83.75</v>
      </c>
      <c r="B77" s="7">
        <v>2944.779</v>
      </c>
      <c r="C77" s="7">
        <v>2179.6680000000001</v>
      </c>
      <c r="D77" s="7">
        <v>1988.037</v>
      </c>
      <c r="E77" s="7">
        <v>2650.4659999999999</v>
      </c>
      <c r="H77" s="7">
        <v>2837.25</v>
      </c>
      <c r="I77" s="7">
        <v>3545.3130000000001</v>
      </c>
      <c r="J77" s="7">
        <v>2877.07</v>
      </c>
      <c r="K77" s="7">
        <v>2806.8150000000001</v>
      </c>
      <c r="L77" s="7">
        <v>3464.279</v>
      </c>
      <c r="M77" s="7">
        <v>3077.71</v>
      </c>
      <c r="N77" s="7">
        <v>2861.7359999999999</v>
      </c>
      <c r="O77" s="7">
        <v>2822.0740000000001</v>
      </c>
      <c r="P77" s="7">
        <v>3517.8240000000001</v>
      </c>
      <c r="R77" s="5">
        <f t="shared" si="4"/>
        <v>2890.2323846153845</v>
      </c>
      <c r="S77" s="5">
        <f t="shared" si="5"/>
        <v>128.6616807167772</v>
      </c>
      <c r="U77" s="7">
        <v>83.75</v>
      </c>
      <c r="V77" s="7">
        <v>3286.3029999999999</v>
      </c>
      <c r="X77" s="7">
        <v>2575.7199999999998</v>
      </c>
      <c r="Y77" s="7">
        <v>3047.9160000000002</v>
      </c>
      <c r="Z77" s="7">
        <v>3175.4659999999999</v>
      </c>
      <c r="AA77" s="7">
        <v>3415.6869999999999</v>
      </c>
      <c r="AB77" s="7">
        <v>2390.5300000000002</v>
      </c>
      <c r="AC77" s="7">
        <v>3127.7260000000001</v>
      </c>
      <c r="AD77" s="7">
        <v>2456.3229999999999</v>
      </c>
      <c r="AE77" s="7">
        <v>2802.165</v>
      </c>
      <c r="AF77" s="7">
        <v>3263.4850000000001</v>
      </c>
      <c r="AG77" s="7">
        <v>3304.2249999999999</v>
      </c>
      <c r="AH77" s="7">
        <v>3367.1010000000001</v>
      </c>
      <c r="AI77" s="7">
        <v>3331.6320000000001</v>
      </c>
      <c r="AJ77" s="7">
        <v>2612.1370000000002</v>
      </c>
      <c r="AL77" s="6">
        <f t="shared" si="6"/>
        <v>3033.0992500000002</v>
      </c>
      <c r="AM77" s="6">
        <f t="shared" si="7"/>
        <v>126.73303254067308</v>
      </c>
    </row>
    <row r="78" spans="1:39" x14ac:dyDescent="0.2">
      <c r="A78" s="7">
        <v>85</v>
      </c>
      <c r="B78" s="7">
        <v>3806.2890000000002</v>
      </c>
      <c r="C78" s="7">
        <v>2852.2919999999999</v>
      </c>
      <c r="D78" s="7">
        <v>2642.2759999999998</v>
      </c>
      <c r="E78" s="7">
        <v>3345.7890000000002</v>
      </c>
      <c r="H78" s="7">
        <v>3574.4140000000002</v>
      </c>
      <c r="I78" s="7">
        <v>4457.0709999999999</v>
      </c>
      <c r="J78" s="7">
        <v>3574.4969999999998</v>
      </c>
      <c r="K78" s="7">
        <v>3480.1239999999998</v>
      </c>
      <c r="L78" s="7">
        <v>4356.3280000000004</v>
      </c>
      <c r="M78" s="7">
        <v>4047.4029999999998</v>
      </c>
      <c r="N78" s="7">
        <v>3648.4369999999999</v>
      </c>
      <c r="O78" s="7">
        <v>3406.3040000000001</v>
      </c>
      <c r="P78" s="7">
        <v>4407.4120000000003</v>
      </c>
      <c r="R78" s="5">
        <f t="shared" si="4"/>
        <v>3661.4335384615383</v>
      </c>
      <c r="S78" s="5">
        <f t="shared" si="5"/>
        <v>155.015379137851</v>
      </c>
      <c r="U78" s="7">
        <v>85</v>
      </c>
      <c r="V78" s="7">
        <v>4278.5690000000004</v>
      </c>
      <c r="X78" s="7">
        <v>3166.259</v>
      </c>
      <c r="Y78" s="7">
        <v>3937.7139999999999</v>
      </c>
      <c r="Z78" s="7">
        <v>3848.6</v>
      </c>
      <c r="AA78" s="7">
        <v>4302.8689999999997</v>
      </c>
      <c r="AB78" s="7">
        <v>3102.4079999999999</v>
      </c>
      <c r="AC78" s="7">
        <v>3821.8290000000002</v>
      </c>
      <c r="AD78" s="7">
        <v>3118.415</v>
      </c>
      <c r="AE78" s="7">
        <v>3522.9940000000001</v>
      </c>
      <c r="AF78" s="7">
        <v>4143.6859999999997</v>
      </c>
      <c r="AG78" s="7">
        <v>4218.1980000000003</v>
      </c>
      <c r="AH78" s="7">
        <v>4195.0870000000004</v>
      </c>
      <c r="AI78" s="7">
        <v>4044.5189999999998</v>
      </c>
      <c r="AJ78" s="7">
        <v>3307.4229999999998</v>
      </c>
      <c r="AL78" s="6">
        <f t="shared" si="6"/>
        <v>3796.5188750000002</v>
      </c>
      <c r="AM78" s="6">
        <f t="shared" si="7"/>
        <v>151.96304821701935</v>
      </c>
    </row>
    <row r="79" spans="1:39" x14ac:dyDescent="0.2">
      <c r="A79" s="7">
        <v>86.25</v>
      </c>
      <c r="B79" s="7">
        <v>4046.9140000000002</v>
      </c>
      <c r="C79" s="7">
        <v>3067.337</v>
      </c>
      <c r="D79" s="7">
        <v>2905.6840000000002</v>
      </c>
      <c r="E79" s="7">
        <v>3547.143</v>
      </c>
      <c r="H79" s="7">
        <v>3761.9270000000001</v>
      </c>
      <c r="I79" s="7">
        <v>4703.0330000000004</v>
      </c>
      <c r="J79" s="7">
        <v>3745.6610000000001</v>
      </c>
      <c r="K79" s="7">
        <v>3615.6260000000002</v>
      </c>
      <c r="L79" s="7">
        <v>4595.08</v>
      </c>
      <c r="M79" s="7">
        <v>4453.4939999999997</v>
      </c>
      <c r="N79" s="7">
        <v>3819.5340000000001</v>
      </c>
      <c r="O79" s="7">
        <v>3489.26</v>
      </c>
      <c r="P79" s="7">
        <v>4599.2479999999996</v>
      </c>
      <c r="R79" s="5">
        <f t="shared" si="4"/>
        <v>3873.0723846153846</v>
      </c>
      <c r="S79" s="5">
        <f t="shared" si="5"/>
        <v>160.94461674963497</v>
      </c>
      <c r="U79" s="7">
        <v>86.25</v>
      </c>
      <c r="V79" s="7">
        <v>4621.9880000000003</v>
      </c>
      <c r="X79" s="7">
        <v>3265.741</v>
      </c>
      <c r="Y79" s="7">
        <v>4223.1229999999996</v>
      </c>
      <c r="Z79" s="7">
        <v>3914.846</v>
      </c>
      <c r="AA79" s="7">
        <v>4470.2579999999998</v>
      </c>
      <c r="AB79" s="7">
        <v>3306.2530000000002</v>
      </c>
      <c r="AC79" s="7">
        <v>3912.886</v>
      </c>
      <c r="AD79" s="7">
        <v>3244.5120000000002</v>
      </c>
      <c r="AE79" s="7">
        <v>3722.9270000000001</v>
      </c>
      <c r="AF79" s="7">
        <v>4359.2460000000001</v>
      </c>
      <c r="AG79" s="7">
        <v>4448.6779999999999</v>
      </c>
      <c r="AH79" s="7">
        <v>4348.424</v>
      </c>
      <c r="AI79" s="7">
        <v>4112.1210000000001</v>
      </c>
      <c r="AJ79" s="7">
        <v>3459.337</v>
      </c>
      <c r="AL79" s="6">
        <f t="shared" si="6"/>
        <v>3951.0163749999997</v>
      </c>
      <c r="AM79" s="6">
        <f t="shared" si="7"/>
        <v>157.69442469705166</v>
      </c>
    </row>
    <row r="80" spans="1:39" x14ac:dyDescent="0.2">
      <c r="A80" s="7">
        <v>87.5</v>
      </c>
      <c r="B80" s="7">
        <v>3623.011</v>
      </c>
      <c r="C80" s="7">
        <v>2781.6039999999998</v>
      </c>
      <c r="D80" s="7">
        <v>2620.1559999999999</v>
      </c>
      <c r="E80" s="7">
        <v>3202.4780000000001</v>
      </c>
      <c r="H80" s="7">
        <v>3406.8319999999999</v>
      </c>
      <c r="I80" s="7">
        <v>4211.0150000000003</v>
      </c>
      <c r="J80" s="7">
        <v>3356.7910000000002</v>
      </c>
      <c r="K80" s="7">
        <v>3213.9630000000002</v>
      </c>
      <c r="L80" s="7">
        <v>4121.9399999999996</v>
      </c>
      <c r="M80" s="7">
        <v>4085.76</v>
      </c>
      <c r="N80" s="7">
        <v>3394.337</v>
      </c>
      <c r="O80" s="7">
        <v>3092.239</v>
      </c>
      <c r="P80" s="7">
        <v>4121.0919999999996</v>
      </c>
      <c r="R80" s="5">
        <f t="shared" si="4"/>
        <v>3479.3244615384615</v>
      </c>
      <c r="S80" s="5">
        <f t="shared" si="5"/>
        <v>145.3989607991827</v>
      </c>
      <c r="U80" s="7">
        <v>87.5</v>
      </c>
      <c r="V80" s="7">
        <v>4141.2910000000002</v>
      </c>
      <c r="X80" s="7">
        <v>2902.86</v>
      </c>
      <c r="Y80" s="7">
        <v>3806.817</v>
      </c>
      <c r="Z80" s="7">
        <v>3466.8049999999998</v>
      </c>
      <c r="AA80" s="7">
        <v>3977.9839999999999</v>
      </c>
      <c r="AB80" s="7">
        <v>2946.6709999999998</v>
      </c>
      <c r="AC80" s="7">
        <v>3462.9949999999999</v>
      </c>
      <c r="AD80" s="7">
        <v>2872.9879999999998</v>
      </c>
      <c r="AE80" s="7">
        <v>3339.5419999999999</v>
      </c>
      <c r="AF80" s="7">
        <v>3873.9279999999999</v>
      </c>
      <c r="AG80" s="7">
        <v>3979.79</v>
      </c>
      <c r="AH80" s="7">
        <v>3859.904</v>
      </c>
      <c r="AI80" s="7">
        <v>3601.4380000000001</v>
      </c>
      <c r="AJ80" s="7">
        <v>3092.1469999999999</v>
      </c>
      <c r="AL80" s="6">
        <f t="shared" si="6"/>
        <v>3510.3415</v>
      </c>
      <c r="AM80" s="6">
        <f t="shared" si="7"/>
        <v>139.8717419452035</v>
      </c>
    </row>
    <row r="81" spans="1:39" x14ac:dyDescent="0.2">
      <c r="A81" s="7">
        <v>88.75</v>
      </c>
      <c r="B81" s="7">
        <v>3075.6170000000002</v>
      </c>
      <c r="C81" s="7">
        <v>2354.6889999999999</v>
      </c>
      <c r="D81" s="7">
        <v>2218.5500000000002</v>
      </c>
      <c r="E81" s="7">
        <v>2731.585</v>
      </c>
      <c r="H81" s="7">
        <v>2923.5219999999999</v>
      </c>
      <c r="I81" s="7">
        <v>3590.8049999999998</v>
      </c>
      <c r="J81" s="7">
        <v>2807.3760000000002</v>
      </c>
      <c r="K81" s="7">
        <v>2720.8119999999999</v>
      </c>
      <c r="L81" s="7">
        <v>3472.1610000000001</v>
      </c>
      <c r="M81" s="7">
        <v>3360.1439999999998</v>
      </c>
      <c r="N81" s="7">
        <v>2836.835</v>
      </c>
      <c r="O81" s="7">
        <v>2673.692</v>
      </c>
      <c r="P81" s="7">
        <v>3500.1680000000001</v>
      </c>
      <c r="R81" s="5">
        <f t="shared" si="4"/>
        <v>2943.5350769230768</v>
      </c>
      <c r="S81" s="5">
        <f t="shared" si="5"/>
        <v>120.60913874299274</v>
      </c>
      <c r="U81" s="7">
        <v>88.75</v>
      </c>
      <c r="V81" s="7">
        <v>3428.5259999999998</v>
      </c>
      <c r="X81" s="7">
        <v>2469.7359999999999</v>
      </c>
      <c r="Y81" s="7">
        <v>3219.3270000000002</v>
      </c>
      <c r="Z81" s="7">
        <v>3000.547</v>
      </c>
      <c r="AA81" s="7">
        <v>3382.9279999999999</v>
      </c>
      <c r="AB81" s="7">
        <v>2463.8119999999999</v>
      </c>
      <c r="AC81" s="7">
        <v>2967.2069999999999</v>
      </c>
      <c r="AD81" s="7">
        <v>2435.547</v>
      </c>
      <c r="AE81" s="7">
        <v>2806.1559999999999</v>
      </c>
      <c r="AF81" s="7">
        <v>3265.011</v>
      </c>
      <c r="AG81" s="7">
        <v>3360.5050000000001</v>
      </c>
      <c r="AH81" s="7">
        <v>3272.4670000000001</v>
      </c>
      <c r="AI81" s="7">
        <v>3096.4259999999999</v>
      </c>
      <c r="AJ81" s="7">
        <v>2633.027</v>
      </c>
      <c r="AL81" s="6">
        <f t="shared" si="6"/>
        <v>2979.5432499999997</v>
      </c>
      <c r="AM81" s="6">
        <f t="shared" si="7"/>
        <v>117.436179086278</v>
      </c>
    </row>
    <row r="82" spans="1:39" x14ac:dyDescent="0.2">
      <c r="A82" s="7">
        <v>90</v>
      </c>
      <c r="B82" s="7">
        <v>2983.212</v>
      </c>
      <c r="C82" s="7">
        <v>2224.5430000000001</v>
      </c>
      <c r="D82" s="7">
        <v>2085.2730000000001</v>
      </c>
      <c r="E82" s="7">
        <v>2617.6970000000001</v>
      </c>
      <c r="H82" s="7">
        <v>2740.8310000000001</v>
      </c>
      <c r="I82" s="7">
        <v>3465.9920000000002</v>
      </c>
      <c r="J82" s="7">
        <v>2633.2979999999998</v>
      </c>
      <c r="K82" s="7">
        <v>2676.1729999999998</v>
      </c>
      <c r="L82" s="7">
        <v>3253.1419999999998</v>
      </c>
      <c r="M82" s="7">
        <v>3026.71</v>
      </c>
      <c r="N82" s="7">
        <v>2787.3649999999998</v>
      </c>
      <c r="O82" s="7">
        <v>2577.1779999999999</v>
      </c>
      <c r="P82" s="7">
        <v>3329.136</v>
      </c>
      <c r="R82" s="5">
        <f t="shared" si="4"/>
        <v>2800.0423076923075</v>
      </c>
      <c r="S82" s="5">
        <f t="shared" si="5"/>
        <v>112.81607245607891</v>
      </c>
      <c r="U82" s="7">
        <v>90</v>
      </c>
      <c r="V82" s="7">
        <v>3238.0050000000001</v>
      </c>
      <c r="X82" s="7">
        <v>2385.9229999999998</v>
      </c>
      <c r="Y82" s="7">
        <v>3074.0360000000001</v>
      </c>
      <c r="Z82" s="7">
        <v>2954.1489999999999</v>
      </c>
      <c r="AA82" s="7">
        <v>3297.9650000000001</v>
      </c>
      <c r="AB82" s="7">
        <v>2351.7489999999998</v>
      </c>
      <c r="AC82" s="7">
        <v>2893.4360000000001</v>
      </c>
      <c r="AD82" s="7">
        <v>2354.5369999999998</v>
      </c>
      <c r="AE82" s="7">
        <v>2673.123</v>
      </c>
      <c r="AF82" s="7">
        <v>3127.6410000000001</v>
      </c>
      <c r="AG82" s="7">
        <v>3197.1480000000001</v>
      </c>
      <c r="AH82" s="7">
        <v>3181.6840000000002</v>
      </c>
      <c r="AI82" s="7">
        <v>3032.7420000000002</v>
      </c>
      <c r="AJ82" s="7">
        <v>2572.4969999999998</v>
      </c>
      <c r="AL82" s="6">
        <f t="shared" si="6"/>
        <v>2879.1010000000001</v>
      </c>
      <c r="AM82" s="6">
        <f t="shared" si="7"/>
        <v>110.9933947680791</v>
      </c>
    </row>
    <row r="83" spans="1:39" x14ac:dyDescent="0.2">
      <c r="A83" s="7">
        <v>91.25</v>
      </c>
      <c r="B83" s="7">
        <v>3327.33</v>
      </c>
      <c r="C83" s="7">
        <v>2397.7240000000002</v>
      </c>
      <c r="D83" s="7">
        <v>2264.1799999999998</v>
      </c>
      <c r="E83" s="7">
        <v>2799.7109999999998</v>
      </c>
      <c r="H83" s="7">
        <v>2871.0160000000001</v>
      </c>
      <c r="I83" s="7">
        <v>3741.3719999999998</v>
      </c>
      <c r="J83" s="7">
        <v>2751.9879999999998</v>
      </c>
      <c r="K83" s="7">
        <v>2947.3829999999998</v>
      </c>
      <c r="L83" s="7">
        <v>3475.3719999999998</v>
      </c>
      <c r="M83" s="7">
        <v>3128.9749999999999</v>
      </c>
      <c r="N83" s="7">
        <v>3115.212</v>
      </c>
      <c r="O83" s="7">
        <v>2817.8270000000002</v>
      </c>
      <c r="P83" s="7">
        <v>3505.268</v>
      </c>
      <c r="R83" s="5">
        <f t="shared" si="4"/>
        <v>3011.0275384615379</v>
      </c>
      <c r="S83" s="5">
        <f t="shared" si="5"/>
        <v>119.42073442131461</v>
      </c>
      <c r="U83" s="7">
        <v>91.25</v>
      </c>
      <c r="V83" s="7">
        <v>3599.529</v>
      </c>
      <c r="X83" s="7">
        <v>2637.0169999999998</v>
      </c>
      <c r="Y83" s="7">
        <v>3348.299</v>
      </c>
      <c r="Z83" s="7">
        <v>3198.6129999999998</v>
      </c>
      <c r="AA83" s="7">
        <v>3627.2220000000002</v>
      </c>
      <c r="AB83" s="7">
        <v>2602.3359999999998</v>
      </c>
      <c r="AC83" s="7">
        <v>3180.7759999999998</v>
      </c>
      <c r="AD83" s="7">
        <v>2589.4270000000001</v>
      </c>
      <c r="AE83" s="7">
        <v>2955.5909999999999</v>
      </c>
      <c r="AF83" s="7">
        <v>3435.0360000000001</v>
      </c>
      <c r="AG83" s="7">
        <v>3475.471</v>
      </c>
      <c r="AH83" s="7">
        <v>3484.114</v>
      </c>
      <c r="AI83" s="7">
        <v>3271.2559999999999</v>
      </c>
      <c r="AJ83" s="7">
        <v>2841.817</v>
      </c>
      <c r="AL83" s="6">
        <f t="shared" si="6"/>
        <v>3154.1860000000001</v>
      </c>
      <c r="AM83" s="6">
        <f t="shared" si="7"/>
        <v>116.59857618096615</v>
      </c>
    </row>
    <row r="84" spans="1:39" x14ac:dyDescent="0.2">
      <c r="A84" s="7">
        <v>92.5</v>
      </c>
      <c r="B84" s="7">
        <v>3689.8670000000002</v>
      </c>
      <c r="C84" s="7">
        <v>2647.3380000000002</v>
      </c>
      <c r="D84" s="7">
        <v>2517.529</v>
      </c>
      <c r="E84" s="7">
        <v>2988.9549999999999</v>
      </c>
      <c r="H84" s="7">
        <v>3020.413</v>
      </c>
      <c r="I84" s="7">
        <v>4027.2040000000002</v>
      </c>
      <c r="J84" s="7">
        <v>2951.944</v>
      </c>
      <c r="K84" s="7">
        <v>3216.8020000000001</v>
      </c>
      <c r="L84" s="7">
        <v>3781.3009999999999</v>
      </c>
      <c r="M84" s="7">
        <v>3361.8690000000001</v>
      </c>
      <c r="N84" s="7">
        <v>3442.88</v>
      </c>
      <c r="O84" s="7">
        <v>3055.0329999999999</v>
      </c>
      <c r="P84" s="7">
        <v>3703.0610000000001</v>
      </c>
      <c r="R84" s="5">
        <f t="shared" si="4"/>
        <v>3261.861230769231</v>
      </c>
      <c r="S84" s="5">
        <f t="shared" si="5"/>
        <v>126.12275316176844</v>
      </c>
      <c r="U84" s="7">
        <v>92.5</v>
      </c>
      <c r="V84" s="7">
        <v>4060.77</v>
      </c>
      <c r="X84" s="7">
        <v>2884.4189999999999</v>
      </c>
      <c r="Y84" s="7">
        <v>3663.5970000000002</v>
      </c>
      <c r="Z84" s="7">
        <v>3363.1370000000002</v>
      </c>
      <c r="AA84" s="7">
        <v>3943.855</v>
      </c>
      <c r="AB84" s="7">
        <v>2897.3180000000002</v>
      </c>
      <c r="AC84" s="7">
        <v>3437.9679999999998</v>
      </c>
      <c r="AD84" s="7">
        <v>2822.6950000000002</v>
      </c>
      <c r="AE84" s="7">
        <v>3263.634</v>
      </c>
      <c r="AF84" s="7">
        <v>3755.8090000000002</v>
      </c>
      <c r="AG84" s="7">
        <v>3830.1579999999999</v>
      </c>
      <c r="AH84" s="7">
        <v>3806.5610000000001</v>
      </c>
      <c r="AI84" s="7">
        <v>3524.663</v>
      </c>
      <c r="AJ84" s="7">
        <v>3124.5250000000001</v>
      </c>
      <c r="AL84" s="6">
        <f t="shared" si="6"/>
        <v>3445.7516250000003</v>
      </c>
      <c r="AM84" s="6">
        <f t="shared" si="7"/>
        <v>127.1197244897695</v>
      </c>
    </row>
    <row r="85" spans="1:39" x14ac:dyDescent="0.2">
      <c r="A85" s="7">
        <v>93.75</v>
      </c>
      <c r="B85" s="7">
        <v>3766.027</v>
      </c>
      <c r="C85" s="7">
        <v>2723.3220000000001</v>
      </c>
      <c r="D85" s="7">
        <v>2605.9650000000001</v>
      </c>
      <c r="E85" s="7">
        <v>3009.5</v>
      </c>
      <c r="H85" s="7">
        <v>3053.951</v>
      </c>
      <c r="I85" s="7">
        <v>4023.4349999999999</v>
      </c>
      <c r="J85" s="7">
        <v>3003.3150000000001</v>
      </c>
      <c r="K85" s="7">
        <v>3220.38</v>
      </c>
      <c r="L85" s="7">
        <v>3806.5859999999998</v>
      </c>
      <c r="M85" s="7">
        <v>3446.5729999999999</v>
      </c>
      <c r="N85" s="7">
        <v>3463.9630000000002</v>
      </c>
      <c r="O85" s="7">
        <v>3046.85</v>
      </c>
      <c r="P85" s="7">
        <v>3679.4270000000001</v>
      </c>
      <c r="R85" s="5">
        <f t="shared" si="4"/>
        <v>3296.0995384615385</v>
      </c>
      <c r="S85" s="5">
        <f t="shared" si="5"/>
        <v>121.6057636646773</v>
      </c>
      <c r="U85" s="7">
        <v>93.75</v>
      </c>
      <c r="V85" s="7">
        <v>4200.6679999999997</v>
      </c>
      <c r="X85" s="7">
        <v>2882.884</v>
      </c>
      <c r="Y85" s="7">
        <v>3706.1379999999999</v>
      </c>
      <c r="Z85" s="7">
        <v>3266.3069999999998</v>
      </c>
      <c r="AA85" s="7">
        <v>3907.681</v>
      </c>
      <c r="AB85" s="7">
        <v>2955.413</v>
      </c>
      <c r="AC85" s="7">
        <v>3431.8919999999998</v>
      </c>
      <c r="AD85" s="7">
        <v>2818.0079999999998</v>
      </c>
      <c r="AE85" s="7">
        <v>3330.09</v>
      </c>
      <c r="AF85" s="7">
        <v>3786.82</v>
      </c>
      <c r="AG85" s="7">
        <v>3870.7689999999998</v>
      </c>
      <c r="AH85" s="7">
        <v>3849.462</v>
      </c>
      <c r="AI85" s="7">
        <v>3518.8980000000001</v>
      </c>
      <c r="AJ85" s="7">
        <v>3161.3589999999999</v>
      </c>
      <c r="AL85" s="6">
        <f t="shared" si="6"/>
        <v>3470.9122499999999</v>
      </c>
      <c r="AM85" s="6">
        <f t="shared" si="7"/>
        <v>130.16104946767595</v>
      </c>
    </row>
    <row r="86" spans="1:39" x14ac:dyDescent="0.2">
      <c r="A86" s="7">
        <v>95</v>
      </c>
      <c r="B86" s="7">
        <v>3440.076</v>
      </c>
      <c r="C86" s="7">
        <v>2512.8359999999998</v>
      </c>
      <c r="D86" s="7">
        <v>2449.9459999999999</v>
      </c>
      <c r="E86" s="7">
        <v>2854.212</v>
      </c>
      <c r="H86" s="7">
        <v>3042.4639999999999</v>
      </c>
      <c r="I86" s="7">
        <v>3852.6179999999999</v>
      </c>
      <c r="J86" s="7">
        <v>2978.4459999999999</v>
      </c>
      <c r="K86" s="7">
        <v>2987.4340000000002</v>
      </c>
      <c r="L86" s="7">
        <v>3633.3989999999999</v>
      </c>
      <c r="M86" s="7">
        <v>3425.038</v>
      </c>
      <c r="N86" s="7">
        <v>3202.5239999999999</v>
      </c>
      <c r="O86" s="7">
        <v>2882.4119999999998</v>
      </c>
      <c r="P86" s="7">
        <v>3632.136</v>
      </c>
      <c r="R86" s="5">
        <f t="shared" si="4"/>
        <v>3145.6569999999997</v>
      </c>
      <c r="S86" s="5">
        <f t="shared" si="5"/>
        <v>119.95392387442749</v>
      </c>
      <c r="U86" s="7">
        <v>95</v>
      </c>
      <c r="V86" s="7">
        <v>3858.221</v>
      </c>
      <c r="X86" s="7">
        <v>2667.6909999999998</v>
      </c>
      <c r="Y86" s="7">
        <v>3468.1089999999999</v>
      </c>
      <c r="Z86" s="7">
        <v>3140.482</v>
      </c>
      <c r="AA86" s="7">
        <v>3658.8</v>
      </c>
      <c r="AB86" s="7">
        <v>2725.4659999999999</v>
      </c>
      <c r="AC86" s="7">
        <v>3244.308</v>
      </c>
      <c r="AD86" s="7">
        <v>2644.0880000000002</v>
      </c>
      <c r="AE86" s="7">
        <v>3104.3290000000002</v>
      </c>
      <c r="AF86" s="7">
        <v>3531.8009999999999</v>
      </c>
      <c r="AG86" s="7">
        <v>3622.393</v>
      </c>
      <c r="AH86" s="7">
        <v>3611.2869999999998</v>
      </c>
      <c r="AI86" s="7">
        <v>3341.4560000000001</v>
      </c>
      <c r="AJ86" s="7">
        <v>2925.623</v>
      </c>
      <c r="AL86" s="6">
        <f t="shared" si="6"/>
        <v>3253.1606249999995</v>
      </c>
      <c r="AM86" s="6">
        <f t="shared" si="7"/>
        <v>123.23780430315223</v>
      </c>
    </row>
    <row r="87" spans="1:39" x14ac:dyDescent="0.2">
      <c r="A87" s="7">
        <v>96.25</v>
      </c>
      <c r="B87" s="7">
        <v>3108.674</v>
      </c>
      <c r="C87" s="7">
        <v>2376.846</v>
      </c>
      <c r="D87" s="7">
        <v>2289.6239999999998</v>
      </c>
      <c r="E87" s="7">
        <v>2807.44</v>
      </c>
      <c r="H87" s="7">
        <v>3135.056</v>
      </c>
      <c r="I87" s="7">
        <v>3837.87</v>
      </c>
      <c r="J87" s="7">
        <v>3074.5590000000002</v>
      </c>
      <c r="K87" s="7">
        <v>2878.9349999999999</v>
      </c>
      <c r="L87" s="7">
        <v>3651.7559999999999</v>
      </c>
      <c r="M87" s="7">
        <v>3581.0569999999998</v>
      </c>
      <c r="N87" s="7">
        <v>3038.0210000000002</v>
      </c>
      <c r="O87" s="7">
        <v>2849.4340000000002</v>
      </c>
      <c r="P87" s="7">
        <v>3836.4580000000001</v>
      </c>
      <c r="R87" s="5">
        <f t="shared" si="4"/>
        <v>3112.7484615384619</v>
      </c>
      <c r="S87" s="5">
        <f t="shared" si="5"/>
        <v>138.75033888905733</v>
      </c>
      <c r="U87" s="7">
        <v>96.25</v>
      </c>
      <c r="V87" s="7">
        <v>3486.5859999999998</v>
      </c>
      <c r="X87" s="7">
        <v>2533.2779999999998</v>
      </c>
      <c r="Y87" s="7">
        <v>3357.366</v>
      </c>
      <c r="Z87" s="7">
        <v>3246.683</v>
      </c>
      <c r="AA87" s="7">
        <v>3596.7060000000001</v>
      </c>
      <c r="AB87" s="7">
        <v>2581.8760000000002</v>
      </c>
      <c r="AC87" s="7">
        <v>3150.9459999999999</v>
      </c>
      <c r="AD87" s="7">
        <v>2573.23</v>
      </c>
      <c r="AE87" s="7">
        <v>2901.7069999999999</v>
      </c>
      <c r="AF87" s="7">
        <v>3393.116</v>
      </c>
      <c r="AG87" s="7">
        <v>3506.0819999999999</v>
      </c>
      <c r="AH87" s="7">
        <v>3430.6930000000002</v>
      </c>
      <c r="AI87" s="7">
        <v>3351.18</v>
      </c>
      <c r="AJ87" s="7">
        <v>2759.6170000000002</v>
      </c>
      <c r="AL87" s="6">
        <f t="shared" si="6"/>
        <v>3133.3213750000004</v>
      </c>
      <c r="AM87" s="6">
        <f t="shared" si="7"/>
        <v>123.17591579060618</v>
      </c>
    </row>
    <row r="88" spans="1:39" x14ac:dyDescent="0.2">
      <c r="A88" s="7">
        <v>97.5</v>
      </c>
      <c r="B88" s="7">
        <v>3116.7040000000002</v>
      </c>
      <c r="C88" s="7">
        <v>2500.0909999999999</v>
      </c>
      <c r="D88" s="7">
        <v>2343.337</v>
      </c>
      <c r="E88" s="7">
        <v>2966.1109999999999</v>
      </c>
      <c r="H88" s="7">
        <v>3393.6109999999999</v>
      </c>
      <c r="I88" s="7">
        <v>3981.998</v>
      </c>
      <c r="J88" s="7">
        <v>3303.19</v>
      </c>
      <c r="K88" s="7">
        <v>3027.4470000000001</v>
      </c>
      <c r="L88" s="7">
        <v>3888.136</v>
      </c>
      <c r="M88" s="7">
        <v>3918.8449999999998</v>
      </c>
      <c r="N88" s="7">
        <v>3124.902</v>
      </c>
      <c r="O88" s="7">
        <v>3028.596</v>
      </c>
      <c r="P88" s="7">
        <v>4125.6170000000002</v>
      </c>
      <c r="R88" s="5">
        <f t="shared" si="4"/>
        <v>3286.0449999999992</v>
      </c>
      <c r="S88" s="5">
        <f t="shared" si="5"/>
        <v>155.26283981600778</v>
      </c>
      <c r="U88" s="7">
        <v>97.5</v>
      </c>
      <c r="V88" s="7">
        <v>3484.944</v>
      </c>
      <c r="X88" s="7">
        <v>2604.5079999999998</v>
      </c>
      <c r="Y88" s="7">
        <v>3543.8470000000002</v>
      </c>
      <c r="Z88" s="7">
        <v>3499.7719999999999</v>
      </c>
      <c r="AA88" s="7">
        <v>3740.348</v>
      </c>
      <c r="AB88" s="7">
        <v>2689.9279999999999</v>
      </c>
      <c r="AC88" s="7">
        <v>3287.3649999999998</v>
      </c>
      <c r="AD88" s="7">
        <v>2702.22</v>
      </c>
      <c r="AE88" s="7">
        <v>3002.6289999999999</v>
      </c>
      <c r="AF88" s="7">
        <v>3516.6570000000002</v>
      </c>
      <c r="AG88" s="7">
        <v>3652.37</v>
      </c>
      <c r="AH88" s="7">
        <v>3524.9340000000002</v>
      </c>
      <c r="AI88" s="7">
        <v>3543.7820000000002</v>
      </c>
      <c r="AJ88" s="7">
        <v>2825.9070000000002</v>
      </c>
      <c r="AL88" s="6">
        <f t="shared" si="6"/>
        <v>3256.9829999999997</v>
      </c>
      <c r="AM88" s="6">
        <f t="shared" si="7"/>
        <v>129.35419246284388</v>
      </c>
    </row>
    <row r="89" spans="1:39" x14ac:dyDescent="0.2">
      <c r="A89" s="7">
        <v>98.75</v>
      </c>
      <c r="B89" s="7">
        <v>3231.7629999999999</v>
      </c>
      <c r="C89" s="7">
        <v>2636.3620000000001</v>
      </c>
      <c r="D89" s="7">
        <v>2467.1959999999999</v>
      </c>
      <c r="E89" s="7">
        <v>3145.4760000000001</v>
      </c>
      <c r="H89" s="7">
        <v>3600.0320000000002</v>
      </c>
      <c r="I89" s="7">
        <v>4152.2250000000004</v>
      </c>
      <c r="J89" s="7">
        <v>3508.0360000000001</v>
      </c>
      <c r="K89" s="7">
        <v>3170.482</v>
      </c>
      <c r="L89" s="7">
        <v>4129.7120000000004</v>
      </c>
      <c r="M89" s="7">
        <v>4158.04</v>
      </c>
      <c r="N89" s="7">
        <v>3253.23</v>
      </c>
      <c r="O89" s="7">
        <v>3196.7649999999999</v>
      </c>
      <c r="P89" s="7">
        <v>4349.2979999999998</v>
      </c>
      <c r="R89" s="5">
        <f t="shared" si="4"/>
        <v>3461.4320769230771</v>
      </c>
      <c r="S89" s="5">
        <f t="shared" si="5"/>
        <v>164.83507935032844</v>
      </c>
      <c r="U89" s="7">
        <v>98.75</v>
      </c>
      <c r="V89" s="7">
        <v>3661.3470000000002</v>
      </c>
      <c r="X89" s="7">
        <v>2735.0079999999998</v>
      </c>
      <c r="Y89" s="7">
        <v>3735.1469999999999</v>
      </c>
      <c r="Z89" s="7">
        <v>3657.431</v>
      </c>
      <c r="AA89" s="7">
        <v>3877.0070000000001</v>
      </c>
      <c r="AB89" s="7">
        <v>2824.37</v>
      </c>
      <c r="AC89" s="7">
        <v>3434.5329999999999</v>
      </c>
      <c r="AD89" s="7">
        <v>2829.431</v>
      </c>
      <c r="AE89" s="7">
        <v>3157.8220000000001</v>
      </c>
      <c r="AF89" s="7">
        <v>3699.9270000000001</v>
      </c>
      <c r="AG89" s="7">
        <v>3821.0520000000001</v>
      </c>
      <c r="AH89" s="7">
        <v>3671.634</v>
      </c>
      <c r="AI89" s="7">
        <v>3713.846</v>
      </c>
      <c r="AJ89" s="7">
        <v>2941.4140000000002</v>
      </c>
      <c r="AL89" s="6">
        <f t="shared" si="6"/>
        <v>3408.707375</v>
      </c>
      <c r="AM89" s="6">
        <f t="shared" si="7"/>
        <v>135.9235342809572</v>
      </c>
    </row>
    <row r="90" spans="1:39" x14ac:dyDescent="0.2">
      <c r="A90" s="7">
        <v>100</v>
      </c>
      <c r="B90" s="7">
        <v>3222.3040000000001</v>
      </c>
      <c r="C90" s="7">
        <v>2676.268</v>
      </c>
      <c r="D90" s="7">
        <v>2496.3910000000001</v>
      </c>
      <c r="E90" s="7">
        <v>3215.8040000000001</v>
      </c>
      <c r="H90" s="7">
        <v>3650.547</v>
      </c>
      <c r="I90" s="7">
        <v>4217.0780000000004</v>
      </c>
      <c r="J90" s="7">
        <v>3550.4920000000002</v>
      </c>
      <c r="K90" s="7">
        <v>3174.1660000000002</v>
      </c>
      <c r="L90" s="7">
        <v>4219.826</v>
      </c>
      <c r="M90" s="7">
        <v>4197.7690000000002</v>
      </c>
      <c r="N90" s="7">
        <v>3284.431</v>
      </c>
      <c r="O90" s="7">
        <v>3256.9740000000002</v>
      </c>
      <c r="P90" s="7">
        <v>4387.2039999999997</v>
      </c>
      <c r="R90" s="5">
        <f t="shared" si="4"/>
        <v>3503.7887692307695</v>
      </c>
      <c r="S90" s="5">
        <f t="shared" si="5"/>
        <v>167.69052245477633</v>
      </c>
      <c r="U90" s="7">
        <v>100</v>
      </c>
      <c r="V90" s="7">
        <v>3699.6579999999999</v>
      </c>
      <c r="X90" s="7">
        <v>2780.16</v>
      </c>
      <c r="Y90" s="7">
        <v>3786.0590000000002</v>
      </c>
      <c r="Z90" s="7">
        <v>3687.2060000000001</v>
      </c>
      <c r="AA90" s="7">
        <v>3897.9090000000001</v>
      </c>
      <c r="AB90" s="7">
        <v>2864.4850000000001</v>
      </c>
      <c r="AC90" s="7">
        <v>3447.9850000000001</v>
      </c>
      <c r="AD90" s="7">
        <v>2866.1550000000002</v>
      </c>
      <c r="AE90" s="7">
        <v>3185.2190000000001</v>
      </c>
      <c r="AF90" s="7">
        <v>3750.33</v>
      </c>
      <c r="AG90" s="7">
        <v>3863.5680000000002</v>
      </c>
      <c r="AH90" s="7">
        <v>3706.4409999999998</v>
      </c>
      <c r="AI90" s="7">
        <v>3762.605</v>
      </c>
      <c r="AJ90" s="7">
        <v>2966.703</v>
      </c>
      <c r="AL90" s="6">
        <f t="shared" si="6"/>
        <v>3443.6257500000002</v>
      </c>
      <c r="AM90" s="6">
        <f t="shared" si="7"/>
        <v>138.16135985205693</v>
      </c>
    </row>
    <row r="91" spans="1:39" x14ac:dyDescent="0.2">
      <c r="A91" s="7">
        <v>101.25</v>
      </c>
      <c r="B91" s="7">
        <v>3132.652</v>
      </c>
      <c r="C91" s="7">
        <v>2613.8530000000001</v>
      </c>
      <c r="D91" s="7">
        <v>2443.0569999999998</v>
      </c>
      <c r="E91" s="7">
        <v>3163.2649999999999</v>
      </c>
      <c r="H91" s="7">
        <v>3581.6729999999998</v>
      </c>
      <c r="I91" s="7">
        <v>4149.1170000000002</v>
      </c>
      <c r="J91" s="7">
        <v>3424.085</v>
      </c>
      <c r="K91" s="7">
        <v>3078.721</v>
      </c>
      <c r="L91" s="7">
        <v>4138.3689999999997</v>
      </c>
      <c r="M91" s="7">
        <v>4091.511</v>
      </c>
      <c r="N91" s="7">
        <v>3215.6379999999999</v>
      </c>
      <c r="O91" s="7">
        <v>3160.5630000000001</v>
      </c>
      <c r="P91" s="7">
        <v>4256.62</v>
      </c>
      <c r="R91" s="5">
        <f t="shared" si="4"/>
        <v>3419.163384615385</v>
      </c>
      <c r="S91" s="5">
        <f t="shared" si="5"/>
        <v>164.14085763291286</v>
      </c>
      <c r="U91" s="7">
        <v>101.25</v>
      </c>
      <c r="V91" s="7">
        <v>3595.9520000000002</v>
      </c>
      <c r="X91" s="7">
        <v>2724.973</v>
      </c>
      <c r="Y91" s="7">
        <v>3705.1170000000002</v>
      </c>
      <c r="Z91" s="7">
        <v>3641.6640000000002</v>
      </c>
      <c r="AA91" s="7">
        <v>3800.6210000000001</v>
      </c>
      <c r="AB91" s="7">
        <v>2817.57</v>
      </c>
      <c r="AC91" s="7">
        <v>3360.8119999999999</v>
      </c>
      <c r="AD91" s="7">
        <v>2811.6419999999998</v>
      </c>
      <c r="AE91" s="7">
        <v>3111.1660000000002</v>
      </c>
      <c r="AF91" s="7">
        <v>3686.7719999999999</v>
      </c>
      <c r="AG91" s="7">
        <v>3804.6210000000001</v>
      </c>
      <c r="AH91" s="7">
        <v>3624.6260000000002</v>
      </c>
      <c r="AI91" s="7">
        <v>3668.57</v>
      </c>
      <c r="AJ91" s="7">
        <v>2903.7559999999999</v>
      </c>
      <c r="AL91" s="6">
        <f t="shared" si="6"/>
        <v>3371.495625</v>
      </c>
      <c r="AM91" s="6">
        <f t="shared" si="7"/>
        <v>136.23948490538098</v>
      </c>
    </row>
    <row r="92" spans="1:39" x14ac:dyDescent="0.2">
      <c r="A92" s="7">
        <v>102.5</v>
      </c>
      <c r="B92" s="7">
        <v>2973.5340000000001</v>
      </c>
      <c r="C92" s="7">
        <v>2472.4470000000001</v>
      </c>
      <c r="D92" s="7">
        <v>2324.7379999999998</v>
      </c>
      <c r="E92" s="7">
        <v>2988.4079999999999</v>
      </c>
      <c r="H92" s="7">
        <v>3390.94</v>
      </c>
      <c r="I92" s="7">
        <v>3889.326</v>
      </c>
      <c r="J92" s="7">
        <v>3191.9589999999998</v>
      </c>
      <c r="K92" s="7">
        <v>2888.9540000000002</v>
      </c>
      <c r="L92" s="7">
        <v>3928.5340000000001</v>
      </c>
      <c r="M92" s="7">
        <v>3835.9560000000001</v>
      </c>
      <c r="N92" s="7">
        <v>3013.2020000000002</v>
      </c>
      <c r="O92" s="7">
        <v>2953.9229999999998</v>
      </c>
      <c r="P92" s="7">
        <v>3980.4490000000001</v>
      </c>
      <c r="R92" s="5">
        <f t="shared" si="4"/>
        <v>3217.8746153846155</v>
      </c>
      <c r="S92" s="5">
        <f t="shared" si="5"/>
        <v>152.65836612739685</v>
      </c>
      <c r="U92" s="7">
        <v>102.5</v>
      </c>
      <c r="V92" s="7">
        <v>3414.7109999999998</v>
      </c>
      <c r="X92" s="7">
        <v>2585.924</v>
      </c>
      <c r="Y92" s="7">
        <v>3506.2350000000001</v>
      </c>
      <c r="Z92" s="7">
        <v>3406.3420000000001</v>
      </c>
      <c r="AA92" s="7">
        <v>3560.5790000000002</v>
      </c>
      <c r="AB92" s="7">
        <v>2675.2779999999998</v>
      </c>
      <c r="AC92" s="7">
        <v>3173.9960000000001</v>
      </c>
      <c r="AD92" s="7">
        <v>2659.1759999999999</v>
      </c>
      <c r="AE92" s="7">
        <v>2960.8589999999999</v>
      </c>
      <c r="AF92" s="7">
        <v>3481.8969999999999</v>
      </c>
      <c r="AG92" s="7">
        <v>3596.319</v>
      </c>
      <c r="AH92" s="7">
        <v>3421.5549999999998</v>
      </c>
      <c r="AI92" s="7">
        <v>3455.7330000000002</v>
      </c>
      <c r="AJ92" s="7">
        <v>2766.643</v>
      </c>
      <c r="AL92" s="6">
        <f t="shared" si="6"/>
        <v>3189.52225</v>
      </c>
      <c r="AM92" s="6">
        <f t="shared" si="7"/>
        <v>125.94612666628879</v>
      </c>
    </row>
    <row r="93" spans="1:39" x14ac:dyDescent="0.2">
      <c r="A93" s="7">
        <v>103.75</v>
      </c>
      <c r="B93" s="7">
        <v>2671.8240000000001</v>
      </c>
      <c r="C93" s="7">
        <v>2241.3629999999998</v>
      </c>
      <c r="D93" s="7">
        <v>2089.6080000000002</v>
      </c>
      <c r="E93" s="7">
        <v>2727.442</v>
      </c>
      <c r="H93" s="7">
        <v>3087.9059999999999</v>
      </c>
      <c r="I93" s="7">
        <v>3492.9720000000002</v>
      </c>
      <c r="J93" s="7">
        <v>2887.1460000000002</v>
      </c>
      <c r="K93" s="7">
        <v>2624.777</v>
      </c>
      <c r="L93" s="7">
        <v>3586.259</v>
      </c>
      <c r="M93" s="7">
        <v>3425.5309999999999</v>
      </c>
      <c r="N93" s="7">
        <v>2707.9270000000001</v>
      </c>
      <c r="O93" s="7">
        <v>2677.614</v>
      </c>
      <c r="P93" s="7">
        <v>3570.2179999999998</v>
      </c>
      <c r="R93" s="5">
        <f t="shared" si="4"/>
        <v>2906.9682307692306</v>
      </c>
      <c r="S93" s="5">
        <f t="shared" si="5"/>
        <v>136.74931627373954</v>
      </c>
      <c r="U93" s="7">
        <v>103.75</v>
      </c>
      <c r="V93" s="7">
        <v>3082.163</v>
      </c>
      <c r="X93" s="7">
        <v>2345.4659999999999</v>
      </c>
      <c r="Y93" s="7">
        <v>3187.413</v>
      </c>
      <c r="Z93" s="7">
        <v>3073.6170000000002</v>
      </c>
      <c r="AA93" s="7">
        <v>3210.09</v>
      </c>
      <c r="AB93" s="7">
        <v>2417.5839999999998</v>
      </c>
      <c r="AC93" s="7">
        <v>2874.82</v>
      </c>
      <c r="AD93" s="7">
        <v>2430.5050000000001</v>
      </c>
      <c r="AE93" s="7">
        <v>2682.5039999999999</v>
      </c>
      <c r="AF93" s="7">
        <v>3144.3359999999998</v>
      </c>
      <c r="AG93" s="7">
        <v>3258.279</v>
      </c>
      <c r="AH93" s="7">
        <v>3110.6320000000001</v>
      </c>
      <c r="AI93" s="7">
        <v>3179.5590000000002</v>
      </c>
      <c r="AJ93" s="7">
        <v>2531.194</v>
      </c>
      <c r="AL93" s="6">
        <f t="shared" si="6"/>
        <v>2901.4786250000002</v>
      </c>
      <c r="AM93" s="6">
        <f t="shared" si="7"/>
        <v>112.99079206035388</v>
      </c>
    </row>
    <row r="94" spans="1:39" x14ac:dyDescent="0.2">
      <c r="A94" s="7">
        <v>105</v>
      </c>
      <c r="B94" s="7">
        <v>2380.018</v>
      </c>
      <c r="C94" s="7">
        <v>2033.123</v>
      </c>
      <c r="D94" s="7">
        <v>1885.836</v>
      </c>
      <c r="E94" s="7">
        <v>2504.335</v>
      </c>
      <c r="H94" s="7">
        <v>2840.42</v>
      </c>
      <c r="I94" s="7">
        <v>3209.4</v>
      </c>
      <c r="J94" s="7">
        <v>2633.864</v>
      </c>
      <c r="K94" s="7">
        <v>2417.5540000000001</v>
      </c>
      <c r="L94" s="7">
        <v>3259.3220000000001</v>
      </c>
      <c r="M94" s="7">
        <v>3155.0450000000001</v>
      </c>
      <c r="N94" s="7">
        <v>2479.2040000000002</v>
      </c>
      <c r="O94" s="7">
        <v>2462.3780000000002</v>
      </c>
      <c r="P94" s="7">
        <v>3235.55</v>
      </c>
      <c r="R94" s="5">
        <f t="shared" si="4"/>
        <v>2653.5422307692311</v>
      </c>
      <c r="S94" s="5">
        <f t="shared" si="5"/>
        <v>126.47830463876628</v>
      </c>
      <c r="U94" s="7">
        <v>105</v>
      </c>
      <c r="V94" s="7">
        <v>2750.971</v>
      </c>
      <c r="X94" s="7">
        <v>2129.328</v>
      </c>
      <c r="Y94" s="7">
        <v>2894.7109999999998</v>
      </c>
      <c r="Z94" s="7">
        <v>2856.7779999999998</v>
      </c>
      <c r="AA94" s="7">
        <v>2952.4180000000001</v>
      </c>
      <c r="AB94" s="7">
        <v>2179.9079999999999</v>
      </c>
      <c r="AC94" s="7">
        <v>2640.942</v>
      </c>
      <c r="AD94" s="7">
        <v>2244.4720000000002</v>
      </c>
      <c r="AE94" s="7">
        <v>2413.8629999999998</v>
      </c>
      <c r="AF94" s="7">
        <v>2869.28</v>
      </c>
      <c r="AG94" s="7">
        <v>2969.2550000000001</v>
      </c>
      <c r="AH94" s="7">
        <v>2835.9650000000001</v>
      </c>
      <c r="AI94" s="7">
        <v>2946.578</v>
      </c>
      <c r="AJ94" s="7">
        <v>2315.3969999999999</v>
      </c>
      <c r="AL94" s="6">
        <f t="shared" si="6"/>
        <v>2654.4690000000005</v>
      </c>
      <c r="AM94" s="6">
        <f t="shared" si="7"/>
        <v>103.90964873147999</v>
      </c>
    </row>
    <row r="95" spans="1:39" x14ac:dyDescent="0.2">
      <c r="A95" s="7">
        <v>106.25</v>
      </c>
      <c r="B95" s="7">
        <v>2212.239</v>
      </c>
      <c r="C95" s="7">
        <v>1909.633</v>
      </c>
      <c r="D95" s="7">
        <v>1777.893</v>
      </c>
      <c r="E95" s="7">
        <v>2360.4499999999998</v>
      </c>
      <c r="H95" s="7">
        <v>2687.5810000000001</v>
      </c>
      <c r="I95" s="7">
        <v>3069.1869999999999</v>
      </c>
      <c r="J95" s="7">
        <v>2476.0500000000002</v>
      </c>
      <c r="K95" s="7">
        <v>2285.404</v>
      </c>
      <c r="L95" s="7">
        <v>3042.866</v>
      </c>
      <c r="M95" s="7">
        <v>2999.3</v>
      </c>
      <c r="N95" s="7">
        <v>2355.306</v>
      </c>
      <c r="O95" s="7">
        <v>2327.7060000000001</v>
      </c>
      <c r="P95" s="7">
        <v>3023.7860000000001</v>
      </c>
      <c r="R95" s="5">
        <f t="shared" si="4"/>
        <v>2502.107769230769</v>
      </c>
      <c r="S95" s="5">
        <f t="shared" si="5"/>
        <v>120.01488707988234</v>
      </c>
      <c r="U95" s="7">
        <v>106.25</v>
      </c>
      <c r="V95" s="7">
        <v>2559.933</v>
      </c>
      <c r="X95" s="7">
        <v>2005.9570000000001</v>
      </c>
      <c r="Y95" s="7">
        <v>2713.527</v>
      </c>
      <c r="Z95" s="7">
        <v>2706.8389999999999</v>
      </c>
      <c r="AA95" s="7">
        <v>2788.7950000000001</v>
      </c>
      <c r="AB95" s="7">
        <v>2051.0479999999998</v>
      </c>
      <c r="AC95" s="7">
        <v>2499.8339999999998</v>
      </c>
      <c r="AD95" s="7">
        <v>2132.46</v>
      </c>
      <c r="AE95" s="7">
        <v>2260.498</v>
      </c>
      <c r="AF95" s="7">
        <v>2695.8240000000001</v>
      </c>
      <c r="AG95" s="7">
        <v>2783.4960000000001</v>
      </c>
      <c r="AH95" s="7">
        <v>2661.58</v>
      </c>
      <c r="AI95" s="7">
        <v>2785.2330000000002</v>
      </c>
      <c r="AJ95" s="7">
        <v>2180.8470000000002</v>
      </c>
      <c r="AL95" s="6">
        <f t="shared" si="6"/>
        <v>2499.9715000000006</v>
      </c>
      <c r="AM95" s="6">
        <f t="shared" si="7"/>
        <v>96.407663054194117</v>
      </c>
    </row>
    <row r="96" spans="1:39" x14ac:dyDescent="0.2">
      <c r="A96" s="7">
        <v>107.5</v>
      </c>
      <c r="B96" s="7">
        <v>2089.248</v>
      </c>
      <c r="C96" s="7">
        <v>1813.856</v>
      </c>
      <c r="D96" s="7">
        <v>1689.049</v>
      </c>
      <c r="E96" s="7">
        <v>2229.951</v>
      </c>
      <c r="H96" s="7">
        <v>2579.855</v>
      </c>
      <c r="I96" s="7">
        <v>2936.6619999999998</v>
      </c>
      <c r="J96" s="7">
        <v>2360.8339999999998</v>
      </c>
      <c r="K96" s="7">
        <v>2171.3049999999998</v>
      </c>
      <c r="L96" s="7">
        <v>2889.5529999999999</v>
      </c>
      <c r="M96" s="7">
        <v>2862.5770000000002</v>
      </c>
      <c r="N96" s="7">
        <v>2255.2339999999999</v>
      </c>
      <c r="O96" s="7">
        <v>2222.069</v>
      </c>
      <c r="P96" s="7">
        <v>2873.5279999999998</v>
      </c>
      <c r="R96" s="5">
        <f t="shared" si="4"/>
        <v>2382.5939230769231</v>
      </c>
      <c r="S96" s="5">
        <f t="shared" si="5"/>
        <v>115.33772250386144</v>
      </c>
      <c r="U96" s="7">
        <v>107.5</v>
      </c>
      <c r="V96" s="7">
        <v>2423.7600000000002</v>
      </c>
      <c r="X96" s="7">
        <v>1903.2909999999999</v>
      </c>
      <c r="Y96" s="7">
        <v>2569.5129999999999</v>
      </c>
      <c r="Z96" s="7">
        <v>2572.5410000000002</v>
      </c>
      <c r="AA96" s="7">
        <v>2636.4989999999998</v>
      </c>
      <c r="AB96" s="7">
        <v>1961.4480000000001</v>
      </c>
      <c r="AC96" s="7">
        <v>2372.616</v>
      </c>
      <c r="AD96" s="7">
        <v>2043.3130000000001</v>
      </c>
      <c r="AE96" s="7">
        <v>2142.6030000000001</v>
      </c>
      <c r="AF96" s="7">
        <v>2558.8380000000002</v>
      </c>
      <c r="AG96" s="7">
        <v>2640.346</v>
      </c>
      <c r="AH96" s="7">
        <v>2530.373</v>
      </c>
      <c r="AI96" s="7">
        <v>2648.4490000000001</v>
      </c>
      <c r="AJ96" s="7">
        <v>2081.4960000000001</v>
      </c>
      <c r="AL96" s="6">
        <f t="shared" si="6"/>
        <v>2377.25425</v>
      </c>
      <c r="AM96" s="6">
        <f t="shared" si="7"/>
        <v>89.965697291830935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BRIGHT!OCT_RAW___\YA03\_dark_profiles_YA03_DARK</vt:lpstr>
      <vt:lpstr>DIM!OCT_RAW___\YA03\_dark_profiles_YA03_DARK_dim_1</vt:lpstr>
      <vt:lpstr>BRIGHT!OCT_RAW___\YA03\_light_profiles_YA03_LIGHT</vt:lpstr>
      <vt:lpstr>DIM!OCT_RAW___\YA03\_light_profiles_YA03_LIGHT_dim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2019-11-16T23:12:07Z</dcterms:modified>
</cp:coreProperties>
</file>